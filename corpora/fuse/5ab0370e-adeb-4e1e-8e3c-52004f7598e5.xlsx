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60" windowWidth="7440" windowHeight="5148"/>
  </bookViews>
  <sheets>
    <sheet name="Page 1-3" sheetId="1" r:id="rId1"/>
    <sheet name="Pg. 4 General Questions" sheetId="17" r:id="rId2"/>
    <sheet name="Part 6-Wholesale Distribution" sheetId="9" r:id="rId3"/>
    <sheet name="Part 7-Preventive Food Defense" sheetId="16" r:id="rId4"/>
    <sheet name="Audit Scoresheet" sheetId="11" r:id="rId5"/>
    <sheet name="CAR Duplication Instructions" sheetId="18" r:id="rId6"/>
    <sheet name="Corrective Action Report" sheetId="19" r:id="rId7"/>
  </sheets>
  <definedNames>
    <definedName name="_xlnm._FilterDatabase" localSheetId="4" hidden="1">'Audit Scoresheet'!$A$1:$W$6</definedName>
    <definedName name="Facility">'Audit Scoresheet'!$A$5</definedName>
    <definedName name="_xlnm.Print_Area" localSheetId="4">'Audit Scoresheet'!$A$1:$W$35</definedName>
    <definedName name="_xlnm.Print_Area" localSheetId="0">'Page 1-3'!$A$1:$Q$94</definedName>
    <definedName name="_xlnm.Print_Area" localSheetId="1">'Pg. 4 General Questions'!$A$1:$O$96</definedName>
  </definedNames>
  <calcPr calcId="145621"/>
</workbook>
</file>

<file path=xl/calcChain.xml><?xml version="1.0" encoding="utf-8"?>
<calcChain xmlns="http://schemas.openxmlformats.org/spreadsheetml/2006/main">
  <c r="C7" i="19" l="1"/>
  <c r="E151" i="16" l="1"/>
  <c r="I19" i="11" s="1"/>
  <c r="E150" i="16"/>
  <c r="G19" i="11" s="1"/>
  <c r="J148" i="16"/>
  <c r="M19" i="11" s="1"/>
  <c r="E86" i="17"/>
  <c r="E87" i="17" s="1"/>
  <c r="L84" i="17"/>
  <c r="M16" i="11" s="1"/>
  <c r="E197" i="9"/>
  <c r="E198" i="9" s="1"/>
  <c r="I17" i="11" s="1"/>
  <c r="A19" i="11"/>
  <c r="A17" i="11"/>
  <c r="M11" i="11"/>
  <c r="C11" i="11"/>
  <c r="M10" i="11"/>
  <c r="C10" i="11"/>
  <c r="H9" i="11"/>
  <c r="A9" i="11"/>
  <c r="T7" i="11"/>
  <c r="Q7" i="11"/>
  <c r="H7" i="11"/>
  <c r="A7" i="11"/>
  <c r="C5" i="11"/>
  <c r="J195" i="9"/>
  <c r="M17" i="11" s="1"/>
  <c r="E153" i="16" l="1"/>
  <c r="K19" i="11" s="1"/>
  <c r="G17" i="11"/>
  <c r="I16" i="11"/>
  <c r="E89" i="17"/>
  <c r="K16" i="11" s="1"/>
  <c r="G16" i="11"/>
  <c r="E200" i="9"/>
  <c r="K17" i="11" s="1"/>
</calcChain>
</file>

<file path=xl/sharedStrings.xml><?xml version="1.0" encoding="utf-8"?>
<sst xmlns="http://schemas.openxmlformats.org/spreadsheetml/2006/main" count="656" uniqueCount="412">
  <si>
    <t>Part 6-Wholesale Distribution Center/Terminal Warehouses</t>
  </si>
  <si>
    <t xml:space="preserve">Part 7 - Preventive Food Defense Procedures </t>
  </si>
  <si>
    <t xml:space="preserve">            Fresh Products Branch</t>
  </si>
  <si>
    <t>Center/ Warehouses</t>
  </si>
  <si>
    <t>Defense Procedures</t>
  </si>
  <si>
    <t>**A Passing Score is 80% of the Possible Points or the Adjusted Points, if adjustment are necessary, with no "automatic unsatisfactory" conditions is required for certification.</t>
  </si>
  <si>
    <t>For USDA HQ use:</t>
  </si>
  <si>
    <t>Reviewing Official Name (Print)</t>
  </si>
  <si>
    <t>Date Received:</t>
  </si>
  <si>
    <t>USDA Commodity Procurement Audit?</t>
  </si>
  <si>
    <t>Check One</t>
  </si>
  <si>
    <t>Firm Name:</t>
  </si>
  <si>
    <t>Contact Person:</t>
  </si>
  <si>
    <t>Audit Site(s):</t>
  </si>
  <si>
    <t>Main Address:</t>
  </si>
  <si>
    <t>State:</t>
  </si>
  <si>
    <t>Zip:</t>
  </si>
  <si>
    <t>Telephone No:</t>
  </si>
  <si>
    <t>Fax:</t>
  </si>
  <si>
    <t>E-mail:</t>
  </si>
  <si>
    <t>USDA or Fed-State Office performing audit:</t>
  </si>
  <si>
    <t>Did the auditee participate in GAP &amp; GHP training?</t>
  </si>
  <si>
    <t>Yes</t>
  </si>
  <si>
    <t>No</t>
  </si>
  <si>
    <t>Is there a map that accurately represents the farm operations?</t>
  </si>
  <si>
    <t>For Official Government Use Only</t>
  </si>
  <si>
    <t>Legal Description/GPS/Lat.-Long. of Location:</t>
  </si>
  <si>
    <t>Are all crop production areas located on this audit site?</t>
  </si>
  <si>
    <t>Does the company have more than one packing facility?</t>
  </si>
  <si>
    <t>Is any product commingled prior to packing?</t>
  </si>
  <si>
    <t>Audit Scope: (Please check all scopes audited)</t>
  </si>
  <si>
    <t>General Questions (All audits must begin with and pass this portion)</t>
  </si>
  <si>
    <t>Products:</t>
  </si>
  <si>
    <t>Auditors’ Signature(s):</t>
  </si>
  <si>
    <t>USDA Good Agricultural Practices Good Handling Practices</t>
  </si>
  <si>
    <t>Audit Verification Checklist</t>
  </si>
  <si>
    <t>Will be Assessed</t>
  </si>
  <si>
    <t>Conditions Under Which an Automatic "Unsatisfactory"</t>
  </si>
  <si>
    <t>• The presence or evidence of rodents, an excessive amount of insects or other</t>
  </si>
  <si>
    <t xml:space="preserve">   pests in the produce during packing, processing or storage.</t>
  </si>
  <si>
    <t xml:space="preserve">   packed or held under conditions that promote or cause the produce to become</t>
  </si>
  <si>
    <t xml:space="preserve">   contaminated.</t>
  </si>
  <si>
    <t>• Observation of employee practices (personal or hygienic) that have jeopardized</t>
  </si>
  <si>
    <t xml:space="preserve">   or may jeopardize the safety of the produce.</t>
  </si>
  <si>
    <t>• Falsification of records.</t>
  </si>
  <si>
    <t>Auditor Completion Instructions</t>
  </si>
  <si>
    <t>• For clarification and guidance in answering these questions, please refer to the</t>
  </si>
  <si>
    <t>• Gray boxes in the “N/A” column indicate that question cannot be answered</t>
  </si>
  <si>
    <t>General Questions</t>
  </si>
  <si>
    <t>Implementation of a Food Safety Program</t>
  </si>
  <si>
    <t>Doc</t>
  </si>
  <si>
    <t>N/A</t>
  </si>
  <si>
    <t>NO</t>
  </si>
  <si>
    <t>Points</t>
  </si>
  <si>
    <t>Questions</t>
  </si>
  <si>
    <t>G-1</t>
  </si>
  <si>
    <t>G-2</t>
  </si>
  <si>
    <t>Name</t>
  </si>
  <si>
    <t>D</t>
  </si>
  <si>
    <t>Worker Health &amp; Hygiene</t>
  </si>
  <si>
    <t>G-3</t>
  </si>
  <si>
    <t>G-4</t>
  </si>
  <si>
    <t>G-5</t>
  </si>
  <si>
    <t>G-6</t>
  </si>
  <si>
    <t>G-7</t>
  </si>
  <si>
    <t>G-8</t>
  </si>
  <si>
    <t>G-9</t>
  </si>
  <si>
    <t>G-10</t>
  </si>
  <si>
    <t>G-11</t>
  </si>
  <si>
    <t>G-12</t>
  </si>
  <si>
    <t>G-13</t>
  </si>
  <si>
    <t>G-14</t>
  </si>
  <si>
    <t>G-15</t>
  </si>
  <si>
    <t>COMMENTS:</t>
  </si>
  <si>
    <t>Receiving</t>
  </si>
  <si>
    <t>Pest Control</t>
  </si>
  <si>
    <t>YES</t>
  </si>
  <si>
    <t>6-1</t>
  </si>
  <si>
    <t>6-2</t>
  </si>
  <si>
    <t>6-3</t>
  </si>
  <si>
    <t>6-4</t>
  </si>
  <si>
    <t>Storage Facility/Temperature Control</t>
  </si>
  <si>
    <t>6-5</t>
  </si>
  <si>
    <t>6-6</t>
  </si>
  <si>
    <t>6-7</t>
  </si>
  <si>
    <t>6-8</t>
  </si>
  <si>
    <t>6-9</t>
  </si>
  <si>
    <t>6-10</t>
  </si>
  <si>
    <t>6-11</t>
  </si>
  <si>
    <t>6-12</t>
  </si>
  <si>
    <t>6-13</t>
  </si>
  <si>
    <t>6-14</t>
  </si>
  <si>
    <t>6-15</t>
  </si>
  <si>
    <t>6-16</t>
  </si>
  <si>
    <t>6-17</t>
  </si>
  <si>
    <t>6-18</t>
  </si>
  <si>
    <t>6-19</t>
  </si>
  <si>
    <t>6-20</t>
  </si>
  <si>
    <t>6-21</t>
  </si>
  <si>
    <t>6-22</t>
  </si>
  <si>
    <t>6-23</t>
  </si>
  <si>
    <t>6-24</t>
  </si>
  <si>
    <t>6-25</t>
  </si>
  <si>
    <t>6-26</t>
  </si>
  <si>
    <t>6-27</t>
  </si>
  <si>
    <t xml:space="preserve">Repacking/Reconditioning </t>
  </si>
  <si>
    <t>6-30</t>
  </si>
  <si>
    <t>6-31</t>
  </si>
  <si>
    <t>6-32</t>
  </si>
  <si>
    <t>6-33</t>
  </si>
  <si>
    <t>6-34</t>
  </si>
  <si>
    <t>6-35</t>
  </si>
  <si>
    <t>6-36</t>
  </si>
  <si>
    <t>6-37</t>
  </si>
  <si>
    <t>6-38</t>
  </si>
  <si>
    <t>6-39</t>
  </si>
  <si>
    <t>6-40</t>
  </si>
  <si>
    <t>6-41</t>
  </si>
  <si>
    <t>6-42</t>
  </si>
  <si>
    <t>6-43</t>
  </si>
  <si>
    <t>Shipping/Transportation</t>
  </si>
  <si>
    <t>6-44</t>
  </si>
  <si>
    <t>6-45</t>
  </si>
  <si>
    <t>6-46</t>
  </si>
  <si>
    <t>Secure Employee/Visitor Procedures</t>
  </si>
  <si>
    <t>7-1</t>
  </si>
  <si>
    <t>7-2</t>
  </si>
  <si>
    <t>7-3</t>
  </si>
  <si>
    <t>7-4</t>
  </si>
  <si>
    <t>7-5</t>
  </si>
  <si>
    <t>7-6</t>
  </si>
  <si>
    <t>7-7</t>
  </si>
  <si>
    <t>7-8</t>
  </si>
  <si>
    <t>7-9</t>
  </si>
  <si>
    <t>7-10</t>
  </si>
  <si>
    <t>7-11</t>
  </si>
  <si>
    <t>7-12</t>
  </si>
  <si>
    <t>Name:</t>
  </si>
  <si>
    <t>Scopes</t>
  </si>
  <si>
    <t>Requested</t>
  </si>
  <si>
    <t>Element</t>
  </si>
  <si>
    <t>Possible</t>
  </si>
  <si>
    <t>Less N/A</t>
  </si>
  <si>
    <t>Adjusted</t>
  </si>
  <si>
    <t>Passing</t>
  </si>
  <si>
    <t>Score*</t>
  </si>
  <si>
    <t>Facility</t>
  </si>
  <si>
    <t>Score</t>
  </si>
  <si>
    <t>Date</t>
  </si>
  <si>
    <t>Passed</t>
  </si>
  <si>
    <t>General</t>
  </si>
  <si>
    <t>Reviewing</t>
  </si>
  <si>
    <t>Official</t>
  </si>
  <si>
    <t xml:space="preserve">General Questions </t>
  </si>
  <si>
    <t>Part 6 – Wholesale Distribution</t>
  </si>
  <si>
    <t>Part 7 – Preventative Food</t>
  </si>
  <si>
    <t>EVALUATION ELEMENTS</t>
  </si>
  <si>
    <t>Commodities</t>
  </si>
  <si>
    <t>Street Address (Print):</t>
  </si>
  <si>
    <t>City (Print):</t>
  </si>
  <si>
    <t>State (Print):</t>
  </si>
  <si>
    <t>Date Audit Requested:</t>
  </si>
  <si>
    <t>Date Audit Began:</t>
  </si>
  <si>
    <t>Date Audit Completed:</t>
  </si>
  <si>
    <t>Time Audit Began:</t>
  </si>
  <si>
    <t>Time Audit Completed:</t>
  </si>
  <si>
    <t>Date:</t>
  </si>
  <si>
    <t>Date Certificate Mailed:</t>
  </si>
  <si>
    <t>Date Posted to USDA Website:</t>
  </si>
  <si>
    <t>Secure Facility Procedures</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</si>
  <si>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</si>
  <si>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</si>
  <si>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</si>
  <si>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</si>
  <si>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</si>
  <si>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</si>
  <si>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</si>
  <si>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</si>
  <si>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</si>
  <si>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</si>
  <si>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</si>
  <si>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</si>
  <si>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</si>
  <si>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</si>
  <si>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</si>
  <si>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</si>
  <si>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</si>
  <si>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</si>
  <si>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</si>
  <si>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</si>
  <si>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</si>
  <si>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</si>
  <si>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</si>
  <si>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</si>
  <si>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For further information regarding the USDA GAP &amp; GHP Program</t>
  </si>
  <si>
    <t>Please contact:</t>
  </si>
  <si>
    <t>City:</t>
  </si>
  <si>
    <t>Time:</t>
  </si>
  <si>
    <t>Arrival Date:</t>
  </si>
  <si>
    <t>Departure Date:</t>
  </si>
  <si>
    <t>Facility Name (Print) as it should appear on Certificate:</t>
  </si>
  <si>
    <t>fax number:</t>
  </si>
  <si>
    <t>Zip (Print):</t>
  </si>
  <si>
    <t>e-mail Address (Print):</t>
  </si>
  <si>
    <t>Date of Previous Audit :</t>
  </si>
  <si>
    <t>Un-announced</t>
  </si>
  <si>
    <t>Lead Auditor Name (Print):</t>
  </si>
  <si>
    <t>Commodity:</t>
  </si>
  <si>
    <t>Duty Station:</t>
  </si>
  <si>
    <t>Signature:</t>
  </si>
  <si>
    <t>Send completed GAP&amp;GHP Certificate to: (choose one)</t>
  </si>
  <si>
    <t>Inspection office: (list office)</t>
  </si>
  <si>
    <t>Directly to auditee above:</t>
  </si>
  <si>
    <t>Facility Representative signature:</t>
  </si>
  <si>
    <t>All Scopes Completed:</t>
  </si>
  <si>
    <t>USDA, AMS, FVP, FPB</t>
  </si>
  <si>
    <t>To verify a company's continued good standing in the USDA GAP&amp;GHP Program please visit http://www.ams.usda.gov/gapghp</t>
  </si>
  <si>
    <t xml:space="preserve">            United States Department of Agriculture</t>
  </si>
  <si>
    <t xml:space="preserve">            Agricultural Marketing Services</t>
  </si>
  <si>
    <t>• The "Doc: column-</t>
  </si>
  <si>
    <t xml:space="preserve"> A "D" indicates that a document(s) is required to show conformance to the question.  A document may be a combination of standard operating procedures outlining company policy as well as a record indicating that a particular action was taken. </t>
  </si>
  <si>
    <t>A "R" indicates that a record is required to be kept showing an action was taken.</t>
  </si>
  <si>
    <t xml:space="preserve">• </t>
  </si>
  <si>
    <t>P-1</t>
  </si>
  <si>
    <t>P-2</t>
  </si>
  <si>
    <t>R</t>
  </si>
  <si>
    <t>P</t>
  </si>
  <si>
    <t>Traceability</t>
  </si>
  <si>
    <t>Worker Health and Personal Hygiene</t>
  </si>
  <si>
    <t>6-28</t>
  </si>
  <si>
    <t>6-47</t>
  </si>
  <si>
    <t>6-48</t>
  </si>
  <si>
    <t>Name of management representative:</t>
  </si>
  <si>
    <r>
      <t xml:space="preserve">Part </t>
    </r>
    <r>
      <rPr>
        <b/>
        <sz val="12"/>
        <rFont val="Arial"/>
        <family val="2"/>
      </rPr>
      <t>6</t>
    </r>
    <r>
      <rPr>
        <b/>
        <sz val="11"/>
        <rFont val="Arial"/>
        <family val="2"/>
      </rPr>
      <t xml:space="preserve"> – Wholesale Distribution Center/Terminal Warehouse.…………………………............</t>
    </r>
  </si>
  <si>
    <t xml:space="preserve">Is there a floor plan of the packing house facility(s) indicating flow of product, storage areas, cull areas, employee break rooms, restrooms, offices? </t>
  </si>
  <si>
    <r>
      <t xml:space="preserve">Part </t>
    </r>
    <r>
      <rPr>
        <b/>
        <sz val="12"/>
        <rFont val="Arial"/>
        <family val="2"/>
      </rPr>
      <t>7</t>
    </r>
    <r>
      <rPr>
        <b/>
        <sz val="11"/>
        <rFont val="Arial"/>
        <family val="2"/>
      </rPr>
      <t xml:space="preserve"> – Preventive Food Defense Procedures.………………………….…………...….</t>
    </r>
  </si>
  <si>
    <t>=</t>
  </si>
  <si>
    <t xml:space="preserve">     Subtract "N/A"</t>
  </si>
  <si>
    <t xml:space="preserve">Total Points earned for General Questions = </t>
  </si>
  <si>
    <t xml:space="preserve">     Total Possible</t>
  </si>
  <si>
    <t>The total number of points possible for this section.</t>
  </si>
  <si>
    <t xml:space="preserve">     Adjusted Total</t>
  </si>
  <si>
    <t xml:space="preserve">     X .8 (80%)</t>
  </si>
  <si>
    <t xml:space="preserve">     Passing Score</t>
  </si>
  <si>
    <t>Enter the additive number of N/A points (+points) here.</t>
  </si>
  <si>
    <t>Subtract the N/A points from the Total possible points</t>
  </si>
  <si>
    <t>Multiply the Adjusted Total by .8 and show it as the Passing Score</t>
  </si>
  <si>
    <t>(please mark one)</t>
  </si>
  <si>
    <t xml:space="preserve">This program is intended to assess a participant’s efforts to minimize the risk of contamination of fresh </t>
  </si>
  <si>
    <t xml:space="preserve">fruits, vegetables, nuts and miscellaneous commodities by microbial pathogens based on the U.S. Food </t>
  </si>
  <si>
    <t xml:space="preserve">and Drug Administration’s “Guide to Minimize Microbial Food Safety Hazards for Fresh Fruits and </t>
  </si>
  <si>
    <t>(6-29)  Does the facility repack and/or recondition product?</t>
  </si>
  <si>
    <t>If the answer to question 6-29 is YES, answer questions 6-30 through 6-41. If the answer is</t>
  </si>
  <si>
    <t xml:space="preserve">Based on the U.S. Food and Drug Administration’s Food Producers, Processors, and Transporters: </t>
  </si>
  <si>
    <t>Food Security Preventive Measure Guidance for Industry.</t>
  </si>
  <si>
    <t>Acres:</t>
  </si>
  <si>
    <t>Reviewed (Print):</t>
  </si>
  <si>
    <t>Signature &amp; Date:</t>
  </si>
  <si>
    <r>
      <t xml:space="preserve">                      Audit Verification Program Scoresheet                    </t>
    </r>
    <r>
      <rPr>
        <sz val="9"/>
        <rFont val="Arial"/>
        <family val="2"/>
      </rPr>
      <t>www.ams.usda.gov/gapghp</t>
    </r>
  </si>
  <si>
    <t>Good Agricultural Practices &amp; Good Handling Practices</t>
  </si>
  <si>
    <t>By signing this form, the facility representative agrees to have company information posted to the USDA website. A company will only be listed on the USDA website if all scopes audited receive a passing score.</t>
  </si>
  <si>
    <t xml:space="preserve">Total Points earned for Wholesale Distribution Center/Terminal Warehouse = </t>
  </si>
  <si>
    <t xml:space="preserve">Total Points earned for Preventative Food Defense Procedures = </t>
  </si>
  <si>
    <t>USDA Fruit and Vegetable Programs, Fresh Products Branch, Audit Programs Section at 800-560-7956 Ext. 5</t>
  </si>
  <si>
    <r>
      <t xml:space="preserve">This program is intended to assess a participant’s efforts to minimize the risk of contamination of fresh fruits, vegetables, nuts and miscellaneous commodities by microbial pathogens based on the U.S. Food and Drug Administration’s </t>
    </r>
    <r>
      <rPr>
        <b/>
        <i/>
        <sz val="11"/>
        <rFont val="Arial"/>
        <family val="2"/>
      </rPr>
      <t xml:space="preserve">“Guide to Minimize Microbial Food Safety Hazards for Fresh Fruits and Vegetables,” </t>
    </r>
    <r>
      <rPr>
        <b/>
        <sz val="11"/>
        <rFont val="Arial"/>
        <family val="2"/>
      </rPr>
      <t>and generally recognized good agricultural practices.</t>
    </r>
  </si>
  <si>
    <t>Vegetables,” and generally recognized good agricultural practices.</t>
  </si>
  <si>
    <t>Travel Time</t>
  </si>
  <si>
    <t>Code</t>
  </si>
  <si>
    <t xml:space="preserve">The operation must have designated a person(s) to implement and oversee the operation's food safety program.  </t>
  </si>
  <si>
    <t>Potable water shall be available to all workers.</t>
  </si>
  <si>
    <t xml:space="preserve">Training on proper sanitation and hygiene shall be provided to all staff.  </t>
  </si>
  <si>
    <t xml:space="preserve">All Employees and visitors must follow good sanitation/hygienic practices. </t>
  </si>
  <si>
    <t xml:space="preserve">Employees who handle produce must properly wash their hands before beginning or returning to work.  </t>
  </si>
  <si>
    <t xml:space="preserve">All toilet/restroom facilities shall be clean and properly supplied with single use towels, toilet paper, hand or antibacterial soap and potable water for hand washing.  </t>
  </si>
  <si>
    <t xml:space="preserve">All toilet/restroom facilities shall be serviced and cleaned on a scheduled basis.  </t>
  </si>
  <si>
    <t xml:space="preserve">Smoking and eating shall be confined to designated areas separate from product handling areas.  </t>
  </si>
  <si>
    <t xml:space="preserve">Workers with diarrheal disease or symptoms of other infectious disease shall be prohibited from handling fresh produce.  </t>
  </si>
  <si>
    <t>Company personnel or contracted personnel that apply regulated pre-harvest and/or post harvest material must be licensed.  Company personnel or contracted personnel applying non-regulated materials shall be trained on its proper use.</t>
  </si>
  <si>
    <t xml:space="preserve">Upon receiving, conveyances must be clean, in good physical condition, and shall be free from obvious objectionable odors, dirt, and/or debris at time of unloading.  </t>
  </si>
  <si>
    <t>Company shall not accept produce items that are loaded with, or are not protected from potentially contaminating products.</t>
  </si>
  <si>
    <t xml:space="preserve">Refrigerated commodities shall be monitored for temperatures at the time of receiving.  </t>
  </si>
  <si>
    <t>The company shall have a written policy regarding the disposition of product when temperatures are not within the company's requirements at the time of receiving.</t>
  </si>
  <si>
    <t>The facility shall be clean and maintained in an orderly manner.</t>
  </si>
  <si>
    <t>Refrigerated rooms shall be monitored for temperature and logs are maintained.</t>
  </si>
  <si>
    <t>Thermometer(s) shall be checked for accuracy and records shall be available.</t>
  </si>
  <si>
    <t>Refrigeration system condensation shall not come into contact with the produce.</t>
  </si>
  <si>
    <t>Refrigeration equipment (condensers, fans, etc.) shall be cleaned on a scheduled basis.</t>
  </si>
  <si>
    <t>Iced product shall not drip on pallets of produce stored below.</t>
  </si>
  <si>
    <t>The water used for cooling/ice must be potable.</t>
  </si>
  <si>
    <t>Manufacturing, storage, and transportation facilities used in making and delivering ice used for cooling the product shall be sanitized on a scheduled basis.</t>
  </si>
  <si>
    <t xml:space="preserve">There shall be a policy describing procedures which specify the handling/disposition of finished product which is opened, spilled, or comes in contact with the floor.  </t>
  </si>
  <si>
    <t>Glass materials above product flow zones shall be contained in case of breakage.</t>
  </si>
  <si>
    <t>The grounds shall be reasonably free of litter and debris.</t>
  </si>
  <si>
    <t>The grounds shall be reasonably free of standing water.</t>
  </si>
  <si>
    <t>The facility shall be enclosed.</t>
  </si>
  <si>
    <t>Floor drains shall be free of obstructions.</t>
  </si>
  <si>
    <t>Pipes, ducts, fans, and ceilings in the facility shall be reasonably clean.</t>
  </si>
  <si>
    <t>Possible wastewater spillage shall be prevented from contaminating any food storage or handling areas by barriers, drains, or a sufficient distance.</t>
  </si>
  <si>
    <t>Non-food grade substances such as paints, lubricants, pesticides, etc. shall not be stored in close proximity to the product.</t>
  </si>
  <si>
    <t>Measures shall be taken to exclude animals or pests from the facility.</t>
  </si>
  <si>
    <t>There shall be an established pest control program for the facility.</t>
  </si>
  <si>
    <t>Repacking/reconditioning processes shall be confined to an established location in the facility.</t>
  </si>
  <si>
    <t>Food contact surfaces must be in good condition, cleaned and/or sanitized prior to use, and cleaning logs are maintained.</t>
  </si>
  <si>
    <t>Source water used in the repacking operation shall be potable.</t>
  </si>
  <si>
    <t>Processing water shall be sufficiently treated to reduce microbial contamination.</t>
  </si>
  <si>
    <t>Water treatment (strength levels and pH) and exposure time shall be monitored and is appropriate for product.</t>
  </si>
  <si>
    <t>If applicable, the temperature of processing water used in dump tanks, flumes, etc., shall be monitored and is kept at temperatures appropriate for the commodity.</t>
  </si>
  <si>
    <t>Any ice used for cooling produce shall be manufactured, transported and stored under sanitary conditions.</t>
  </si>
  <si>
    <t>Water used for chilling and/or to make ice must be potable.</t>
  </si>
  <si>
    <t>Only food grade approved and labeled lubricants shall be used in the repacking equipment/machinery.</t>
  </si>
  <si>
    <t>Only new or sanitized containers shall be used for product repacking.</t>
  </si>
  <si>
    <t>Pallets and other containers shall be clean and in good condition.</t>
  </si>
  <si>
    <t>Packing containers shall be properly stored and protected from contamination (birds, rodents, and other pests, etc.).</t>
  </si>
  <si>
    <t>Employee facilities (locker rooms, lunch and break areas, etc.) shall be clean and located away from repack and storage areas.</t>
  </si>
  <si>
    <t xml:space="preserve">When there is a written policy regarding the use of hair nets/beard nets in the facility, it shall be followed by all employees and visitors.  </t>
  </si>
  <si>
    <t>Produce items shall not be loaded with potentially contaminating products.</t>
  </si>
  <si>
    <t>Records shall be kept recording the source of incoming product and the destination of outgoing product which is uniquely identified to enable traceability.</t>
  </si>
  <si>
    <t xml:space="preserve">Employees are aware of whom in management they shall contact about potential security problems/issues. </t>
  </si>
  <si>
    <t>Visitors shall be required to check in (showing proof of identity) and out, when entering/leaving the facility.</t>
  </si>
  <si>
    <t>The purpose of visitation to site shall be verified before admittance to the facility.</t>
  </si>
  <si>
    <t>Visitors shall be prohibited from the packing/storage areas unless accompanied by an employee.</t>
  </si>
  <si>
    <t>Staff is prohibited from bringing personal items into the handling or storage areas.</t>
  </si>
  <si>
    <t>A system of positive identification of employees shall be established and is enforced.</t>
  </si>
  <si>
    <t xml:space="preserve">Computer access must be restricted to specific personnel. </t>
  </si>
  <si>
    <t>A minimum level of background checks shall be established for all employees.</t>
  </si>
  <si>
    <t xml:space="preserve">Routine security checks of the premises shall be performed for signs of tampering, criminal or terrorist activity. </t>
  </si>
  <si>
    <t>Perimeter of facility shall be secured by fencing or other deterrent.</t>
  </si>
  <si>
    <t>Checklists shall be used to verify the security of doors, windows, and other points of entry.</t>
  </si>
  <si>
    <t>All keys to the establishment must be accounted for.</t>
  </si>
  <si>
    <t>The facility shall have an emergency lighting system.</t>
  </si>
  <si>
    <t>Delivery schedules shall be established.</t>
  </si>
  <si>
    <t xml:space="preserve">The organization shall have an established policy for rejecting deliveries. </t>
  </si>
  <si>
    <t>Unauthorized deliveries shall not be accepted.</t>
  </si>
  <si>
    <t>The company shall not accept returned (empty) containers for packing of product unless they are sanitized containers intended for reuse.</t>
  </si>
  <si>
    <t>The facility shall have a program in place to inspect product returned to the facility for tampering.</t>
  </si>
  <si>
    <t>The operation shall perform a “mock recall” that was proven to be effective.</t>
  </si>
  <si>
    <t>Product imported from outside the United States shall be segregated from domestic product.</t>
  </si>
  <si>
    <t xml:space="preserve">Allergens handled by the facility shall be segregated from products to avoid cross contamination. </t>
  </si>
  <si>
    <t xml:space="preserve">Floor plans, product flow plans, and/or segregation charts shall be in a secure location.
</t>
  </si>
  <si>
    <t>The organization must have registered with the FDA and has been issued a registration number (do not record the number on checklist).</t>
  </si>
  <si>
    <r>
      <rPr>
        <sz val="11"/>
        <rFont val="Arial"/>
        <family val="2"/>
      </rPr>
      <t>for use only for</t>
    </r>
    <r>
      <rPr>
        <b/>
        <sz val="11"/>
        <rFont val="Arial"/>
        <family val="2"/>
      </rPr>
      <t xml:space="preserve"> SUBWAY SUPPLIERS</t>
    </r>
  </si>
  <si>
    <t>Not Compliant</t>
  </si>
  <si>
    <t>Compliant</t>
  </si>
  <si>
    <r>
      <t xml:space="preserve">Auditor (s):  </t>
    </r>
    <r>
      <rPr>
        <sz val="10"/>
        <rFont val="Arial"/>
        <family val="2"/>
      </rPr>
      <t>(list all auditors with the lead listed first)</t>
    </r>
  </si>
  <si>
    <r>
      <t>Total acres farmed</t>
    </r>
    <r>
      <rPr>
        <b/>
        <sz val="10"/>
        <rFont val="Arial"/>
        <family val="2"/>
      </rPr>
      <t xml:space="preserve"> (Owned, leased/rented, contracted, consigned)</t>
    </r>
    <r>
      <rPr>
        <b/>
        <sz val="11"/>
        <rFont val="Arial"/>
        <family val="2"/>
      </rPr>
      <t>:</t>
    </r>
  </si>
  <si>
    <t xml:space="preserve">All employees and visitors to the location are required to follow proper sanitation and hygiene practices.  </t>
  </si>
  <si>
    <t xml:space="preserve">Readily understandable signs shall be posted to instruct employees to wash their hands before beginning or returning to work.  </t>
  </si>
  <si>
    <t xml:space="preserve">There is a policy which must describe procedures which specify the handling/distribution of produce or food contact surfaces which have come into contact with blood or other bodily fluids.  </t>
  </si>
  <si>
    <t xml:space="preserve">Workers shall be instructed to seek prompt treatment with clean first aid supplies for cuts, abrasions, and other injuries.  </t>
  </si>
  <si>
    <t>A "P" indicates that a policy/standard operating procedure (SOP) must be documented in the food safety plan in order to show conformance to the question.</t>
  </si>
  <si>
    <t>Product flow zones shall be protected from sources of contamination.</t>
  </si>
  <si>
    <t>Outside garbage receptacles/dumpsters must be closed or are located away from facility entrances and the areas around such sites are reasonably clean.</t>
  </si>
  <si>
    <t xml:space="preserve">Parked vehicles belonging to employees and visitors shall display a decal or placard issued by the facility.
</t>
  </si>
  <si>
    <t xml:space="preserve">Uniforms, name tags, or identification badges shall be collected from employees prior to the termination of employment. 
</t>
  </si>
  <si>
    <t xml:space="preserve">The mailroom shall be located away from the packing/storage facilities. 
</t>
  </si>
  <si>
    <t xml:space="preserve">The off-loading of incoming materials must be supervised. </t>
  </si>
  <si>
    <t>• Answering of Questions P1 or P2 as “Not Compliant”.</t>
  </si>
  <si>
    <t>• Any “N/A” or “Not Compliant” designation must be explained in the comments section.</t>
  </si>
  <si>
    <t>for use only for SUBWAY SUPPLIERS</t>
  </si>
  <si>
    <t>Management is aware of which employee shall be on the premises, and the area to which they are assigned.</t>
  </si>
  <si>
    <t>A system of traceability of computer transactions shall be established.</t>
  </si>
  <si>
    <t xml:space="preserve">Food defense training shall be provided to all employees.
</t>
  </si>
  <si>
    <t>The company shall have a documented food defense plan and a person has been designated to oversee it.</t>
  </si>
  <si>
    <r>
      <t>Person(s)</t>
    </r>
    <r>
      <rPr>
        <b/>
        <sz val="8.5"/>
        <rFont val="Arial"/>
        <family val="2"/>
      </rPr>
      <t xml:space="preserve"> </t>
    </r>
    <r>
      <rPr>
        <b/>
        <sz val="11"/>
        <rFont val="Arial"/>
        <family val="2"/>
      </rPr>
      <t>Interviewed</t>
    </r>
    <r>
      <rPr>
        <b/>
        <sz val="9.5"/>
        <rFont val="Arial"/>
        <family val="2"/>
      </rPr>
      <t xml:space="preserve"> </t>
    </r>
    <r>
      <rPr>
        <sz val="10"/>
        <rFont val="Arial"/>
        <family val="2"/>
      </rPr>
      <t>(use back of sheet if necessary to list all persons interviewed)</t>
    </r>
  </si>
  <si>
    <t>•  An immediate food safety risk is present when produce is grown, processed,</t>
  </si>
  <si>
    <t xml:space="preserve">  Good Agricultural Practices &amp; Good Handling Practices Audit Verification</t>
  </si>
  <si>
    <t xml:space="preserve">  Program Policy and Instruction Guide.</t>
  </si>
  <si>
    <t>• Place the point value for each question in the proper column (Compliant, Not  Compliant, or N/A).</t>
  </si>
  <si>
    <t xml:space="preserve">  “N/A”.</t>
  </si>
  <si>
    <t>The auditee shall have implemented a documented food safety program that incorporates Good Handling Practices.</t>
  </si>
  <si>
    <t xml:space="preserve">The operation shall have a established documented traceability program.  </t>
  </si>
  <si>
    <t xml:space="preserve">The operation shall perform scheduled a "mock recall" and take corrective actions if proven to not be effective. </t>
  </si>
  <si>
    <t>Service reports for the pest control program shall be available for review.</t>
  </si>
  <si>
    <t>Interior walls, floors and ceilings shall be well-maintained and free of major cracks and crevices.</t>
  </si>
  <si>
    <t>to question 6-29 is NO, then questions 6-30 through 6-41 are answered N/A.</t>
  </si>
  <si>
    <t xml:space="preserve">When there is a written policy regarding the wearing of jewelry in the facility, it shall be followed by all affected employees and visitors.   </t>
  </si>
  <si>
    <t xml:space="preserve">Company shall have a written policy for transporters and conveyances to maintain a specified temperature(s) range during transit.  </t>
  </si>
  <si>
    <t>The company shall identify the individual(s),with at least one backup, who are responsible for recalling the product.</t>
  </si>
  <si>
    <t>Storage or vehicles/containers/ trailers/railcars that are not being used shall be kept locked.</t>
  </si>
  <si>
    <t>Staff access in the facility shall be limited to the area related to their job function and unrestricted areas.</t>
  </si>
  <si>
    <t>DUPLICATION OF CORRECTIVE ACTION TAB INSTRUCTIONS</t>
  </si>
  <si>
    <t>Any item on any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</si>
  <si>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t>1. Right-click the "Corrective Action Report" Tab at the bottom of Excel.</t>
  </si>
  <si>
    <t>2. Click "Move or Copy.</t>
  </si>
  <si>
    <t xml:space="preserve">3. Under the box titled "Before Sheet," select "(move to end)" </t>
  </si>
  <si>
    <t>4. Place a check in the box beside "Create a Copy"</t>
  </si>
  <si>
    <t xml:space="preserve">5. Click "Ok" </t>
  </si>
  <si>
    <t>Corrective Action Report</t>
  </si>
  <si>
    <t>USDA Fruit and Vegetable Programs</t>
  </si>
  <si>
    <t xml:space="preserve">    Report #: </t>
  </si>
  <si>
    <t>Good Agricultural Practice &amp; Good Handling Practices</t>
  </si>
  <si>
    <t>of</t>
  </si>
  <si>
    <t>CORRECTIVE ACTION REPORT</t>
  </si>
  <si>
    <t>Company Name/Farm:</t>
  </si>
  <si>
    <t xml:space="preserve">Lead Auditor: </t>
  </si>
  <si>
    <t xml:space="preserve">Crop(s): </t>
  </si>
  <si>
    <t xml:space="preserve">Description of Non-Conformity: </t>
  </si>
  <si>
    <t>Notified company staff at time of finding non-conformity:</t>
  </si>
  <si>
    <t>Checklist question number and/or section of auditee food safety plan non-conformity is associated with:</t>
  </si>
  <si>
    <t xml:space="preserve">Company Representative Signature: </t>
  </si>
  <si>
    <t>SIGNATURE AFFIRMS FACTS CONCERNING NON-CONFORMITY ARE  CORRECT</t>
  </si>
  <si>
    <t xml:space="preserve">Corrective Action Proposed and Time Frame for Implementation: </t>
  </si>
  <si>
    <r>
      <rPr>
        <b/>
        <sz val="9"/>
        <color theme="1"/>
        <rFont val="Arial"/>
        <family val="2"/>
      </rPr>
      <t>Auditor Signature</t>
    </r>
    <r>
      <rPr>
        <sz val="10"/>
        <rFont val="Arial"/>
      </rPr>
      <t xml:space="preserve"> </t>
    </r>
    <r>
      <rPr>
        <sz val="8"/>
        <color theme="1"/>
        <rFont val="Arial"/>
        <family val="2"/>
      </rPr>
      <t xml:space="preserve">for Acceptance of Proposed Corrective Action and Timetable for Implementation: </t>
    </r>
  </si>
  <si>
    <t>USDA Good Agricultural Practices and Good Handling Practices</t>
  </si>
  <si>
    <t>Revised January  26, 2012</t>
  </si>
  <si>
    <t>Not Comp</t>
  </si>
  <si>
    <t xml:space="preserve">All companies shall have an approved supplier program which requires produce suppliers to meet USDA acceptance criteria for a USDA audit appropriate for the commodity(s) being supplied.  </t>
  </si>
  <si>
    <t xml:space="preserve">condition, free from disagreeable odors </t>
  </si>
  <si>
    <t>Prior to the loading process, conveyances</t>
  </si>
  <si>
    <t>and from obvious dirt/debris.</t>
  </si>
  <si>
    <t xml:space="preserve">must be clean, in good physical </t>
  </si>
  <si>
    <t>Incoming and outgoing employee and visitor vehicles to and from the site shall be subject to inspection.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</si>
</sst>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409]h:mm\ AM/PM;@"/>
    <numFmt numFmtId="165" formatCode="m/d/yyyy;@"/>
    <numFmt numFmtId="166" formatCode="[&lt;=9999999]###\-####;\(###\)\ ###\-####"/>
    <numFmt numFmtId="167" formatCode="&quot;&quot;"/>
  </numFmts>
  <fonts count="47" x14ac:knownFonts="1">
    <font>
      <sz val="10"/>
      <name val="Arial"/>
    </font>
    <font>
      <sz val="11"/>
      <color theme="1"/>
      <name val="Calibri"/>
      <family val="2"/>
      <scheme val="minor"/>
    </font>
    <font>
      <sz val="10"/>
      <name val="Arial"/>
      <family val="2"/>
    </font>
    <font>
      <sz val="10"/>
      <name val="Arial"/>
      <family val="2"/>
    </font>
    <font>
      <sz val="11"/>
      <name val="Arial"/>
      <family val="2"/>
    </font>
    <font>
      <b/>
      <sz val="12"/>
      <name val="Georgia"/>
      <family val="1"/>
    </font>
    <font>
      <b/>
      <sz val="8"/>
      <name val="Georgia"/>
      <family val="1"/>
    </font>
    <font>
      <b/>
      <sz val="11"/>
      <name val="Georgia"/>
      <family val="1"/>
    </font>
    <font>
      <sz val="8"/>
      <name val="Arial"/>
      <family val="2"/>
    </font>
    <font>
      <sz val="11"/>
      <name val="Georgia"/>
      <family val="1"/>
    </font>
    <font>
      <sz val="12"/>
      <name val="Arial"/>
      <family val="2"/>
    </font>
    <font>
      <b/>
      <vertAlign val="superscript"/>
      <sz val="10"/>
      <name val="Arial"/>
      <family val="2"/>
    </font>
    <font>
      <b/>
      <sz val="8"/>
      <name val="Arial"/>
      <family val="2"/>
    </font>
    <font>
      <b/>
      <sz val="10"/>
      <name val="Arial"/>
      <family val="2"/>
    </font>
    <font>
      <b/>
      <sz val="14"/>
      <name val="Arial"/>
      <family val="2"/>
    </font>
    <font>
      <b/>
      <sz val="8.5"/>
      <name val="Arial"/>
      <family val="2"/>
    </font>
    <font>
      <b/>
      <sz val="8.6999999999999993"/>
      <name val="Arial"/>
      <family val="2"/>
    </font>
    <font>
      <b/>
      <sz val="11"/>
      <name val="Arial"/>
      <family val="2"/>
    </font>
    <font>
      <sz val="11"/>
      <name val="Arial"/>
      <family val="2"/>
    </font>
    <font>
      <b/>
      <i/>
      <sz val="11"/>
      <name val="Arial"/>
      <family val="2"/>
    </font>
    <font>
      <sz val="8"/>
      <name val="Arial"/>
      <family val="2"/>
    </font>
    <font>
      <sz val="9"/>
      <name val="Arial"/>
      <family val="2"/>
    </font>
    <font>
      <b/>
      <sz val="6"/>
      <name val="Arial"/>
      <family val="2"/>
    </font>
    <font>
      <b/>
      <sz val="7"/>
      <name val="Arial"/>
      <family val="2"/>
    </font>
    <font>
      <sz val="7"/>
      <name val="Arial"/>
      <family val="2"/>
    </font>
    <font>
      <b/>
      <sz val="9"/>
      <name val="Arial"/>
      <family val="2"/>
    </font>
    <font>
      <b/>
      <sz val="12"/>
      <name val="Arial"/>
      <family val="2"/>
    </font>
    <font>
      <sz val="12"/>
      <name val="Arial"/>
      <family val="2"/>
    </font>
    <font>
      <b/>
      <sz val="9.5"/>
      <name val="Arial"/>
      <family val="2"/>
    </font>
    <font>
      <sz val="14"/>
      <name val="Arial"/>
      <family val="2"/>
    </font>
    <font>
      <b/>
      <sz val="16"/>
      <name val="Arial"/>
      <family val="2"/>
    </font>
    <font>
      <sz val="16"/>
      <name val="Arial"/>
      <family val="2"/>
    </font>
    <font>
      <i/>
      <sz val="11"/>
      <name val="Arial"/>
      <family val="2"/>
    </font>
    <font>
      <vertAlign val="superscript"/>
      <sz val="10"/>
      <name val="Arial"/>
      <family val="2"/>
    </font>
    <font>
      <b/>
      <sz val="10.5"/>
      <name val="Arial"/>
      <family val="2"/>
    </font>
    <font>
      <b/>
      <sz val="24"/>
      <name val="Arial"/>
      <family val="2"/>
    </font>
    <font>
      <b/>
      <sz val="14"/>
      <color theme="1"/>
      <name val="Arial"/>
      <family val="2"/>
    </font>
    <font>
      <sz val="11"/>
      <color theme="1"/>
      <name val="Arial"/>
      <family val="2"/>
    </font>
    <font>
      <b/>
      <sz val="14"/>
      <color theme="1"/>
      <name val="Calibri"/>
      <family val="2"/>
      <scheme val="minor"/>
    </font>
    <font>
      <b/>
      <sz val="9"/>
      <color theme="1"/>
      <name val="Arial"/>
      <family val="2"/>
    </font>
    <font>
      <sz val="9"/>
      <color theme="1"/>
      <name val="Arial"/>
      <family val="2"/>
    </font>
    <font>
      <sz val="10"/>
      <color theme="1"/>
      <name val="Arial"/>
      <family val="2"/>
    </font>
    <font>
      <sz val="12"/>
      <color theme="1"/>
      <name val="Arial"/>
      <family val="2"/>
    </font>
    <font>
      <i/>
      <sz val="12"/>
      <color theme="1"/>
      <name val="Arial"/>
      <family val="2"/>
    </font>
    <font>
      <sz val="7"/>
      <color theme="1"/>
      <name val="Arial"/>
      <family val="2"/>
    </font>
    <font>
      <sz val="8"/>
      <color theme="1"/>
      <name val="Arial"/>
      <family val="2"/>
    </font>
    <font>
      <b/>
      <u/>
      <sz val="12"/>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4659260841701"/>
        <bgColor indexed="64"/>
      </patternFill>
    </fill>
  </fills>
  <borders count="2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medium">
        <color indexed="64"/>
      </bottom>
      <diagonal/>
    </border>
    <border>
      <left style="thin">
        <color auto="1"/>
      </left>
      <right/>
      <top style="medium">
        <color auto="1"/>
      </top>
      <bottom/>
      <diagonal/>
    </border>
    <border>
      <left/>
      <right style="thin">
        <color indexed="64"/>
      </right>
      <top style="medium">
        <color indexed="64"/>
      </top>
      <bottom/>
      <diagonal/>
    </border>
  </borders>
  <cellStyleXfs count="3">
    <xf numFmtId="0" fontId="0" fillId="0" borderId="0"/>
    <xf numFmtId="0" fontId="2" fillId="0" borderId="0"/>
    <xf numFmtId="0" fontId="1" fillId="0" borderId="0"/>
  </cellStyleXfs>
  <cellXfs count="761">
    <xf numFmtId="0" fontId="0" fillId="0" borderId="0" xfId="0"/>
    <xf numFmtId="0" fontId="5" fillId="0" borderId="0" xfId="0" applyFont="1"/>
    <xf numFmtId="0" fontId="3" fillId="0" borderId="0" xfId="0" applyFont="1"/>
    <xf numFmtId="0" fontId="5" fillId="0" borderId="0" xfId="0" applyFont="1" applyAlignment="1"/>
    <xf numFmtId="0" fontId="5" fillId="0" borderId="0" xfId="0" applyFont="1" applyAlignment="1">
      <alignment horizontal="center"/>
    </xf>
    <xf numFmtId="0" fontId="0" fillId="0" borderId="0" xfId="0" applyFill="1"/>
    <xf numFmtId="0" fontId="0" fillId="0" borderId="0" xfId="0" applyProtection="1">
      <protection locked="0"/>
    </xf>
    <xf numFmtId="0" fontId="0" fillId="0" borderId="0" xfId="0" applyProtection="1"/>
    <xf numFmtId="0" fontId="0" fillId="0" borderId="0" xfId="0" applyBorder="1" applyAlignment="1">
      <alignment vertical="justify"/>
    </xf>
    <xf numFmtId="0" fontId="0" fillId="0" borderId="0" xfId="0" applyBorder="1"/>
    <xf numFmtId="0" fontId="12" fillId="0" borderId="3" xfId="0" applyFont="1" applyBorder="1" applyAlignment="1" applyProtection="1">
      <alignment horizontal="center"/>
    </xf>
    <xf numFmtId="0" fontId="12" fillId="0" borderId="4" xfId="0" applyFont="1" applyBorder="1" applyAlignment="1" applyProtection="1">
      <alignment horizontal="center"/>
    </xf>
    <xf numFmtId="0" fontId="15" fillId="0" borderId="0" xfId="0" applyFont="1" applyAlignment="1" applyProtection="1">
      <alignment horizontal="right"/>
    </xf>
    <xf numFmtId="0" fontId="4" fillId="0" borderId="0" xfId="0" applyFont="1" applyBorder="1" applyAlignment="1" applyProtection="1">
      <alignment horizontal="center" vertical="justify"/>
    </xf>
    <xf numFmtId="0" fontId="2" fillId="0" borderId="0" xfId="0" applyFont="1" applyBorder="1"/>
    <xf numFmtId="0" fontId="26" fillId="0" borderId="2" xfId="0" applyFont="1" applyBorder="1" applyAlignment="1" applyProtection="1">
      <alignment horizontal="center"/>
    </xf>
    <xf numFmtId="0" fontId="25" fillId="0" borderId="0" xfId="0" applyFont="1" applyBorder="1" applyAlignment="1"/>
    <xf numFmtId="0" fontId="17" fillId="0" borderId="0" xfId="0" applyFont="1" applyBorder="1" applyProtection="1"/>
    <xf numFmtId="0" fontId="3" fillId="0" borderId="0" xfId="0" applyFont="1" applyProtection="1"/>
    <xf numFmtId="0" fontId="27" fillId="0" borderId="2" xfId="0" applyFont="1" applyBorder="1" applyAlignment="1" applyProtection="1">
      <alignment horizontal="center"/>
      <protection locked="0"/>
    </xf>
    <xf numFmtId="0" fontId="6" fillId="0" borderId="0" xfId="0" applyFont="1" applyAlignment="1" applyProtection="1"/>
    <xf numFmtId="0" fontId="18" fillId="0" borderId="0" xfId="0" applyFont="1" applyProtection="1">
      <protection locked="0"/>
    </xf>
    <xf numFmtId="0" fontId="18" fillId="0" borderId="0" xfId="0" applyFont="1"/>
    <xf numFmtId="0" fontId="0" fillId="0" borderId="0" xfId="0"/>
    <xf numFmtId="0" fontId="17" fillId="0" borderId="0" xfId="0" applyFont="1" applyAlignment="1" applyProtection="1">
      <alignment horizontal="right"/>
    </xf>
    <xf numFmtId="0" fontId="3" fillId="0" borderId="0" xfId="0" applyFont="1" applyAlignment="1" applyProtection="1"/>
    <xf numFmtId="0" fontId="0" fillId="0" borderId="0" xfId="0" applyProtection="1"/>
    <xf numFmtId="0" fontId="0" fillId="0" borderId="0" xfId="0"/>
    <xf numFmtId="0" fontId="0" fillId="0" borderId="0" xfId="0" applyAlignment="1" applyProtection="1"/>
    <xf numFmtId="0" fontId="0" fillId="0" borderId="0" xfId="0" applyAlignment="1"/>
    <xf numFmtId="0" fontId="0" fillId="0" borderId="0" xfId="0" applyProtection="1"/>
    <xf numFmtId="0" fontId="0" fillId="0" borderId="0" xfId="0"/>
    <xf numFmtId="0" fontId="17" fillId="0" borderId="2" xfId="0" applyFont="1" applyBorder="1" applyAlignment="1" applyProtection="1">
      <alignment horizontal="center" vertical="center"/>
    </xf>
    <xf numFmtId="0" fontId="17" fillId="0" borderId="2" xfId="0" applyFont="1" applyBorder="1" applyAlignment="1" applyProtection="1">
      <alignment horizontal="center" vertical="center"/>
      <protection locked="0"/>
    </xf>
    <xf numFmtId="0" fontId="0" fillId="0" borderId="0" xfId="0" applyAlignment="1"/>
    <xf numFmtId="0" fontId="5" fillId="0" borderId="0" xfId="0" applyFont="1" applyAlignment="1" applyProtection="1"/>
    <xf numFmtId="0" fontId="0" fillId="0" borderId="0" xfId="0" applyProtection="1">
      <protection locked="0"/>
    </xf>
    <xf numFmtId="0" fontId="26" fillId="0" borderId="0" xfId="0" applyFont="1" applyAlignment="1" applyProtection="1">
      <alignment horizontal="right" vertical="top" wrapText="1"/>
    </xf>
    <xf numFmtId="0" fontId="10" fillId="0" borderId="0" xfId="0" applyFont="1" applyAlignment="1" applyProtection="1">
      <alignment horizontal="right"/>
    </xf>
    <xf numFmtId="0" fontId="10" fillId="0" borderId="0" xfId="0" applyFont="1" applyAlignment="1" applyProtection="1">
      <alignment horizontal="right" vertical="top"/>
    </xf>
    <xf numFmtId="0" fontId="26" fillId="0" borderId="0" xfId="0" applyFont="1"/>
    <xf numFmtId="0" fontId="4" fillId="0" borderId="0" xfId="0" applyFont="1"/>
    <xf numFmtId="0" fontId="26" fillId="0" borderId="11" xfId="0" applyFont="1" applyBorder="1" applyAlignment="1">
      <alignment horizontal="center"/>
    </xf>
    <xf numFmtId="0" fontId="0" fillId="0" borderId="0" xfId="0" applyBorder="1"/>
    <xf numFmtId="0" fontId="17" fillId="2" borderId="2" xfId="0" applyFont="1" applyFill="1" applyBorder="1" applyAlignment="1" applyProtection="1">
      <alignment horizontal="center" vertical="center"/>
    </xf>
    <xf numFmtId="0" fontId="29" fillId="0" borderId="0" xfId="0" applyFont="1"/>
    <xf numFmtId="0" fontId="0" fillId="0" borderId="0" xfId="0" applyBorder="1" applyProtection="1">
      <protection locked="0"/>
    </xf>
    <xf numFmtId="0" fontId="29" fillId="0" borderId="0" xfId="0" applyFont="1" applyAlignment="1">
      <alignment vertical="center"/>
    </xf>
    <xf numFmtId="0" fontId="13" fillId="2" borderId="2" xfId="0" applyFont="1" applyFill="1" applyBorder="1" applyAlignment="1" applyProtection="1">
      <alignment horizontal="center" vertical="center"/>
    </xf>
    <xf numFmtId="0" fontId="17" fillId="0" borderId="2" xfId="0" applyFont="1" applyBorder="1" applyAlignment="1" applyProtection="1">
      <alignment horizontal="center"/>
      <protection locked="0"/>
    </xf>
    <xf numFmtId="0" fontId="14" fillId="2" borderId="1" xfId="0" applyFont="1" applyFill="1" applyBorder="1" applyAlignment="1" applyProtection="1">
      <alignment vertical="justify"/>
    </xf>
    <xf numFmtId="0" fontId="0" fillId="0" borderId="2" xfId="0" applyBorder="1" applyAlignment="1" applyProtection="1">
      <protection locked="0"/>
    </xf>
    <xf numFmtId="0" fontId="17" fillId="0" borderId="0" xfId="0" applyFont="1"/>
    <xf numFmtId="0" fontId="26" fillId="0" borderId="11" xfId="0" applyFont="1" applyBorder="1" applyAlignment="1" applyProtection="1">
      <alignment horizontal="center"/>
      <protection locked="0"/>
    </xf>
    <xf numFmtId="0" fontId="26" fillId="0" borderId="23" xfId="0" applyFont="1" applyBorder="1" applyAlignment="1" applyProtection="1">
      <alignment horizontal="center"/>
      <protection locked="0"/>
    </xf>
    <xf numFmtId="0" fontId="0" fillId="0" borderId="0" xfId="0"/>
    <xf numFmtId="0" fontId="17" fillId="0" borderId="0" xfId="0" applyFont="1" applyBorder="1" applyAlignment="1" applyProtection="1"/>
    <xf numFmtId="0" fontId="7" fillId="0" borderId="0" xfId="0" applyFont="1" applyAlignment="1" applyProtection="1"/>
    <xf numFmtId="0" fontId="0" fillId="0" borderId="0" xfId="0" applyProtection="1"/>
    <xf numFmtId="0" fontId="10" fillId="0" borderId="2" xfId="0" applyFont="1" applyBorder="1" applyAlignment="1" applyProtection="1">
      <alignment horizontal="center"/>
      <protection locked="0"/>
    </xf>
    <xf numFmtId="0" fontId="2" fillId="0" borderId="2" xfId="0" applyFont="1" applyBorder="1" applyAlignment="1" applyProtection="1">
      <alignment horizontal="center"/>
      <protection locked="0"/>
    </xf>
    <xf numFmtId="0" fontId="17" fillId="2" borderId="2" xfId="0" applyFont="1" applyFill="1" applyBorder="1" applyAlignment="1" applyProtection="1">
      <alignment horizontal="center" vertical="center"/>
    </xf>
    <xf numFmtId="49" fontId="17" fillId="0" borderId="3" xfId="0" applyNumberFormat="1" applyFont="1" applyBorder="1" applyAlignment="1" applyProtection="1">
      <alignment horizontal="left" vertical="justify" wrapText="1"/>
    </xf>
    <xf numFmtId="0" fontId="17" fillId="2" borderId="2" xfId="0" applyFont="1" applyFill="1" applyBorder="1" applyAlignment="1" applyProtection="1">
      <alignment horizontal="center" vertical="center" wrapText="1"/>
    </xf>
    <xf numFmtId="0" fontId="27" fillId="0" borderId="0" xfId="0" applyFont="1" applyBorder="1" applyAlignment="1" applyProtection="1"/>
    <xf numFmtId="0" fontId="9" fillId="0" borderId="0" xfId="0" applyFont="1" applyAlignment="1" applyProtection="1"/>
    <xf numFmtId="0" fontId="0" fillId="0" borderId="0" xfId="0" applyAlignment="1"/>
    <xf numFmtId="0" fontId="0" fillId="0" borderId="0" xfId="0"/>
    <xf numFmtId="0" fontId="17" fillId="2" borderId="2" xfId="0" applyFont="1" applyFill="1" applyBorder="1" applyAlignment="1" applyProtection="1">
      <alignment horizontal="center" vertical="center"/>
    </xf>
    <xf numFmtId="0" fontId="0" fillId="0" borderId="0" xfId="0" applyAlignment="1"/>
    <xf numFmtId="0" fontId="0" fillId="0" borderId="0" xfId="0"/>
    <xf numFmtId="0" fontId="0" fillId="0" borderId="0" xfId="0" applyProtection="1"/>
    <xf numFmtId="0" fontId="2" fillId="0" borderId="0" xfId="1"/>
    <xf numFmtId="0" fontId="2" fillId="0" borderId="0" xfId="1" applyFont="1"/>
    <xf numFmtId="0" fontId="2" fillId="0" borderId="0" xfId="1" applyFont="1" applyAlignment="1" applyProtection="1"/>
    <xf numFmtId="0" fontId="26" fillId="0" borderId="2" xfId="1" applyFont="1" applyBorder="1" applyAlignment="1" applyProtection="1">
      <alignment horizontal="center"/>
      <protection locked="0"/>
    </xf>
    <xf numFmtId="0" fontId="2" fillId="0" borderId="0" xfId="1"/>
    <xf numFmtId="0" fontId="26" fillId="0" borderId="11" xfId="1" applyFont="1" applyBorder="1" applyAlignment="1" applyProtection="1">
      <alignment horizontal="center"/>
    </xf>
    <xf numFmtId="0" fontId="26" fillId="0" borderId="23" xfId="1" applyFont="1" applyBorder="1" applyAlignment="1" applyProtection="1">
      <alignment horizontal="center"/>
    </xf>
    <xf numFmtId="0" fontId="2" fillId="0" borderId="0" xfId="1" applyProtection="1">
      <protection locked="0"/>
    </xf>
    <xf numFmtId="0" fontId="2" fillId="0" borderId="0" xfId="1" applyAlignment="1"/>
    <xf numFmtId="0" fontId="6" fillId="0" borderId="0" xfId="1" applyFont="1" applyAlignment="1" applyProtection="1"/>
    <xf numFmtId="0" fontId="14" fillId="2" borderId="1" xfId="1" applyFont="1" applyFill="1" applyBorder="1" applyAlignment="1" applyProtection="1">
      <alignment vertical="justify"/>
    </xf>
    <xf numFmtId="0" fontId="4" fillId="0" borderId="0" xfId="1" applyFont="1"/>
    <xf numFmtId="0" fontId="4" fillId="0" borderId="0" xfId="1" applyFont="1" applyProtection="1">
      <protection locked="0"/>
    </xf>
    <xf numFmtId="0" fontId="17" fillId="0" borderId="2" xfId="1" applyFont="1" applyBorder="1" applyAlignment="1" applyProtection="1">
      <alignment horizontal="center"/>
    </xf>
    <xf numFmtId="0" fontId="17" fillId="0" borderId="2" xfId="1" applyFont="1" applyBorder="1" applyAlignment="1" applyProtection="1">
      <alignment horizontal="center"/>
      <protection locked="0"/>
    </xf>
    <xf numFmtId="49" fontId="17" fillId="0" borderId="3" xfId="1" applyNumberFormat="1" applyFont="1" applyBorder="1" applyAlignment="1" applyProtection="1">
      <alignment horizontal="center" vertical="justify"/>
    </xf>
    <xf numFmtId="0" fontId="17" fillId="0" borderId="10" xfId="1" applyFont="1" applyBorder="1" applyProtection="1"/>
    <xf numFmtId="0" fontId="2" fillId="0" borderId="0" xfId="1" applyFont="1" applyAlignment="1" applyProtection="1">
      <alignment wrapText="1"/>
    </xf>
    <xf numFmtId="0" fontId="2" fillId="0" borderId="0" xfId="1" applyProtection="1"/>
    <xf numFmtId="0" fontId="26" fillId="0" borderId="0" xfId="1" applyFont="1" applyProtection="1"/>
    <xf numFmtId="0" fontId="17" fillId="2" borderId="2" xfId="1" applyFont="1" applyFill="1" applyBorder="1" applyAlignment="1" applyProtection="1">
      <alignment horizontal="center" vertical="center"/>
    </xf>
    <xf numFmtId="0" fontId="17" fillId="2" borderId="2" xfId="1" applyFont="1" applyFill="1" applyBorder="1" applyAlignment="1" applyProtection="1">
      <alignment horizontal="center" vertical="center" wrapText="1"/>
    </xf>
    <xf numFmtId="0" fontId="13" fillId="2" borderId="2" xfId="1" applyFont="1" applyFill="1" applyBorder="1" applyAlignment="1" applyProtection="1">
      <alignment horizontal="center" vertical="center"/>
    </xf>
    <xf numFmtId="0" fontId="17" fillId="2" borderId="2" xfId="1" applyFont="1" applyFill="1" applyBorder="1" applyAlignment="1" applyProtection="1">
      <alignment horizontal="center" vertical="center"/>
    </xf>
    <xf numFmtId="0" fontId="2" fillId="0" borderId="0" xfId="1" applyAlignment="1">
      <alignment horizontal="center"/>
    </xf>
    <xf numFmtId="0" fontId="2" fillId="2" borderId="2" xfId="1" applyFont="1" applyFill="1" applyBorder="1" applyProtection="1"/>
    <xf numFmtId="0" fontId="17" fillId="0" borderId="2" xfId="1" applyFont="1" applyBorder="1" applyAlignment="1" applyProtection="1">
      <alignment horizontal="center" vertical="center"/>
      <protection locked="0"/>
    </xf>
    <xf numFmtId="0" fontId="2" fillId="0" borderId="0" xfId="1" applyAlignment="1">
      <alignment vertical="top"/>
    </xf>
    <xf numFmtId="0" fontId="4" fillId="0" borderId="0" xfId="1" applyFont="1" applyAlignment="1">
      <alignment vertical="center"/>
    </xf>
    <xf numFmtId="0" fontId="2" fillId="0" borderId="0" xfId="1" applyAlignment="1"/>
    <xf numFmtId="0" fontId="2" fillId="0" borderId="0" xfId="1"/>
    <xf numFmtId="0" fontId="10" fillId="0" borderId="0" xfId="0" applyFont="1" applyAlignment="1" applyProtection="1"/>
    <xf numFmtId="0" fontId="10" fillId="0" borderId="0" xfId="0" applyFont="1" applyAlignment="1"/>
    <xf numFmtId="0" fontId="17" fillId="0" borderId="2" xfId="1" applyFont="1" applyBorder="1" applyAlignment="1" applyProtection="1">
      <alignment horizontal="center" vertical="top"/>
    </xf>
    <xf numFmtId="0" fontId="17" fillId="0" borderId="2" xfId="1" applyFont="1" applyBorder="1" applyAlignment="1" applyProtection="1">
      <alignment horizontal="center" vertical="center"/>
    </xf>
    <xf numFmtId="0" fontId="1" fillId="0" borderId="0" xfId="2"/>
    <xf numFmtId="0" fontId="36" fillId="0" borderId="0" xfId="2" applyFont="1" applyAlignment="1">
      <alignment horizontal="center" wrapText="1"/>
    </xf>
    <xf numFmtId="0" fontId="1" fillId="0" borderId="10" xfId="2" applyBorder="1" applyAlignment="1"/>
    <xf numFmtId="0" fontId="40" fillId="0" borderId="7" xfId="2" applyFont="1" applyBorder="1" applyAlignment="1" applyProtection="1">
      <alignment horizontal="center"/>
      <protection locked="0"/>
    </xf>
    <xf numFmtId="0" fontId="40" fillId="0" borderId="0" xfId="2" applyFont="1" applyBorder="1" applyAlignment="1">
      <alignment horizontal="center"/>
    </xf>
    <xf numFmtId="0" fontId="40" fillId="0" borderId="9" xfId="2" applyFont="1" applyBorder="1" applyAlignment="1" applyProtection="1">
      <alignment horizontal="center"/>
      <protection locked="0"/>
    </xf>
    <xf numFmtId="0" fontId="39" fillId="0" borderId="5" xfId="2" applyFont="1" applyBorder="1"/>
    <xf numFmtId="0" fontId="1" fillId="0" borderId="1" xfId="2" applyBorder="1"/>
    <xf numFmtId="0" fontId="1" fillId="0" borderId="6" xfId="2" applyBorder="1"/>
    <xf numFmtId="0" fontId="1" fillId="0" borderId="7" xfId="2" applyBorder="1"/>
    <xf numFmtId="0" fontId="1" fillId="0" borderId="10" xfId="2" applyBorder="1"/>
    <xf numFmtId="0" fontId="39" fillId="0" borderId="5" xfId="2" applyFont="1" applyBorder="1" applyAlignment="1">
      <alignment vertical="top" wrapText="1"/>
    </xf>
    <xf numFmtId="0" fontId="1" fillId="0" borderId="0" xfId="2" applyBorder="1"/>
    <xf numFmtId="0" fontId="1" fillId="0" borderId="15" xfId="2" applyBorder="1"/>
    <xf numFmtId="0" fontId="1" fillId="0" borderId="9" xfId="2" applyBorder="1"/>
    <xf numFmtId="0" fontId="40" fillId="0" borderId="5" xfId="2" applyFont="1" applyBorder="1" applyAlignment="1">
      <alignment vertical="top"/>
    </xf>
    <xf numFmtId="0" fontId="40" fillId="0" borderId="12" xfId="2" applyFont="1" applyBorder="1" applyAlignment="1" applyProtection="1">
      <alignment horizontal="center"/>
      <protection locked="0"/>
    </xf>
    <xf numFmtId="0" fontId="44" fillId="0" borderId="7" xfId="2" applyFont="1" applyBorder="1"/>
    <xf numFmtId="0" fontId="1" fillId="0" borderId="13" xfId="2" applyBorder="1"/>
    <xf numFmtId="0" fontId="10" fillId="0" borderId="7" xfId="0" applyFont="1" applyBorder="1" applyAlignment="1" applyProtection="1">
      <protection locked="0"/>
    </xf>
    <xf numFmtId="0" fontId="26" fillId="0" borderId="0" xfId="1" applyFont="1" applyAlignment="1" applyProtection="1">
      <alignment horizontal="left"/>
    </xf>
    <xf numFmtId="0" fontId="26" fillId="0" borderId="0" xfId="1" applyFont="1" applyAlignment="1" applyProtection="1"/>
    <xf numFmtId="0" fontId="10" fillId="0" borderId="2" xfId="0" applyFont="1" applyBorder="1" applyProtection="1">
      <protection locked="0"/>
    </xf>
    <xf numFmtId="0" fontId="13" fillId="0" borderId="0" xfId="0" applyFont="1" applyBorder="1" applyAlignment="1" applyProtection="1">
      <alignment horizontal="center" vertical="justify"/>
    </xf>
    <xf numFmtId="0" fontId="12" fillId="0" borderId="1" xfId="0" applyFont="1" applyBorder="1" applyAlignment="1" applyProtection="1"/>
    <xf numFmtId="0" fontId="12" fillId="0" borderId="5" xfId="0" applyFont="1" applyBorder="1" applyAlignment="1" applyProtection="1">
      <alignment horizontal="center"/>
    </xf>
    <xf numFmtId="0" fontId="25" fillId="0" borderId="0" xfId="0" applyFont="1" applyAlignment="1"/>
    <xf numFmtId="0" fontId="12" fillId="0" borderId="6" xfId="0" applyFont="1" applyBorder="1" applyAlignment="1" applyProtection="1">
      <alignment horizontal="center"/>
    </xf>
    <xf numFmtId="0" fontId="26" fillId="0" borderId="10" xfId="1" applyFont="1" applyBorder="1" applyAlignment="1" applyProtection="1"/>
    <xf numFmtId="0" fontId="2" fillId="0" borderId="7" xfId="0" applyFont="1" applyBorder="1"/>
    <xf numFmtId="0" fontId="10" fillId="0" borderId="2" xfId="0" applyFont="1" applyBorder="1" applyAlignment="1" applyProtection="1">
      <alignment horizontal="center" vertical="center"/>
      <protection locked="0"/>
    </xf>
    <xf numFmtId="0" fontId="2" fillId="0" borderId="0" xfId="0" applyFont="1" applyBorder="1" applyAlignment="1" applyProtection="1"/>
    <xf numFmtId="14" fontId="26" fillId="0" borderId="7" xfId="0" applyNumberFormat="1" applyFont="1" applyBorder="1" applyAlignment="1" applyProtection="1">
      <alignment horizontal="left"/>
      <protection locked="0"/>
    </xf>
    <xf numFmtId="0" fontId="2" fillId="0" borderId="0" xfId="0" applyFont="1" applyAlignment="1" applyProtection="1"/>
    <xf numFmtId="0" fontId="2" fillId="0" borderId="0" xfId="0" applyFont="1" applyAlignment="1"/>
    <xf numFmtId="0" fontId="26" fillId="0" borderId="0" xfId="0" applyFont="1" applyAlignment="1" applyProtection="1"/>
    <xf numFmtId="0" fontId="0" fillId="0" borderId="0" xfId="0"/>
    <xf numFmtId="0" fontId="17" fillId="0" borderId="0" xfId="0" applyFont="1" applyAlignment="1" applyProtection="1"/>
    <xf numFmtId="0" fontId="10" fillId="0" borderId="7" xfId="0" applyFont="1" applyBorder="1" applyAlignment="1" applyProtection="1">
      <protection locked="0"/>
    </xf>
    <xf numFmtId="0" fontId="27" fillId="0" borderId="7" xfId="0" applyFont="1" applyBorder="1" applyAlignment="1" applyProtection="1">
      <protection locked="0"/>
    </xf>
    <xf numFmtId="0" fontId="3" fillId="0" borderId="10" xfId="0" applyFont="1" applyBorder="1" applyAlignment="1" applyProtection="1"/>
    <xf numFmtId="0" fontId="0" fillId="0" borderId="0" xfId="0" applyAlignment="1"/>
    <xf numFmtId="14" fontId="10" fillId="0" borderId="8" xfId="0" applyNumberFormat="1" applyFont="1" applyBorder="1" applyAlignment="1" applyProtection="1">
      <alignment horizontal="center"/>
      <protection locked="0"/>
    </xf>
    <xf numFmtId="0" fontId="17" fillId="0" borderId="10" xfId="0" applyFont="1" applyBorder="1" applyAlignment="1">
      <alignment horizontal="right"/>
    </xf>
    <xf numFmtId="0" fontId="0" fillId="0" borderId="15" xfId="0" applyBorder="1" applyAlignment="1"/>
    <xf numFmtId="0" fontId="17" fillId="0" borderId="0" xfId="0" applyFont="1" applyAlignment="1" applyProtection="1">
      <alignment horizontal="right"/>
    </xf>
    <xf numFmtId="0" fontId="0" fillId="0" borderId="0" xfId="0" applyProtection="1"/>
    <xf numFmtId="0" fontId="0" fillId="0" borderId="15" xfId="0" applyBorder="1" applyProtection="1"/>
    <xf numFmtId="0" fontId="17" fillId="0" borderId="10" xfId="0" applyFont="1" applyBorder="1" applyAlignment="1" applyProtection="1">
      <alignment horizontal="right"/>
    </xf>
    <xf numFmtId="0" fontId="0" fillId="0" borderId="15" xfId="0" applyBorder="1"/>
    <xf numFmtId="0" fontId="3" fillId="0" borderId="0" xfId="0" applyFont="1" applyAlignment="1" applyProtection="1"/>
    <xf numFmtId="0" fontId="17" fillId="0" borderId="0" xfId="0" applyFont="1" applyBorder="1" applyAlignment="1" applyProtection="1">
      <alignment horizontal="center"/>
    </xf>
    <xf numFmtId="164" fontId="4" fillId="0" borderId="7" xfId="0" applyNumberFormat="1" applyFont="1" applyBorder="1" applyAlignment="1" applyProtection="1">
      <alignment horizontal="center"/>
      <protection locked="0"/>
    </xf>
    <xf numFmtId="0" fontId="17" fillId="0" borderId="0" xfId="0" applyFont="1" applyBorder="1" applyAlignment="1" applyProtection="1">
      <alignment horizontal="left"/>
    </xf>
    <xf numFmtId="14" fontId="27" fillId="0" borderId="8" xfId="0" applyNumberFormat="1" applyFont="1" applyBorder="1" applyAlignment="1" applyProtection="1">
      <alignment horizontal="center"/>
      <protection locked="0"/>
    </xf>
    <xf numFmtId="0" fontId="17" fillId="0" borderId="7" xfId="0" applyFont="1" applyBorder="1" applyAlignment="1" applyProtection="1">
      <alignment horizontal="center"/>
      <protection locked="0"/>
    </xf>
    <xf numFmtId="0" fontId="0" fillId="0" borderId="7" xfId="0" applyBorder="1"/>
    <xf numFmtId="0" fontId="27" fillId="0" borderId="8" xfId="0" applyFont="1" applyBorder="1" applyAlignment="1" applyProtection="1">
      <protection locked="0"/>
    </xf>
    <xf numFmtId="0" fontId="0" fillId="0" borderId="8" xfId="0" applyBorder="1"/>
    <xf numFmtId="0" fontId="3" fillId="0" borderId="0" xfId="0" applyFont="1" applyAlignment="1" applyProtection="1">
      <alignment horizontal="center"/>
    </xf>
    <xf numFmtId="0" fontId="26" fillId="0" borderId="0" xfId="0" applyFont="1" applyAlignment="1" applyProtection="1">
      <alignment horizontal="left" wrapText="1"/>
    </xf>
    <xf numFmtId="0" fontId="26" fillId="0" borderId="0" xfId="0" applyFont="1" applyAlignment="1" applyProtection="1">
      <alignment wrapText="1"/>
    </xf>
    <xf numFmtId="0" fontId="0" fillId="0" borderId="10" xfId="0" applyBorder="1" applyAlignment="1"/>
    <xf numFmtId="0" fontId="10" fillId="0" borderId="7" xfId="0" applyFont="1" applyBorder="1" applyAlignment="1" applyProtection="1">
      <alignment horizontal="center"/>
      <protection locked="0"/>
    </xf>
    <xf numFmtId="0" fontId="27" fillId="0" borderId="7" xfId="0" applyFont="1" applyBorder="1" applyAlignment="1" applyProtection="1">
      <alignment horizontal="center"/>
      <protection locked="0"/>
    </xf>
    <xf numFmtId="0" fontId="17" fillId="0" borderId="0" xfId="0" applyFont="1" applyBorder="1" applyAlignment="1" applyProtection="1"/>
    <xf numFmtId="0" fontId="0" fillId="0" borderId="0" xfId="0" applyBorder="1"/>
    <xf numFmtId="0" fontId="7" fillId="0" borderId="0" xfId="0" applyFont="1" applyAlignment="1" applyProtection="1"/>
    <xf numFmtId="0" fontId="9" fillId="0" borderId="0" xfId="0" applyFont="1" applyAlignment="1" applyProtection="1"/>
    <xf numFmtId="0" fontId="10" fillId="0" borderId="8" xfId="0" applyFont="1" applyBorder="1" applyAlignment="1" applyProtection="1">
      <alignment horizontal="left"/>
      <protection locked="0"/>
    </xf>
    <xf numFmtId="0" fontId="10" fillId="0" borderId="7" xfId="0" applyFont="1" applyBorder="1" applyAlignment="1" applyProtection="1">
      <alignment horizontal="left"/>
      <protection locked="0"/>
    </xf>
    <xf numFmtId="0" fontId="0" fillId="0" borderId="7" xfId="0" applyBorder="1" applyProtection="1">
      <protection locked="0"/>
    </xf>
    <xf numFmtId="0" fontId="17" fillId="0" borderId="1" xfId="0" applyFont="1" applyBorder="1" applyAlignment="1" applyProtection="1"/>
    <xf numFmtId="0" fontId="0" fillId="0" borderId="1" xfId="0" applyBorder="1" applyAlignment="1"/>
    <xf numFmtId="0" fontId="27" fillId="0" borderId="7" xfId="0" applyFont="1" applyBorder="1" applyAlignment="1" applyProtection="1"/>
    <xf numFmtId="0" fontId="10" fillId="0" borderId="8" xfId="0" applyFont="1" applyBorder="1" applyAlignment="1" applyProtection="1">
      <protection locked="0"/>
    </xf>
    <xf numFmtId="14" fontId="10" fillId="0" borderId="7" xfId="0" applyNumberFormat="1" applyFont="1" applyBorder="1" applyAlignment="1" applyProtection="1">
      <alignment horizontal="center"/>
      <protection locked="0"/>
    </xf>
    <xf numFmtId="18" fontId="17" fillId="0" borderId="0" xfId="0" applyNumberFormat="1" applyFont="1" applyBorder="1" applyAlignment="1" applyProtection="1">
      <alignment horizontal="center"/>
    </xf>
    <xf numFmtId="0" fontId="26" fillId="0" borderId="0" xfId="0" applyFont="1" applyAlignment="1" applyProtection="1">
      <alignment horizontal="center"/>
    </xf>
    <xf numFmtId="0" fontId="0" fillId="0" borderId="0" xfId="0" applyAlignment="1" applyProtection="1"/>
    <xf numFmtId="0" fontId="0" fillId="0" borderId="7" xfId="0" applyBorder="1" applyProtection="1"/>
    <xf numFmtId="0" fontId="17" fillId="0" borderId="5" xfId="0" applyFont="1" applyBorder="1" applyAlignment="1" applyProtection="1">
      <alignment horizontal="left" vertical="center" wrapText="1"/>
    </xf>
    <xf numFmtId="0" fontId="0" fillId="0" borderId="1" xfId="0" applyBorder="1" applyAlignment="1" applyProtection="1">
      <alignment vertical="center"/>
    </xf>
    <xf numFmtId="0" fontId="0" fillId="0" borderId="13" xfId="0" applyBorder="1" applyAlignment="1" applyProtection="1">
      <alignment vertical="center"/>
    </xf>
    <xf numFmtId="0" fontId="0" fillId="0" borderId="10" xfId="0" applyBorder="1" applyAlignment="1" applyProtection="1">
      <alignment vertical="center"/>
    </xf>
    <xf numFmtId="0" fontId="0" fillId="0" borderId="0" xfId="0" applyAlignment="1" applyProtection="1">
      <alignment vertical="center"/>
    </xf>
    <xf numFmtId="0" fontId="0" fillId="0" borderId="15" xfId="0" applyBorder="1" applyAlignment="1" applyProtection="1">
      <alignment vertical="center"/>
    </xf>
    <xf numFmtId="0" fontId="0" fillId="0" borderId="6" xfId="0" applyBorder="1" applyAlignment="1" applyProtection="1">
      <alignment vertical="center"/>
    </xf>
    <xf numFmtId="0" fontId="0" fillId="0" borderId="7" xfId="0" applyBorder="1" applyAlignment="1" applyProtection="1">
      <alignment vertical="center"/>
    </xf>
    <xf numFmtId="0" fontId="0" fillId="0" borderId="9" xfId="0" applyBorder="1" applyAlignment="1" applyProtection="1">
      <alignment vertical="center"/>
    </xf>
    <xf numFmtId="0" fontId="0" fillId="0" borderId="8" xfId="0" applyBorder="1" applyProtection="1">
      <protection locked="0"/>
    </xf>
    <xf numFmtId="0" fontId="0" fillId="0" borderId="1" xfId="0" applyBorder="1"/>
    <xf numFmtId="0" fontId="0" fillId="0" borderId="0" xfId="0" applyAlignment="1">
      <alignment horizontal="left"/>
    </xf>
    <xf numFmtId="166" fontId="10" fillId="0" borderId="7" xfId="0" applyNumberFormat="1" applyFont="1" applyBorder="1" applyAlignment="1" applyProtection="1">
      <protection locked="0"/>
    </xf>
    <xf numFmtId="166" fontId="27" fillId="0" borderId="7" xfId="0" applyNumberFormat="1" applyFont="1" applyBorder="1" applyAlignment="1" applyProtection="1">
      <protection locked="0"/>
    </xf>
    <xf numFmtId="166" fontId="0" fillId="0" borderId="7" xfId="0" applyNumberFormat="1" applyBorder="1" applyAlignment="1"/>
    <xf numFmtId="0" fontId="4" fillId="0" borderId="7" xfId="0" applyFont="1" applyBorder="1" applyAlignment="1" applyProtection="1">
      <protection locked="0"/>
    </xf>
    <xf numFmtId="0" fontId="2" fillId="0" borderId="7" xfId="0" applyFont="1" applyBorder="1" applyAlignment="1" applyProtection="1">
      <protection locked="0"/>
    </xf>
    <xf numFmtId="0" fontId="27" fillId="0" borderId="8" xfId="0" applyFont="1" applyBorder="1" applyAlignment="1" applyProtection="1">
      <alignment horizontal="left"/>
      <protection locked="0"/>
    </xf>
    <xf numFmtId="0" fontId="17" fillId="0" borderId="0" xfId="0" applyFont="1" applyAlignment="1" applyProtection="1">
      <alignment vertical="center" wrapText="1"/>
    </xf>
    <xf numFmtId="0" fontId="34" fillId="0" borderId="0" xfId="0" applyFont="1" applyAlignment="1" applyProtection="1">
      <alignment vertical="center" wrapText="1"/>
    </xf>
    <xf numFmtId="0" fontId="14" fillId="0" borderId="0" xfId="0" applyFont="1" applyAlignment="1" applyProtection="1">
      <alignment horizontal="center"/>
    </xf>
    <xf numFmtId="0" fontId="17" fillId="0" borderId="0" xfId="0" applyFont="1" applyAlignment="1" applyProtection="1">
      <alignment horizontal="center"/>
    </xf>
    <xf numFmtId="0" fontId="2" fillId="0" borderId="7" xfId="0" applyFont="1" applyBorder="1" applyAlignment="1" applyProtection="1">
      <alignment readingOrder="1"/>
      <protection locked="0"/>
    </xf>
    <xf numFmtId="0" fontId="0" fillId="0" borderId="7" xfId="0" applyBorder="1" applyAlignment="1">
      <alignment readingOrder="1"/>
    </xf>
    <xf numFmtId="0" fontId="17" fillId="0" borderId="7" xfId="0" applyFont="1" applyBorder="1" applyAlignment="1" applyProtection="1">
      <alignment vertical="top"/>
      <protection locked="0"/>
    </xf>
    <xf numFmtId="0" fontId="0" fillId="0" borderId="7" xfId="0" applyBorder="1" applyAlignment="1">
      <alignment vertical="top"/>
    </xf>
    <xf numFmtId="0" fontId="26" fillId="0" borderId="0" xfId="0" applyFont="1" applyAlignment="1" applyProtection="1">
      <alignment horizontal="left"/>
    </xf>
    <xf numFmtId="0" fontId="3" fillId="0" borderId="7" xfId="0" applyFont="1" applyBorder="1" applyAlignment="1" applyProtection="1"/>
    <xf numFmtId="0" fontId="26" fillId="0" borderId="1" xfId="0" applyFont="1" applyBorder="1" applyAlignment="1" applyProtection="1"/>
    <xf numFmtId="0" fontId="10" fillId="0" borderId="1" xfId="0" applyFont="1" applyBorder="1" applyAlignment="1" applyProtection="1"/>
    <xf numFmtId="0" fontId="10" fillId="0" borderId="8" xfId="0" applyFont="1" applyBorder="1" applyAlignment="1" applyProtection="1">
      <alignment horizontal="left" readingOrder="1"/>
      <protection locked="0"/>
    </xf>
    <xf numFmtId="0" fontId="13" fillId="0" borderId="0" xfId="0" applyFont="1" applyAlignment="1" applyProtection="1"/>
    <xf numFmtId="0" fontId="17" fillId="0" borderId="3" xfId="1" applyFont="1" applyBorder="1" applyAlignment="1" applyProtection="1">
      <alignment horizontal="center" vertical="center"/>
    </xf>
    <xf numFmtId="0" fontId="17" fillId="0" borderId="16" xfId="1" applyFont="1" applyBorder="1" applyAlignment="1" applyProtection="1">
      <alignment horizontal="center" vertical="center"/>
    </xf>
    <xf numFmtId="0" fontId="17" fillId="0" borderId="4" xfId="1" applyFont="1" applyBorder="1" applyAlignment="1" applyProtection="1">
      <alignment horizontal="center" vertical="center"/>
    </xf>
    <xf numFmtId="0" fontId="2" fillId="2" borderId="5" xfId="1" applyFont="1" applyFill="1" applyBorder="1" applyAlignment="1" applyProtection="1"/>
    <xf numFmtId="0" fontId="2" fillId="2" borderId="10" xfId="1" applyFont="1" applyFill="1" applyBorder="1" applyAlignment="1" applyProtection="1"/>
    <xf numFmtId="0" fontId="2" fillId="2" borderId="6" xfId="1" applyFont="1" applyFill="1" applyBorder="1" applyAlignment="1" applyProtection="1"/>
    <xf numFmtId="0" fontId="17" fillId="2" borderId="3" xfId="1" applyFont="1" applyFill="1" applyBorder="1" applyAlignment="1" applyProtection="1">
      <alignment horizontal="center" vertical="center"/>
    </xf>
    <xf numFmtId="0" fontId="17" fillId="2" borderId="4" xfId="1" applyFont="1" applyFill="1" applyBorder="1" applyAlignment="1" applyProtection="1">
      <alignment horizontal="center" vertical="center"/>
    </xf>
    <xf numFmtId="0" fontId="17" fillId="0" borderId="3" xfId="1" applyFont="1" applyBorder="1" applyAlignment="1" applyProtection="1">
      <alignment horizontal="center" vertical="center"/>
      <protection locked="0"/>
    </xf>
    <xf numFmtId="0" fontId="17" fillId="0" borderId="4" xfId="1" applyFont="1" applyBorder="1" applyAlignment="1" applyProtection="1">
      <alignment horizontal="center" vertical="center"/>
      <protection locked="0"/>
    </xf>
    <xf numFmtId="0" fontId="17" fillId="0" borderId="16" xfId="1" applyFont="1" applyBorder="1" applyAlignment="1" applyProtection="1">
      <alignment horizontal="center" vertical="center"/>
      <protection locked="0"/>
    </xf>
    <xf numFmtId="0" fontId="14" fillId="0" borderId="0" xfId="1" applyFont="1" applyAlignment="1" applyProtection="1">
      <alignment horizontal="center" vertical="center"/>
    </xf>
    <xf numFmtId="0" fontId="35" fillId="0" borderId="3" xfId="1" applyFont="1" applyBorder="1" applyAlignment="1" applyProtection="1">
      <alignment horizontal="center" vertical="center"/>
      <protection locked="0"/>
    </xf>
    <xf numFmtId="0" fontId="35" fillId="0" borderId="16" xfId="1" applyFont="1" applyBorder="1" applyAlignment="1" applyProtection="1">
      <alignment horizontal="center" vertical="center"/>
      <protection locked="0"/>
    </xf>
    <xf numFmtId="0" fontId="35" fillId="0" borderId="4" xfId="1" applyFont="1" applyBorder="1" applyAlignment="1" applyProtection="1">
      <alignment horizontal="center" vertical="center"/>
      <protection locked="0"/>
    </xf>
    <xf numFmtId="0" fontId="17" fillId="2" borderId="16" xfId="1" applyFont="1" applyFill="1" applyBorder="1" applyAlignment="1" applyProtection="1">
      <alignment horizontal="center" vertical="center"/>
    </xf>
    <xf numFmtId="0" fontId="2" fillId="2" borderId="3" xfId="1" applyFont="1" applyFill="1" applyBorder="1" applyAlignment="1" applyProtection="1">
      <alignment horizontal="center"/>
    </xf>
    <xf numFmtId="0" fontId="2" fillId="2" borderId="16" xfId="1" applyFont="1" applyFill="1" applyBorder="1" applyAlignment="1" applyProtection="1">
      <alignment horizontal="center"/>
    </xf>
    <xf numFmtId="0" fontId="2" fillId="2" borderId="4" xfId="1" applyFont="1" applyFill="1" applyBorder="1" applyAlignment="1" applyProtection="1"/>
    <xf numFmtId="0" fontId="2" fillId="0" borderId="4" xfId="1" applyFont="1" applyBorder="1" applyAlignment="1" applyProtection="1"/>
    <xf numFmtId="0" fontId="17" fillId="0" borderId="5" xfId="1" applyFont="1" applyBorder="1" applyAlignment="1" applyProtection="1">
      <alignment horizontal="center" vertical="center"/>
      <protection locked="0"/>
    </xf>
    <xf numFmtId="0" fontId="17" fillId="0" borderId="10" xfId="1" applyFont="1" applyBorder="1" applyAlignment="1" applyProtection="1">
      <alignment horizontal="center" vertical="center"/>
      <protection locked="0"/>
    </xf>
    <xf numFmtId="0" fontId="17" fillId="0" borderId="6" xfId="1" applyFont="1" applyBorder="1" applyAlignment="1" applyProtection="1">
      <alignment horizontal="center" vertical="center"/>
      <protection locked="0"/>
    </xf>
    <xf numFmtId="0" fontId="26" fillId="0" borderId="3" xfId="1" applyFont="1" applyBorder="1" applyAlignment="1" applyProtection="1">
      <alignment horizontal="center" vertical="center"/>
      <protection locked="0"/>
    </xf>
    <xf numFmtId="0" fontId="26" fillId="0" borderId="16" xfId="1" applyFont="1" applyBorder="1" applyAlignment="1" applyProtection="1">
      <alignment horizontal="center" vertical="center"/>
      <protection locked="0"/>
    </xf>
    <xf numFmtId="0" fontId="26" fillId="0" borderId="2" xfId="1" applyFont="1" applyBorder="1" applyAlignment="1" applyProtection="1">
      <alignment horizontal="center" vertical="center"/>
      <protection locked="0"/>
    </xf>
    <xf numFmtId="0" fontId="26" fillId="0" borderId="3" xfId="1" applyFont="1" applyFill="1" applyBorder="1" applyAlignment="1" applyProtection="1">
      <alignment horizontal="center" vertical="center"/>
      <protection locked="0"/>
    </xf>
    <xf numFmtId="0" fontId="26" fillId="0" borderId="16" xfId="1" applyFont="1" applyFill="1" applyBorder="1" applyAlignment="1" applyProtection="1">
      <alignment horizontal="center" vertical="center"/>
      <protection locked="0"/>
    </xf>
    <xf numFmtId="0" fontId="17" fillId="0" borderId="2" xfId="1" applyFont="1" applyBorder="1" applyAlignment="1" applyProtection="1">
      <alignment horizontal="center" vertical="center"/>
    </xf>
    <xf numFmtId="0" fontId="17" fillId="0" borderId="3" xfId="1" applyFont="1" applyBorder="1" applyAlignment="1" applyProtection="1">
      <alignment horizontal="center" vertical="justify"/>
    </xf>
    <xf numFmtId="0" fontId="17" fillId="0" borderId="16" xfId="1" applyFont="1" applyBorder="1" applyAlignment="1" applyProtection="1">
      <alignment horizontal="center" vertical="justify"/>
    </xf>
    <xf numFmtId="0" fontId="17" fillId="2" borderId="14" xfId="1" applyFont="1" applyFill="1" applyBorder="1" applyAlignment="1" applyProtection="1">
      <alignment horizontal="center" vertical="center"/>
    </xf>
    <xf numFmtId="0" fontId="17" fillId="2" borderId="8" xfId="1" applyFont="1" applyFill="1" applyBorder="1" applyAlignment="1" applyProtection="1">
      <alignment horizontal="center" vertical="center"/>
    </xf>
    <xf numFmtId="0" fontId="17" fillId="2" borderId="12" xfId="1" applyFont="1" applyFill="1" applyBorder="1" applyAlignment="1" applyProtection="1">
      <alignment horizontal="center" vertical="center"/>
    </xf>
    <xf numFmtId="0" fontId="17" fillId="0" borderId="4" xfId="1" applyFont="1" applyBorder="1" applyAlignment="1" applyProtection="1">
      <alignment horizontal="center" vertical="justify"/>
    </xf>
    <xf numFmtId="0" fontId="17" fillId="2" borderId="2" xfId="1" applyFont="1" applyFill="1" applyBorder="1" applyAlignment="1" applyProtection="1">
      <alignment horizontal="center" vertical="center"/>
    </xf>
    <xf numFmtId="0" fontId="26" fillId="0" borderId="0" xfId="1" applyFont="1" applyAlignment="1" applyProtection="1">
      <alignment horizontal="right"/>
    </xf>
    <xf numFmtId="0" fontId="30" fillId="0" borderId="0" xfId="1" applyFont="1" applyAlignment="1" applyProtection="1">
      <alignment horizontal="center"/>
    </xf>
    <xf numFmtId="0" fontId="31" fillId="0" borderId="0" xfId="1" applyFont="1" applyAlignment="1" applyProtection="1">
      <alignment horizontal="center"/>
    </xf>
    <xf numFmtId="0" fontId="2" fillId="2" borderId="3" xfId="1" applyFont="1" applyFill="1" applyBorder="1" applyAlignment="1" applyProtection="1"/>
    <xf numFmtId="0" fontId="2" fillId="2" borderId="16" xfId="1" applyFont="1" applyFill="1" applyBorder="1" applyAlignment="1" applyProtection="1"/>
    <xf numFmtId="0" fontId="26" fillId="0" borderId="1" xfId="1" applyFont="1" applyBorder="1" applyAlignment="1" applyProtection="1">
      <alignment horizontal="center" vertical="center"/>
    </xf>
    <xf numFmtId="0" fontId="4" fillId="0" borderId="4" xfId="1" applyFont="1" applyBorder="1" applyAlignment="1" applyProtection="1">
      <alignment horizontal="center" vertical="justify"/>
    </xf>
    <xf numFmtId="0" fontId="4" fillId="0" borderId="16" xfId="1" applyFont="1" applyBorder="1" applyAlignment="1" applyProtection="1"/>
    <xf numFmtId="0" fontId="4" fillId="0" borderId="4" xfId="1" applyFont="1" applyBorder="1" applyAlignment="1" applyProtection="1"/>
    <xf numFmtId="0" fontId="17" fillId="0" borderId="2" xfId="1" applyFont="1" applyBorder="1" applyAlignment="1" applyProtection="1">
      <alignment horizontal="center" vertical="center"/>
      <protection locked="0"/>
    </xf>
    <xf numFmtId="0" fontId="4" fillId="0" borderId="7" xfId="1" applyFont="1" applyBorder="1" applyAlignment="1" applyProtection="1">
      <alignment horizontal="center"/>
      <protection locked="0"/>
    </xf>
    <xf numFmtId="0" fontId="4" fillId="0" borderId="9" xfId="1" applyFont="1" applyBorder="1" applyAlignment="1" applyProtection="1">
      <alignment horizontal="center"/>
      <protection locked="0"/>
    </xf>
    <xf numFmtId="0" fontId="4" fillId="0" borderId="6" xfId="1" applyFont="1" applyBorder="1" applyAlignment="1" applyProtection="1">
      <alignment horizontal="center"/>
    </xf>
    <xf numFmtId="0" fontId="4" fillId="0" borderId="7" xfId="1" applyFont="1" applyBorder="1" applyAlignment="1" applyProtection="1">
      <alignment horizontal="center"/>
    </xf>
    <xf numFmtId="0" fontId="4" fillId="0" borderId="9" xfId="1" applyFont="1" applyBorder="1" applyAlignment="1" applyProtection="1">
      <alignment horizontal="center"/>
    </xf>
    <xf numFmtId="0" fontId="17" fillId="2" borderId="5" xfId="1" applyFont="1" applyFill="1" applyBorder="1" applyAlignment="1" applyProtection="1">
      <alignment horizontal="center" vertical="center"/>
    </xf>
    <xf numFmtId="0" fontId="17" fillId="2" borderId="10" xfId="1" applyFont="1" applyFill="1" applyBorder="1" applyAlignment="1" applyProtection="1">
      <alignment horizontal="center" vertical="center"/>
    </xf>
    <xf numFmtId="0" fontId="26" fillId="0" borderId="8" xfId="1" applyFont="1" applyBorder="1" applyAlignment="1" applyProtection="1">
      <alignment horizontal="center" vertical="center"/>
    </xf>
    <xf numFmtId="0" fontId="17" fillId="0" borderId="3" xfId="1" applyFont="1" applyBorder="1" applyAlignment="1" applyProtection="1">
      <alignment horizontal="center" vertical="top"/>
    </xf>
    <xf numFmtId="0" fontId="17" fillId="0" borderId="16" xfId="1" applyFont="1" applyBorder="1" applyAlignment="1" applyProtection="1">
      <alignment horizontal="center" vertical="top"/>
    </xf>
    <xf numFmtId="0" fontId="32" fillId="0" borderId="0" xfId="1" applyFont="1" applyAlignment="1" applyProtection="1">
      <alignment horizontal="left"/>
    </xf>
    <xf numFmtId="0" fontId="4" fillId="2" borderId="3" xfId="1" applyFont="1" applyFill="1" applyBorder="1" applyAlignment="1" applyProtection="1"/>
    <xf numFmtId="0" fontId="4" fillId="2" borderId="16" xfId="1" applyFont="1" applyFill="1" applyBorder="1" applyAlignment="1" applyProtection="1"/>
    <xf numFmtId="0" fontId="4" fillId="2" borderId="4" xfId="1" applyFont="1" applyFill="1" applyBorder="1" applyAlignment="1" applyProtection="1"/>
    <xf numFmtId="0" fontId="10" fillId="0" borderId="2" xfId="1" applyFont="1" applyBorder="1" applyAlignment="1" applyProtection="1">
      <alignment horizontal="left"/>
      <protection locked="0"/>
    </xf>
    <xf numFmtId="0" fontId="32" fillId="0" borderId="0" xfId="1" applyFont="1" applyAlignment="1" applyProtection="1">
      <alignment horizontal="left" wrapText="1"/>
    </xf>
    <xf numFmtId="0" fontId="17" fillId="0" borderId="3" xfId="1" applyFont="1" applyBorder="1" applyAlignment="1" applyProtection="1">
      <alignment vertical="justify"/>
    </xf>
    <xf numFmtId="0" fontId="17" fillId="0" borderId="16" xfId="1" applyFont="1" applyBorder="1" applyAlignment="1" applyProtection="1">
      <alignment vertical="justify"/>
    </xf>
    <xf numFmtId="0" fontId="17" fillId="0" borderId="4" xfId="1" applyFont="1" applyBorder="1" applyAlignment="1" applyProtection="1">
      <alignment vertical="justify"/>
    </xf>
    <xf numFmtId="0" fontId="26" fillId="0" borderId="0" xfId="1" applyFont="1" applyAlignment="1" applyProtection="1">
      <alignment horizontal="center" vertical="center"/>
    </xf>
    <xf numFmtId="0" fontId="26" fillId="2" borderId="5" xfId="1" applyFont="1" applyFill="1" applyBorder="1" applyAlignment="1" applyProtection="1">
      <alignment vertical="justify"/>
    </xf>
    <xf numFmtId="0" fontId="26" fillId="2" borderId="1" xfId="1" applyFont="1" applyFill="1" applyBorder="1" applyAlignment="1" applyProtection="1">
      <alignment vertical="justify"/>
    </xf>
    <xf numFmtId="0" fontId="10" fillId="2" borderId="1" xfId="1" applyFont="1" applyFill="1" applyBorder="1" applyAlignment="1" applyProtection="1">
      <protection locked="0"/>
    </xf>
    <xf numFmtId="0" fontId="10" fillId="2" borderId="13" xfId="1" applyFont="1" applyFill="1" applyBorder="1" applyAlignment="1" applyProtection="1">
      <protection locked="0"/>
    </xf>
    <xf numFmtId="0" fontId="4" fillId="0" borderId="16" xfId="1" applyFont="1" applyBorder="1" applyAlignment="1" applyProtection="1">
      <alignment vertical="justify"/>
    </xf>
    <xf numFmtId="0" fontId="4" fillId="0" borderId="4" xfId="1" applyFont="1" applyBorder="1" applyAlignment="1" applyProtection="1">
      <alignment vertical="justify"/>
    </xf>
    <xf numFmtId="0" fontId="17" fillId="0" borderId="5" xfId="1" applyFont="1" applyBorder="1" applyAlignment="1" applyProtection="1">
      <alignment horizontal="left" wrapText="1"/>
    </xf>
    <xf numFmtId="0" fontId="17" fillId="0" borderId="1" xfId="1" applyFont="1" applyBorder="1" applyAlignment="1" applyProtection="1">
      <alignment horizontal="left" wrapText="1"/>
    </xf>
    <xf numFmtId="0" fontId="17" fillId="0" borderId="13" xfId="1" applyFont="1" applyBorder="1" applyAlignment="1" applyProtection="1">
      <alignment horizontal="left" wrapText="1"/>
    </xf>
    <xf numFmtId="0" fontId="17" fillId="0" borderId="10" xfId="1" applyFont="1" applyBorder="1" applyAlignment="1" applyProtection="1">
      <alignment horizontal="left" wrapText="1"/>
    </xf>
    <xf numFmtId="0" fontId="17" fillId="0" borderId="0" xfId="1" applyFont="1" applyBorder="1" applyAlignment="1" applyProtection="1">
      <alignment horizontal="left" wrapText="1"/>
    </xf>
    <xf numFmtId="0" fontId="17" fillId="0" borderId="15" xfId="1" applyFont="1" applyBorder="1" applyAlignment="1" applyProtection="1">
      <alignment horizontal="left" wrapText="1"/>
    </xf>
    <xf numFmtId="0" fontId="17" fillId="0" borderId="6" xfId="1" applyFont="1" applyBorder="1" applyAlignment="1" applyProtection="1">
      <alignment horizontal="left" wrapText="1"/>
    </xf>
    <xf numFmtId="0" fontId="17" fillId="0" borderId="7" xfId="1" applyFont="1" applyBorder="1" applyAlignment="1" applyProtection="1">
      <alignment horizontal="left" wrapText="1"/>
    </xf>
    <xf numFmtId="0" fontId="17" fillId="0" borderId="9" xfId="1" applyFont="1" applyBorder="1" applyAlignment="1" applyProtection="1">
      <alignment horizontal="left" wrapText="1"/>
    </xf>
    <xf numFmtId="0" fontId="17" fillId="0" borderId="4" xfId="1" applyFont="1" applyBorder="1" applyAlignment="1" applyProtection="1">
      <alignment horizontal="center" vertical="top"/>
    </xf>
    <xf numFmtId="0" fontId="2" fillId="0" borderId="6" xfId="1" applyFont="1" applyBorder="1" applyAlignment="1" applyProtection="1"/>
    <xf numFmtId="0" fontId="2" fillId="0" borderId="7" xfId="1" applyFont="1" applyBorder="1" applyAlignment="1" applyProtection="1"/>
    <xf numFmtId="0" fontId="2" fillId="0" borderId="9" xfId="1" applyFont="1" applyBorder="1" applyAlignment="1" applyProtection="1"/>
    <xf numFmtId="0" fontId="4" fillId="0" borderId="0" xfId="1" applyFont="1" applyAlignment="1" applyProtection="1">
      <alignment horizontal="left"/>
    </xf>
    <xf numFmtId="0" fontId="26" fillId="0" borderId="10" xfId="1" applyFont="1" applyBorder="1"/>
    <xf numFmtId="0" fontId="26" fillId="0" borderId="0" xfId="1" applyFont="1"/>
    <xf numFmtId="0" fontId="26" fillId="0" borderId="15" xfId="1" applyFont="1" applyBorder="1"/>
    <xf numFmtId="0" fontId="26" fillId="0" borderId="0" xfId="1" applyFont="1" applyAlignment="1" applyProtection="1">
      <alignment horizontal="left"/>
    </xf>
    <xf numFmtId="0" fontId="2" fillId="0" borderId="0" xfId="1"/>
    <xf numFmtId="0" fontId="2" fillId="0" borderId="0" xfId="1" applyProtection="1"/>
    <xf numFmtId="0" fontId="2" fillId="0" borderId="15" xfId="1" applyBorder="1"/>
    <xf numFmtId="0" fontId="2" fillId="0" borderId="5" xfId="1" applyFont="1" applyBorder="1" applyAlignment="1" applyProtection="1"/>
    <xf numFmtId="0" fontId="2" fillId="0" borderId="1" xfId="1" applyFont="1" applyBorder="1" applyAlignment="1" applyProtection="1"/>
    <xf numFmtId="0" fontId="2" fillId="0" borderId="13" xfId="1" applyFont="1" applyBorder="1" applyAlignment="1" applyProtection="1"/>
    <xf numFmtId="0" fontId="2" fillId="0" borderId="10" xfId="1" applyFont="1" applyBorder="1" applyAlignment="1" applyProtection="1"/>
    <xf numFmtId="0" fontId="2" fillId="0" borderId="0" xfId="1" applyFont="1" applyBorder="1" applyAlignment="1" applyProtection="1"/>
    <xf numFmtId="0" fontId="2" fillId="0" borderId="15" xfId="1" applyFont="1" applyBorder="1" applyAlignment="1" applyProtection="1"/>
    <xf numFmtId="0" fontId="17" fillId="0" borderId="13" xfId="1" applyFont="1" applyBorder="1" applyAlignment="1" applyProtection="1">
      <alignment horizontal="center" vertical="center"/>
    </xf>
    <xf numFmtId="0" fontId="17" fillId="0" borderId="9" xfId="1" applyFont="1" applyBorder="1" applyAlignment="1" applyProtection="1">
      <alignment horizontal="center" vertical="center"/>
    </xf>
    <xf numFmtId="0" fontId="26" fillId="0" borderId="4" xfId="1" applyFont="1" applyBorder="1" applyAlignment="1" applyProtection="1">
      <alignment horizontal="center" vertical="center"/>
      <protection locked="0"/>
    </xf>
    <xf numFmtId="0" fontId="26" fillId="2" borderId="3" xfId="1" applyFont="1" applyFill="1" applyBorder="1" applyAlignment="1" applyProtection="1">
      <alignment horizontal="center" vertical="top"/>
    </xf>
    <xf numFmtId="0" fontId="26" fillId="2" borderId="4" xfId="1" applyFont="1" applyFill="1" applyBorder="1" applyAlignment="1" applyProtection="1">
      <alignment horizontal="center" vertical="top"/>
    </xf>
    <xf numFmtId="0" fontId="4" fillId="0" borderId="16" xfId="1" applyFont="1" applyBorder="1" applyAlignment="1" applyProtection="1">
      <alignment horizontal="center" vertical="justify"/>
    </xf>
    <xf numFmtId="0" fontId="17" fillId="0" borderId="14" xfId="1" applyFont="1" applyBorder="1" applyAlignment="1" applyProtection="1">
      <alignment wrapText="1"/>
    </xf>
    <xf numFmtId="0" fontId="17" fillId="0" borderId="8" xfId="1" applyFont="1" applyBorder="1" applyAlignment="1" applyProtection="1">
      <alignment wrapText="1"/>
    </xf>
    <xf numFmtId="0" fontId="17" fillId="0" borderId="12" xfId="1" applyFont="1" applyBorder="1" applyAlignment="1" applyProtection="1">
      <alignment wrapText="1"/>
    </xf>
    <xf numFmtId="0" fontId="17" fillId="0" borderId="2" xfId="1" applyFont="1" applyBorder="1" applyAlignment="1" applyProtection="1">
      <alignment horizontal="center" vertical="justify"/>
    </xf>
    <xf numFmtId="0" fontId="17" fillId="0" borderId="3" xfId="0" applyFont="1" applyBorder="1" applyAlignment="1" applyProtection="1">
      <alignment horizontal="center" vertical="center"/>
      <protection locked="0"/>
    </xf>
    <xf numFmtId="0" fontId="17" fillId="0" borderId="4" xfId="0" applyFont="1" applyBorder="1" applyAlignment="1" applyProtection="1">
      <alignment horizontal="center" vertical="center"/>
      <protection locked="0"/>
    </xf>
    <xf numFmtId="0" fontId="17" fillId="0" borderId="3" xfId="0" applyFont="1" applyBorder="1" applyAlignment="1" applyProtection="1">
      <alignment horizontal="center" vertical="center"/>
    </xf>
    <xf numFmtId="0" fontId="17" fillId="0" borderId="4" xfId="0" applyFont="1" applyBorder="1" applyAlignment="1" applyProtection="1">
      <alignment horizontal="center" vertical="center"/>
    </xf>
    <xf numFmtId="0" fontId="17" fillId="2" borderId="14" xfId="0" applyFont="1" applyFill="1" applyBorder="1" applyAlignment="1" applyProtection="1">
      <alignment horizontal="center" vertical="center"/>
    </xf>
    <xf numFmtId="0" fontId="17" fillId="2" borderId="8" xfId="0" applyFont="1" applyFill="1" applyBorder="1" applyAlignment="1" applyProtection="1">
      <alignment horizontal="center" vertical="center"/>
    </xf>
    <xf numFmtId="0" fontId="17" fillId="2" borderId="12" xfId="0" applyFont="1" applyFill="1" applyBorder="1" applyAlignment="1" applyProtection="1">
      <alignment horizontal="center" vertical="center"/>
    </xf>
    <xf numFmtId="0" fontId="10" fillId="0" borderId="2" xfId="0" applyFont="1" applyBorder="1" applyAlignment="1" applyProtection="1">
      <alignment horizontal="left"/>
      <protection locked="0"/>
    </xf>
    <xf numFmtId="0" fontId="17" fillId="0" borderId="5" xfId="0" applyFont="1" applyBorder="1" applyAlignment="1" applyProtection="1">
      <alignment horizontal="left" wrapText="1"/>
    </xf>
    <xf numFmtId="0" fontId="17" fillId="0" borderId="1" xfId="0" applyFont="1" applyBorder="1" applyAlignment="1" applyProtection="1">
      <alignment horizontal="left" wrapText="1"/>
    </xf>
    <xf numFmtId="0" fontId="17" fillId="0" borderId="13" xfId="0" applyFont="1" applyBorder="1" applyAlignment="1" applyProtection="1">
      <alignment horizontal="left" wrapText="1"/>
    </xf>
    <xf numFmtId="0" fontId="17" fillId="0" borderId="10" xfId="0" applyFont="1" applyBorder="1" applyAlignment="1" applyProtection="1">
      <alignment horizontal="left" wrapText="1"/>
    </xf>
    <xf numFmtId="0" fontId="17" fillId="0" borderId="0" xfId="0" applyFont="1" applyBorder="1" applyAlignment="1" applyProtection="1">
      <alignment horizontal="left" wrapText="1"/>
    </xf>
    <xf numFmtId="0" fontId="17" fillId="0" borderId="15" xfId="0" applyFont="1" applyBorder="1" applyAlignment="1" applyProtection="1">
      <alignment horizontal="left" wrapText="1"/>
    </xf>
    <xf numFmtId="0" fontId="17" fillId="0" borderId="6" xfId="0" applyFont="1" applyBorder="1" applyAlignment="1" applyProtection="1">
      <alignment horizontal="left" wrapText="1"/>
    </xf>
    <xf numFmtId="0" fontId="17" fillId="0" borderId="7" xfId="0" applyFont="1" applyBorder="1" applyAlignment="1" applyProtection="1">
      <alignment horizontal="left" wrapText="1"/>
    </xf>
    <xf numFmtId="0" fontId="17" fillId="0" borderId="9" xfId="0" applyFont="1" applyBorder="1" applyAlignment="1" applyProtection="1">
      <alignment horizontal="left" wrapText="1"/>
    </xf>
    <xf numFmtId="0" fontId="14" fillId="0" borderId="1" xfId="0" applyFont="1" applyBorder="1" applyAlignment="1" applyProtection="1">
      <alignment horizontal="center" vertical="center"/>
    </xf>
    <xf numFmtId="49" fontId="17" fillId="0" borderId="3" xfId="0" applyNumberFormat="1" applyFont="1" applyBorder="1" applyAlignment="1" applyProtection="1">
      <alignment horizontal="center" vertical="justify"/>
    </xf>
    <xf numFmtId="49" fontId="17" fillId="0" borderId="16" xfId="0" applyNumberFormat="1" applyFont="1" applyBorder="1" applyAlignment="1" applyProtection="1">
      <alignment horizontal="center" vertical="justify"/>
    </xf>
    <xf numFmtId="49" fontId="17" fillId="0" borderId="4" xfId="0" applyNumberFormat="1" applyFont="1" applyBorder="1" applyAlignment="1" applyProtection="1">
      <alignment horizontal="center" vertical="justify"/>
    </xf>
    <xf numFmtId="0" fontId="17" fillId="0" borderId="16" xfId="0" applyFont="1" applyBorder="1" applyAlignment="1" applyProtection="1">
      <alignment horizontal="center" vertical="center"/>
    </xf>
    <xf numFmtId="0" fontId="17" fillId="0" borderId="16" xfId="0" applyFont="1" applyBorder="1" applyAlignment="1" applyProtection="1">
      <alignment horizontal="center" vertical="center"/>
      <protection locked="0"/>
    </xf>
    <xf numFmtId="0" fontId="17" fillId="0" borderId="3" xfId="0" applyFont="1" applyFill="1" applyBorder="1" applyAlignment="1" applyProtection="1">
      <alignment horizontal="center" vertical="center"/>
      <protection locked="0"/>
    </xf>
    <xf numFmtId="0" fontId="17" fillId="0" borderId="4" xfId="0" applyFont="1" applyFill="1" applyBorder="1" applyAlignment="1" applyProtection="1">
      <alignment horizontal="center" vertical="center"/>
      <protection locked="0"/>
    </xf>
    <xf numFmtId="0" fontId="17" fillId="2" borderId="3" xfId="0" applyFont="1" applyFill="1" applyBorder="1" applyAlignment="1" applyProtection="1">
      <alignment horizontal="center" vertical="center"/>
    </xf>
    <xf numFmtId="0" fontId="17" fillId="2" borderId="16" xfId="0" applyFont="1" applyFill="1" applyBorder="1" applyAlignment="1" applyProtection="1">
      <alignment horizontal="center" vertical="center"/>
    </xf>
    <xf numFmtId="0" fontId="17" fillId="2" borderId="4" xfId="0" applyFont="1" applyFill="1" applyBorder="1" applyAlignment="1" applyProtection="1">
      <alignment horizontal="center" vertical="center"/>
    </xf>
    <xf numFmtId="0" fontId="3" fillId="0" borderId="0" xfId="0" applyFont="1" applyBorder="1" applyAlignment="1" applyProtection="1"/>
    <xf numFmtId="0" fontId="17" fillId="0" borderId="16" xfId="0" applyFont="1" applyFill="1" applyBorder="1" applyAlignment="1" applyProtection="1">
      <alignment horizontal="center" vertical="center"/>
      <protection locked="0"/>
    </xf>
    <xf numFmtId="0" fontId="14" fillId="0" borderId="8" xfId="0" applyFont="1" applyBorder="1" applyAlignment="1" applyProtection="1">
      <alignment horizontal="center" vertical="center"/>
    </xf>
    <xf numFmtId="0" fontId="17" fillId="2" borderId="3" xfId="0" applyFont="1" applyFill="1" applyBorder="1" applyAlignment="1" applyProtection="1">
      <alignment horizontal="center" vertical="center"/>
      <protection locked="0"/>
    </xf>
    <xf numFmtId="0" fontId="17" fillId="2" borderId="16" xfId="0" applyFont="1" applyFill="1" applyBorder="1" applyAlignment="1" applyProtection="1">
      <alignment horizontal="center" vertical="center"/>
      <protection locked="0"/>
    </xf>
    <xf numFmtId="0" fontId="17" fillId="2" borderId="4" xfId="0" applyFont="1" applyFill="1" applyBorder="1" applyAlignment="1" applyProtection="1">
      <alignment horizontal="center" vertical="center"/>
      <protection locked="0"/>
    </xf>
    <xf numFmtId="0" fontId="14" fillId="0" borderId="0" xfId="0" applyFont="1" applyAlignment="1" applyProtection="1">
      <alignment horizontal="center" vertical="center"/>
    </xf>
    <xf numFmtId="0" fontId="29" fillId="0" borderId="0" xfId="0" applyFont="1" applyAlignment="1" applyProtection="1">
      <alignment horizontal="center" vertical="center"/>
    </xf>
    <xf numFmtId="0" fontId="29" fillId="0" borderId="0" xfId="0" applyFont="1" applyAlignment="1" applyProtection="1">
      <alignment horizontal="center"/>
    </xf>
    <xf numFmtId="0" fontId="4" fillId="0" borderId="4" xfId="0" applyFont="1" applyBorder="1" applyAlignment="1" applyProtection="1">
      <alignment horizontal="center" vertical="justify"/>
    </xf>
    <xf numFmtId="0" fontId="4" fillId="0" borderId="16" xfId="0"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4" fillId="2" borderId="16" xfId="0" applyFont="1" applyFill="1" applyBorder="1" applyAlignment="1" applyProtection="1">
      <alignment horizontal="center" vertical="center"/>
      <protection locked="0"/>
    </xf>
    <xf numFmtId="0" fontId="4" fillId="2" borderId="4" xfId="0" applyFont="1" applyFill="1" applyBorder="1" applyAlignment="1" applyProtection="1">
      <alignment horizontal="center" vertical="center"/>
      <protection locked="0"/>
    </xf>
    <xf numFmtId="0" fontId="4" fillId="0" borderId="16" xfId="0" applyFont="1" applyBorder="1" applyAlignment="1" applyProtection="1">
      <alignment horizontal="center" vertical="center"/>
    </xf>
    <xf numFmtId="0" fontId="4" fillId="0" borderId="4" xfId="0" applyFont="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4" xfId="0" applyFont="1" applyFill="1" applyBorder="1" applyAlignment="1" applyProtection="1">
      <alignment horizontal="center" vertical="center"/>
    </xf>
    <xf numFmtId="49" fontId="17" fillId="0" borderId="5" xfId="0" applyNumberFormat="1" applyFont="1" applyBorder="1" applyAlignment="1" applyProtection="1">
      <alignment horizontal="center" vertical="justify"/>
    </xf>
    <xf numFmtId="49" fontId="17" fillId="0" borderId="10" xfId="0" applyNumberFormat="1" applyFont="1" applyBorder="1" applyAlignment="1" applyProtection="1">
      <alignment horizontal="center" vertical="justify"/>
    </xf>
    <xf numFmtId="0" fontId="4" fillId="0" borderId="6" xfId="0" applyFont="1" applyBorder="1" applyAlignment="1" applyProtection="1">
      <alignment horizontal="center" vertical="justify"/>
    </xf>
    <xf numFmtId="0" fontId="14" fillId="0" borderId="0" xfId="0" applyFont="1" applyBorder="1" applyAlignment="1" applyProtection="1">
      <alignment horizontal="center" vertical="center"/>
    </xf>
    <xf numFmtId="49" fontId="17" fillId="0" borderId="3" xfId="0" applyNumberFormat="1" applyFont="1" applyBorder="1" applyAlignment="1" applyProtection="1">
      <alignment horizontal="left" vertical="justify" wrapText="1"/>
    </xf>
    <xf numFmtId="0" fontId="4" fillId="0" borderId="4" xfId="0" applyFont="1" applyBorder="1" applyAlignment="1" applyProtection="1">
      <alignment horizontal="left" vertical="justify" wrapText="1"/>
    </xf>
    <xf numFmtId="49" fontId="17" fillId="0" borderId="16" xfId="0" applyNumberFormat="1" applyFont="1" applyBorder="1" applyAlignment="1" applyProtection="1">
      <alignment horizontal="left" vertical="justify" wrapText="1"/>
    </xf>
    <xf numFmtId="0" fontId="17" fillId="0" borderId="13" xfId="0" applyFont="1" applyBorder="1" applyAlignment="1" applyProtection="1">
      <alignment horizontal="center" vertical="center"/>
    </xf>
    <xf numFmtId="0" fontId="17" fillId="0" borderId="15" xfId="0" applyFont="1" applyBorder="1" applyAlignment="1" applyProtection="1">
      <alignment horizontal="center" vertical="center"/>
    </xf>
    <xf numFmtId="0" fontId="4" fillId="0" borderId="9" xfId="0" applyFont="1" applyBorder="1" applyAlignment="1" applyProtection="1">
      <alignment horizontal="center" vertical="center"/>
    </xf>
    <xf numFmtId="49" fontId="17" fillId="0" borderId="4" xfId="0" applyNumberFormat="1" applyFont="1" applyBorder="1" applyAlignment="1" applyProtection="1">
      <alignment horizontal="left" vertical="justify" wrapText="1"/>
    </xf>
    <xf numFmtId="0" fontId="4" fillId="0" borderId="1" xfId="0" applyFont="1" applyBorder="1" applyAlignment="1" applyProtection="1">
      <alignment horizontal="left" wrapText="1"/>
    </xf>
    <xf numFmtId="0" fontId="4" fillId="0" borderId="13" xfId="0" applyFont="1" applyBorder="1" applyAlignment="1" applyProtection="1">
      <alignment horizontal="left" wrapText="1"/>
    </xf>
    <xf numFmtId="0" fontId="14" fillId="0" borderId="7" xfId="0" applyFont="1" applyBorder="1" applyAlignment="1" applyProtection="1">
      <alignment horizontal="center" vertical="center"/>
    </xf>
    <xf numFmtId="0" fontId="17" fillId="0" borderId="14" xfId="0" applyFont="1" applyBorder="1" applyAlignment="1" applyProtection="1">
      <alignment horizontal="left" vertical="center" wrapText="1"/>
    </xf>
    <xf numFmtId="0" fontId="17" fillId="0" borderId="8" xfId="0" applyFont="1" applyBorder="1" applyAlignment="1" applyProtection="1">
      <alignment horizontal="left" vertical="center" wrapText="1"/>
    </xf>
    <xf numFmtId="0" fontId="4" fillId="0" borderId="8" xfId="0" applyFont="1" applyBorder="1" applyAlignment="1" applyProtection="1">
      <alignment horizontal="left" vertical="center" wrapText="1"/>
    </xf>
    <xf numFmtId="0" fontId="4" fillId="0" borderId="12" xfId="0" applyFont="1" applyBorder="1" applyAlignment="1" applyProtection="1">
      <alignment horizontal="left" vertical="center" wrapText="1"/>
    </xf>
    <xf numFmtId="0" fontId="3" fillId="0" borderId="1" xfId="0" applyFont="1" applyBorder="1" applyAlignment="1" applyProtection="1"/>
    <xf numFmtId="0" fontId="26" fillId="2" borderId="5" xfId="0" applyFont="1" applyFill="1" applyBorder="1" applyAlignment="1" applyProtection="1">
      <alignment vertical="justify"/>
    </xf>
    <xf numFmtId="0" fontId="26" fillId="2" borderId="1" xfId="0" applyFont="1" applyFill="1" applyBorder="1" applyAlignment="1" applyProtection="1">
      <alignment vertical="justify"/>
    </xf>
    <xf numFmtId="0" fontId="27" fillId="2" borderId="1" xfId="0" applyFont="1" applyFill="1" applyBorder="1" applyAlignment="1" applyProtection="1">
      <protection locked="0"/>
    </xf>
    <xf numFmtId="0" fontId="27" fillId="2" borderId="13" xfId="0" applyFont="1" applyFill="1" applyBorder="1" applyAlignment="1" applyProtection="1">
      <protection locked="0"/>
    </xf>
    <xf numFmtId="0" fontId="10" fillId="0" borderId="2" xfId="0" applyFont="1" applyBorder="1" applyProtection="1">
      <protection locked="0"/>
    </xf>
    <xf numFmtId="0" fontId="17" fillId="0" borderId="5" xfId="0" applyFont="1" applyBorder="1" applyAlignment="1" applyProtection="1">
      <alignment horizontal="left" vertical="top"/>
    </xf>
    <xf numFmtId="0" fontId="17" fillId="0" borderId="1" xfId="0" applyFont="1" applyBorder="1" applyAlignment="1" applyProtection="1">
      <alignment horizontal="left" vertical="top"/>
    </xf>
    <xf numFmtId="0" fontId="17" fillId="0" borderId="13" xfId="0" applyFont="1" applyBorder="1" applyAlignment="1" applyProtection="1">
      <alignment horizontal="left" vertical="top"/>
    </xf>
    <xf numFmtId="0" fontId="0" fillId="0" borderId="16" xfId="0" applyBorder="1" applyAlignment="1">
      <alignment horizontal="center" vertical="justify"/>
    </xf>
    <xf numFmtId="0" fontId="0" fillId="0" borderId="4" xfId="0" applyBorder="1" applyAlignment="1">
      <alignment horizontal="center" vertical="justify"/>
    </xf>
    <xf numFmtId="49" fontId="17" fillId="0" borderId="5" xfId="0" applyNumberFormat="1" applyFont="1" applyBorder="1" applyAlignment="1" applyProtection="1">
      <alignment horizontal="left" vertical="justify" wrapText="1"/>
    </xf>
    <xf numFmtId="49" fontId="17" fillId="0" borderId="10" xfId="0" applyNumberFormat="1" applyFont="1" applyBorder="1" applyAlignment="1" applyProtection="1">
      <alignment horizontal="left" vertical="justify" wrapText="1"/>
    </xf>
    <xf numFmtId="49" fontId="17" fillId="0" borderId="6" xfId="0" applyNumberFormat="1" applyFont="1" applyBorder="1" applyAlignment="1" applyProtection="1">
      <alignment horizontal="left" vertical="justify" wrapText="1"/>
    </xf>
    <xf numFmtId="0" fontId="17" fillId="2" borderId="14" xfId="0" applyFont="1" applyFill="1" applyBorder="1" applyAlignment="1" applyProtection="1">
      <alignment horizontal="center" vertical="center" wrapText="1"/>
    </xf>
    <xf numFmtId="0" fontId="17" fillId="2" borderId="8" xfId="0" applyFont="1" applyFill="1" applyBorder="1" applyAlignment="1" applyProtection="1">
      <alignment horizontal="center" vertical="center" wrapText="1"/>
    </xf>
    <xf numFmtId="0" fontId="17" fillId="2" borderId="12" xfId="0" applyFont="1" applyFill="1" applyBorder="1" applyAlignment="1" applyProtection="1">
      <alignment horizontal="center" vertical="center" wrapText="1"/>
    </xf>
    <xf numFmtId="0" fontId="17" fillId="0" borderId="0" xfId="0" applyFont="1"/>
    <xf numFmtId="0" fontId="17" fillId="0" borderId="15" xfId="0" applyFont="1" applyBorder="1"/>
    <xf numFmtId="0" fontId="17" fillId="0" borderId="0" xfId="0" applyFont="1" applyBorder="1" applyProtection="1"/>
    <xf numFmtId="0" fontId="17" fillId="0" borderId="15" xfId="0" applyFont="1" applyBorder="1" applyProtection="1"/>
    <xf numFmtId="0" fontId="17" fillId="0" borderId="0" xfId="0" applyFont="1" applyAlignment="1"/>
    <xf numFmtId="0" fontId="17" fillId="0" borderId="0" xfId="0" applyFont="1" applyAlignment="1" applyProtection="1">
      <alignment horizontal="left"/>
    </xf>
    <xf numFmtId="0" fontId="26" fillId="0" borderId="0" xfId="0" applyFont="1" applyAlignment="1"/>
    <xf numFmtId="0" fontId="32" fillId="0" borderId="0" xfId="0" applyFont="1" applyAlignment="1">
      <alignment horizontal="left"/>
    </xf>
    <xf numFmtId="0" fontId="46" fillId="0" borderId="0" xfId="0" applyFont="1" applyBorder="1" applyAlignment="1" applyProtection="1">
      <alignment horizontal="center"/>
      <protection locked="0"/>
    </xf>
    <xf numFmtId="0" fontId="17" fillId="0" borderId="10" xfId="0" applyFont="1" applyBorder="1" applyAlignment="1" applyProtection="1">
      <alignment horizontal="left" vertical="top" wrapText="1"/>
    </xf>
    <xf numFmtId="0" fontId="17" fillId="0" borderId="0" xfId="0" applyFont="1" applyBorder="1" applyAlignment="1" applyProtection="1">
      <alignment horizontal="left" vertical="top" wrapText="1"/>
    </xf>
    <xf numFmtId="0" fontId="17" fillId="0" borderId="15" xfId="0" applyFont="1" applyBorder="1" applyAlignment="1" applyProtection="1">
      <alignment horizontal="left" vertical="top" wrapText="1"/>
    </xf>
    <xf numFmtId="0" fontId="17" fillId="0" borderId="6" xfId="0" applyFont="1" applyBorder="1" applyAlignment="1" applyProtection="1">
      <alignment horizontal="left" vertical="top" wrapText="1"/>
    </xf>
    <xf numFmtId="0" fontId="17" fillId="0" borderId="7" xfId="0" applyFont="1" applyBorder="1" applyAlignment="1" applyProtection="1">
      <alignment horizontal="left" vertical="top" wrapText="1"/>
    </xf>
    <xf numFmtId="0" fontId="17" fillId="0" borderId="9" xfId="0" applyFont="1" applyBorder="1" applyAlignment="1" applyProtection="1">
      <alignment horizontal="left" vertical="top" wrapText="1"/>
    </xf>
    <xf numFmtId="0" fontId="2" fillId="0" borderId="5" xfId="0" applyFont="1" applyBorder="1" applyAlignment="1" applyProtection="1"/>
    <xf numFmtId="0" fontId="3" fillId="0" borderId="13" xfId="0" applyFont="1" applyBorder="1" applyAlignment="1" applyProtection="1"/>
    <xf numFmtId="0" fontId="2" fillId="0" borderId="10" xfId="0" applyFont="1" applyBorder="1" applyAlignment="1" applyProtection="1"/>
    <xf numFmtId="0" fontId="3" fillId="0" borderId="15" xfId="0" applyFont="1" applyBorder="1" applyAlignment="1" applyProtection="1"/>
    <xf numFmtId="0" fontId="2" fillId="0" borderId="6" xfId="0" applyFont="1" applyBorder="1" applyAlignment="1" applyProtection="1"/>
    <xf numFmtId="0" fontId="2" fillId="0" borderId="7" xfId="0" applyFont="1" applyBorder="1" applyAlignment="1" applyProtection="1"/>
    <xf numFmtId="0" fontId="2" fillId="0" borderId="9" xfId="0" applyFont="1" applyBorder="1" applyAlignment="1" applyProtection="1"/>
    <xf numFmtId="0" fontId="26" fillId="0" borderId="0" xfId="0" applyFont="1" applyAlignment="1">
      <alignment horizontal="center" vertical="center"/>
    </xf>
    <xf numFmtId="0" fontId="32" fillId="0" borderId="0" xfId="0" applyFont="1" applyAlignment="1">
      <alignment horizontal="left" wrapText="1"/>
    </xf>
    <xf numFmtId="0" fontId="13" fillId="0" borderId="0" xfId="0" applyFont="1" applyAlignment="1">
      <alignment horizontal="left" vertical="center" wrapText="1"/>
    </xf>
    <xf numFmtId="0" fontId="26" fillId="0" borderId="0" xfId="0" applyFont="1" applyAlignment="1">
      <alignment horizontal="left"/>
    </xf>
    <xf numFmtId="0" fontId="4" fillId="0" borderId="0" xfId="0" applyFont="1" applyAlignment="1">
      <alignment horizontal="left"/>
    </xf>
    <xf numFmtId="49" fontId="17" fillId="0" borderId="3" xfId="1" applyNumberFormat="1" applyFont="1" applyBorder="1" applyAlignment="1" applyProtection="1">
      <alignment horizontal="center" vertical="justify"/>
    </xf>
    <xf numFmtId="49" fontId="17" fillId="0" borderId="4" xfId="1" applyNumberFormat="1" applyFont="1" applyBorder="1" applyAlignment="1" applyProtection="1">
      <alignment horizontal="center" vertical="justify"/>
    </xf>
    <xf numFmtId="0" fontId="17" fillId="0" borderId="3" xfId="1" applyFont="1" applyBorder="1" applyAlignment="1" applyProtection="1">
      <alignment horizontal="center"/>
      <protection locked="0"/>
    </xf>
    <xf numFmtId="0" fontId="17" fillId="0" borderId="4" xfId="1" applyFont="1" applyBorder="1" applyAlignment="1" applyProtection="1">
      <alignment horizontal="center"/>
      <protection locked="0"/>
    </xf>
    <xf numFmtId="49" fontId="17" fillId="0" borderId="16" xfId="1" applyNumberFormat="1" applyFont="1" applyBorder="1" applyAlignment="1" applyProtection="1">
      <alignment horizontal="center" vertical="justify"/>
    </xf>
    <xf numFmtId="0" fontId="4" fillId="0" borderId="4" xfId="1" applyFont="1" applyBorder="1" applyAlignment="1" applyProtection="1">
      <alignment horizontal="center" vertical="center"/>
      <protection locked="0"/>
    </xf>
    <xf numFmtId="0" fontId="10" fillId="0" borderId="2" xfId="1" applyFont="1" applyBorder="1" applyProtection="1">
      <protection locked="0"/>
    </xf>
    <xf numFmtId="0" fontId="14" fillId="0" borderId="0" xfId="1" applyFont="1" applyAlignment="1" applyProtection="1"/>
    <xf numFmtId="0" fontId="2" fillId="0" borderId="0" xfId="1" applyFont="1" applyAlignment="1" applyProtection="1"/>
    <xf numFmtId="0" fontId="14" fillId="0" borderId="0" xfId="1" applyFont="1" applyAlignment="1" applyProtection="1">
      <alignment horizontal="left" wrapText="1"/>
    </xf>
    <xf numFmtId="0" fontId="2" fillId="0" borderId="0" xfId="1" applyFont="1" applyAlignment="1" applyProtection="1">
      <alignment horizontal="left" wrapText="1"/>
    </xf>
    <xf numFmtId="0" fontId="14" fillId="0" borderId="0" xfId="1" applyFont="1" applyAlignment="1" applyProtection="1">
      <alignment horizontal="left"/>
    </xf>
    <xf numFmtId="0" fontId="13" fillId="0" borderId="0" xfId="1" applyFont="1" applyAlignment="1" applyProtection="1">
      <alignment horizontal="left" vertical="center" wrapText="1"/>
    </xf>
    <xf numFmtId="0" fontId="10" fillId="0" borderId="14" xfId="1" applyFont="1" applyBorder="1" applyAlignment="1" applyProtection="1">
      <alignment horizontal="left"/>
      <protection locked="0"/>
    </xf>
    <xf numFmtId="0" fontId="10" fillId="0" borderId="8" xfId="1" applyFont="1" applyBorder="1" applyAlignment="1" applyProtection="1">
      <alignment horizontal="left"/>
      <protection locked="0"/>
    </xf>
    <xf numFmtId="0" fontId="10" fillId="0" borderId="12" xfId="1" applyFont="1" applyBorder="1" applyAlignment="1" applyProtection="1">
      <alignment horizontal="left"/>
      <protection locked="0"/>
    </xf>
    <xf numFmtId="0" fontId="4" fillId="0" borderId="4" xfId="1" applyFont="1" applyBorder="1" applyAlignment="1" applyProtection="1">
      <alignment horizontal="center" vertical="center"/>
    </xf>
    <xf numFmtId="0" fontId="17" fillId="0" borderId="5" xfId="1" applyFont="1" applyBorder="1" applyAlignment="1" applyProtection="1">
      <alignment horizontal="left" vertical="top" wrapText="1"/>
    </xf>
    <xf numFmtId="0" fontId="17" fillId="0" borderId="1" xfId="1" applyFont="1" applyBorder="1" applyAlignment="1" applyProtection="1">
      <alignment horizontal="left" vertical="top" wrapText="1"/>
    </xf>
    <xf numFmtId="0" fontId="17" fillId="0" borderId="13" xfId="1" applyFont="1" applyBorder="1" applyAlignment="1" applyProtection="1">
      <alignment horizontal="left" vertical="top" wrapText="1"/>
    </xf>
    <xf numFmtId="0" fontId="17" fillId="0" borderId="10" xfId="1" applyFont="1" applyBorder="1" applyAlignment="1" applyProtection="1">
      <alignment horizontal="left" vertical="top" wrapText="1"/>
    </xf>
    <xf numFmtId="0" fontId="17" fillId="0" borderId="0" xfId="1" applyFont="1" applyBorder="1" applyAlignment="1" applyProtection="1">
      <alignment horizontal="left" vertical="top" wrapText="1"/>
    </xf>
    <xf numFmtId="0" fontId="17" fillId="0" borderId="15" xfId="1" applyFont="1" applyBorder="1" applyAlignment="1" applyProtection="1">
      <alignment horizontal="left" vertical="top" wrapText="1"/>
    </xf>
    <xf numFmtId="0" fontId="17" fillId="0" borderId="6" xfId="1" applyFont="1" applyBorder="1" applyAlignment="1" applyProtection="1">
      <alignment horizontal="left" vertical="top" wrapText="1"/>
    </xf>
    <xf numFmtId="0" fontId="17" fillId="0" borderId="7" xfId="1" applyFont="1" applyBorder="1" applyAlignment="1" applyProtection="1">
      <alignment horizontal="left" vertical="top" wrapText="1"/>
    </xf>
    <xf numFmtId="0" fontId="17" fillId="0" borderId="9" xfId="1" applyFont="1" applyBorder="1" applyAlignment="1" applyProtection="1">
      <alignment horizontal="left" vertical="top" wrapText="1"/>
    </xf>
    <xf numFmtId="0" fontId="17" fillId="0" borderId="14" xfId="1" applyFont="1" applyBorder="1" applyAlignment="1" applyProtection="1">
      <alignment horizontal="left" wrapText="1"/>
    </xf>
    <xf numFmtId="0" fontId="17" fillId="0" borderId="8" xfId="1" applyFont="1" applyBorder="1" applyAlignment="1" applyProtection="1">
      <alignment horizontal="left" wrapText="1"/>
    </xf>
    <xf numFmtId="0" fontId="17" fillId="0" borderId="12" xfId="1" applyFont="1" applyBorder="1" applyAlignment="1" applyProtection="1">
      <alignment horizontal="left" wrapText="1"/>
    </xf>
    <xf numFmtId="0" fontId="4" fillId="0" borderId="16" xfId="1" applyFont="1" applyBorder="1" applyAlignment="1" applyProtection="1">
      <alignment horizontal="center" vertical="center"/>
    </xf>
    <xf numFmtId="0" fontId="4" fillId="0" borderId="16" xfId="1" applyFont="1" applyBorder="1" applyAlignment="1" applyProtection="1">
      <alignment horizontal="center" vertical="center"/>
      <protection locked="0"/>
    </xf>
    <xf numFmtId="0" fontId="14" fillId="0" borderId="7" xfId="1" applyFont="1" applyBorder="1" applyAlignment="1" applyProtection="1">
      <alignment horizontal="center" vertical="center"/>
    </xf>
    <xf numFmtId="49" fontId="17" fillId="0" borderId="5" xfId="1" applyNumberFormat="1" applyFont="1" applyBorder="1" applyAlignment="1" applyProtection="1">
      <alignment horizontal="center" vertical="justify"/>
    </xf>
    <xf numFmtId="49" fontId="17" fillId="0" borderId="10" xfId="1" applyNumberFormat="1" applyFont="1" applyBorder="1" applyAlignment="1" applyProtection="1">
      <alignment horizontal="center" vertical="justify"/>
    </xf>
    <xf numFmtId="0" fontId="4" fillId="0" borderId="6" xfId="1" applyFont="1" applyBorder="1" applyAlignment="1" applyProtection="1">
      <alignment horizontal="center" vertical="justify"/>
    </xf>
    <xf numFmtId="0" fontId="30" fillId="0" borderId="0" xfId="1" applyFont="1" applyAlignment="1" applyProtection="1">
      <alignment horizontal="center" vertical="center"/>
    </xf>
    <xf numFmtId="0" fontId="31" fillId="0" borderId="0" xfId="1" applyFont="1" applyAlignment="1" applyProtection="1">
      <alignment vertical="center"/>
    </xf>
    <xf numFmtId="0" fontId="2" fillId="0" borderId="0" xfId="1" applyFont="1" applyAlignment="1" applyProtection="1">
      <alignment wrapText="1"/>
    </xf>
    <xf numFmtId="0" fontId="4" fillId="0" borderId="6" xfId="1" applyFont="1" applyBorder="1" applyAlignment="1" applyProtection="1"/>
    <xf numFmtId="0" fontId="4" fillId="0" borderId="7" xfId="1" applyFont="1" applyBorder="1" applyAlignment="1" applyProtection="1"/>
    <xf numFmtId="0" fontId="4" fillId="0" borderId="9" xfId="1" applyFont="1" applyBorder="1" applyAlignment="1" applyProtection="1"/>
    <xf numFmtId="0" fontId="17" fillId="0" borderId="10" xfId="1" applyFont="1" applyBorder="1" applyAlignment="1" applyProtection="1"/>
    <xf numFmtId="0" fontId="17" fillId="0" borderId="0" xfId="1" applyFont="1" applyBorder="1" applyAlignment="1" applyProtection="1"/>
    <xf numFmtId="0" fontId="4" fillId="0" borderId="0" xfId="1" applyFont="1" applyBorder="1" applyAlignment="1" applyProtection="1"/>
    <xf numFmtId="0" fontId="4" fillId="0" borderId="15" xfId="1" applyFont="1" applyBorder="1" applyAlignment="1" applyProtection="1"/>
    <xf numFmtId="0" fontId="17" fillId="0" borderId="15" xfId="1" applyFont="1" applyBorder="1" applyAlignment="1" applyProtection="1">
      <alignment horizontal="center" vertical="center"/>
    </xf>
    <xf numFmtId="0" fontId="17" fillId="0" borderId="20" xfId="1" applyFont="1" applyBorder="1" applyAlignment="1" applyProtection="1"/>
    <xf numFmtId="0" fontId="17" fillId="0" borderId="21" xfId="1" applyFont="1" applyBorder="1" applyAlignment="1" applyProtection="1"/>
    <xf numFmtId="0" fontId="4" fillId="0" borderId="21" xfId="1" applyFont="1" applyBorder="1" applyAlignment="1" applyProtection="1"/>
    <xf numFmtId="0" fontId="4" fillId="0" borderId="22" xfId="1" applyFont="1" applyBorder="1" applyAlignment="1" applyProtection="1"/>
    <xf numFmtId="0" fontId="17" fillId="0" borderId="18" xfId="1" applyFont="1" applyBorder="1" applyAlignment="1" applyProtection="1">
      <protection locked="0"/>
    </xf>
    <xf numFmtId="0" fontId="17" fillId="0" borderId="11" xfId="1" applyFont="1" applyBorder="1" applyAlignment="1" applyProtection="1">
      <protection locked="0"/>
    </xf>
    <xf numFmtId="0" fontId="4" fillId="0" borderId="11" xfId="1" applyFont="1" applyBorder="1" applyAlignment="1" applyProtection="1">
      <protection locked="0"/>
    </xf>
    <xf numFmtId="0" fontId="4" fillId="0" borderId="19" xfId="1" applyFont="1" applyBorder="1" applyAlignment="1" applyProtection="1">
      <protection locked="0"/>
    </xf>
    <xf numFmtId="0" fontId="4" fillId="2" borderId="4" xfId="1" applyFont="1" applyFill="1" applyBorder="1" applyAlignment="1" applyProtection="1">
      <alignment horizontal="center" vertical="center"/>
    </xf>
    <xf numFmtId="0" fontId="17" fillId="0" borderId="11" xfId="1" applyFont="1" applyBorder="1" applyProtection="1">
      <protection locked="0"/>
    </xf>
    <xf numFmtId="0" fontId="17" fillId="0" borderId="19" xfId="1" applyFont="1" applyBorder="1" applyProtection="1">
      <protection locked="0"/>
    </xf>
    <xf numFmtId="49" fontId="17" fillId="0" borderId="6" xfId="1" applyNumberFormat="1" applyFont="1" applyBorder="1" applyAlignment="1" applyProtection="1">
      <alignment horizontal="center" vertical="justify"/>
    </xf>
    <xf numFmtId="0" fontId="17" fillId="0" borderId="5" xfId="1" applyFont="1" applyBorder="1" applyAlignment="1" applyProtection="1">
      <alignment horizontal="left" vertical="center" wrapText="1"/>
    </xf>
    <xf numFmtId="0" fontId="17" fillId="0" borderId="1" xfId="1" applyFont="1" applyBorder="1" applyAlignment="1" applyProtection="1">
      <alignment horizontal="left" vertical="center" wrapText="1"/>
    </xf>
    <xf numFmtId="0" fontId="17" fillId="0" borderId="13" xfId="1" applyFont="1" applyBorder="1" applyAlignment="1" applyProtection="1">
      <alignment horizontal="left" vertical="center" wrapText="1"/>
    </xf>
    <xf numFmtId="0" fontId="17" fillId="0" borderId="6" xfId="1" applyFont="1" applyBorder="1" applyAlignment="1" applyProtection="1">
      <alignment horizontal="left" vertical="center" wrapText="1"/>
    </xf>
    <xf numFmtId="0" fontId="17" fillId="0" borderId="7" xfId="1" applyFont="1" applyBorder="1" applyAlignment="1" applyProtection="1">
      <alignment horizontal="left" vertical="center" wrapText="1"/>
    </xf>
    <xf numFmtId="0" fontId="17" fillId="0" borderId="9" xfId="1" applyFont="1" applyBorder="1" applyAlignment="1" applyProtection="1">
      <alignment horizontal="left" vertical="center" wrapText="1"/>
    </xf>
    <xf numFmtId="0" fontId="2" fillId="0" borderId="0" xfId="1" applyFont="1" applyAlignment="1" applyProtection="1">
      <alignment horizontal="center"/>
    </xf>
    <xf numFmtId="0" fontId="12" fillId="0" borderId="14" xfId="0" applyFont="1" applyBorder="1" applyAlignment="1" applyProtection="1"/>
    <xf numFmtId="0" fontId="12" fillId="0" borderId="8" xfId="0" applyFont="1" applyBorder="1" applyAlignment="1" applyProtection="1"/>
    <xf numFmtId="0" fontId="12" fillId="0" borderId="12" xfId="0" applyFont="1" applyBorder="1" applyAlignment="1" applyProtection="1"/>
    <xf numFmtId="0" fontId="10" fillId="0" borderId="14" xfId="0" applyFont="1" applyBorder="1" applyAlignment="1" applyProtection="1">
      <alignment horizontal="center"/>
    </xf>
    <xf numFmtId="0" fontId="10" fillId="0" borderId="12" xfId="0" applyFont="1" applyBorder="1" applyAlignment="1" applyProtection="1">
      <alignment horizontal="center"/>
    </xf>
    <xf numFmtId="0" fontId="20" fillId="0" borderId="0" xfId="0" applyFont="1" applyAlignment="1" applyProtection="1">
      <alignment vertical="justify"/>
    </xf>
    <xf numFmtId="0" fontId="3" fillId="0" borderId="0" xfId="0" applyFont="1" applyAlignment="1"/>
    <xf numFmtId="0" fontId="10" fillId="0" borderId="7" xfId="0" applyFont="1" applyBorder="1" applyAlignment="1" applyProtection="1"/>
    <xf numFmtId="0" fontId="25" fillId="0" borderId="17" xfId="0" applyFont="1" applyBorder="1" applyAlignment="1" applyProtection="1">
      <alignment horizontal="left"/>
    </xf>
    <xf numFmtId="0" fontId="21" fillId="0" borderId="17" xfId="0" applyFont="1" applyBorder="1" applyAlignment="1" applyProtection="1">
      <alignment horizontal="left"/>
    </xf>
    <xf numFmtId="0" fontId="2" fillId="0" borderId="17" xfId="0" applyFont="1" applyBorder="1" applyAlignment="1">
      <alignment horizontal="left"/>
    </xf>
    <xf numFmtId="0" fontId="12" fillId="0" borderId="0" xfId="0" applyFont="1" applyAlignment="1" applyProtection="1">
      <alignment vertical="justify"/>
    </xf>
    <xf numFmtId="0" fontId="2" fillId="0" borderId="0" xfId="0" applyFont="1" applyAlignment="1"/>
    <xf numFmtId="14" fontId="10" fillId="0" borderId="14" xfId="0" applyNumberFormat="1" applyFont="1" applyBorder="1" applyAlignment="1" applyProtection="1">
      <alignment horizontal="center"/>
      <protection locked="0"/>
    </xf>
    <xf numFmtId="0" fontId="10" fillId="0" borderId="8" xfId="0" applyFont="1" applyBorder="1" applyAlignment="1" applyProtection="1">
      <alignment horizontal="center"/>
      <protection locked="0"/>
    </xf>
    <xf numFmtId="0" fontId="10" fillId="0" borderId="12" xfId="0" applyFont="1" applyBorder="1" applyAlignment="1" applyProtection="1">
      <alignment horizontal="center"/>
      <protection locked="0"/>
    </xf>
    <xf numFmtId="0" fontId="11" fillId="0" borderId="5" xfId="0" applyFont="1" applyBorder="1" applyAlignment="1" applyProtection="1">
      <alignment vertical="justify"/>
    </xf>
    <xf numFmtId="0" fontId="2" fillId="0" borderId="1" xfId="0" applyFont="1" applyBorder="1" applyAlignment="1">
      <alignment vertical="justify"/>
    </xf>
    <xf numFmtId="0" fontId="2" fillId="0" borderId="13" xfId="0" applyFont="1" applyBorder="1" applyAlignment="1">
      <alignment vertical="justify"/>
    </xf>
    <xf numFmtId="0" fontId="8" fillId="0" borderId="0" xfId="0" applyFont="1" applyAlignment="1"/>
    <xf numFmtId="0" fontId="2" fillId="0" borderId="0" xfId="0" applyFont="1" applyAlignment="1" applyProtection="1"/>
    <xf numFmtId="0" fontId="11" fillId="0" borderId="1" xfId="0" applyFont="1" applyBorder="1" applyAlignment="1" applyProtection="1">
      <alignment vertical="justify"/>
    </xf>
    <xf numFmtId="0" fontId="2" fillId="0" borderId="1" xfId="0" applyFont="1" applyBorder="1" applyAlignment="1"/>
    <xf numFmtId="0" fontId="2" fillId="0" borderId="13" xfId="0" applyFont="1" applyBorder="1" applyAlignment="1"/>
    <xf numFmtId="18" fontId="10" fillId="0" borderId="5" xfId="0" applyNumberFormat="1" applyFont="1" applyBorder="1" applyAlignment="1" applyProtection="1">
      <alignment horizontal="center"/>
      <protection locked="0"/>
    </xf>
    <xf numFmtId="0" fontId="10" fillId="0" borderId="1" xfId="0" applyFont="1" applyBorder="1" applyAlignment="1" applyProtection="1">
      <alignment horizontal="center"/>
      <protection locked="0"/>
    </xf>
    <xf numFmtId="0" fontId="2" fillId="0" borderId="1" xfId="0" applyFont="1" applyBorder="1" applyAlignment="1" applyProtection="1">
      <alignment horizontal="center"/>
      <protection locked="0"/>
    </xf>
    <xf numFmtId="0" fontId="2" fillId="0" borderId="13" xfId="0" applyFont="1" applyBorder="1" applyAlignment="1" applyProtection="1">
      <alignment horizontal="center"/>
      <protection locked="0"/>
    </xf>
    <xf numFmtId="0" fontId="2" fillId="0" borderId="6" xfId="0" applyFont="1" applyBorder="1" applyAlignment="1" applyProtection="1">
      <alignment horizontal="center"/>
      <protection locked="0"/>
    </xf>
    <xf numFmtId="0" fontId="2" fillId="0" borderId="7" xfId="0" applyFont="1" applyBorder="1" applyAlignment="1" applyProtection="1">
      <alignment horizontal="center"/>
      <protection locked="0"/>
    </xf>
    <xf numFmtId="0" fontId="2" fillId="0" borderId="9" xfId="0" applyFont="1" applyBorder="1" applyAlignment="1" applyProtection="1">
      <alignment horizontal="center"/>
      <protection locked="0"/>
    </xf>
    <xf numFmtId="14" fontId="10" fillId="0" borderId="12" xfId="0" applyNumberFormat="1" applyFont="1" applyBorder="1" applyAlignment="1" applyProtection="1">
      <alignment horizontal="center"/>
      <protection locked="0"/>
    </xf>
    <xf numFmtId="164" fontId="10" fillId="0" borderId="5" xfId="0" applyNumberFormat="1" applyFont="1" applyBorder="1" applyAlignment="1" applyProtection="1">
      <alignment horizontal="center"/>
      <protection locked="0"/>
    </xf>
    <xf numFmtId="164" fontId="10" fillId="0" borderId="1" xfId="0" applyNumberFormat="1" applyFont="1" applyBorder="1" applyAlignment="1" applyProtection="1">
      <alignment horizontal="center"/>
      <protection locked="0"/>
    </xf>
    <xf numFmtId="164" fontId="10" fillId="0" borderId="13" xfId="0" applyNumberFormat="1" applyFont="1" applyBorder="1" applyAlignment="1" applyProtection="1">
      <alignment horizontal="center"/>
      <protection locked="0"/>
    </xf>
    <xf numFmtId="164" fontId="10" fillId="0" borderId="6" xfId="0" applyNumberFormat="1" applyFont="1" applyBorder="1" applyAlignment="1" applyProtection="1">
      <alignment horizontal="center"/>
      <protection locked="0"/>
    </xf>
    <xf numFmtId="164" fontId="10" fillId="0" borderId="7" xfId="0" applyNumberFormat="1" applyFont="1" applyBorder="1" applyAlignment="1" applyProtection="1">
      <alignment horizontal="center"/>
      <protection locked="0"/>
    </xf>
    <xf numFmtId="164" fontId="10" fillId="0" borderId="9" xfId="0" applyNumberFormat="1" applyFont="1" applyBorder="1" applyAlignment="1" applyProtection="1">
      <alignment horizontal="center"/>
      <protection locked="0"/>
    </xf>
    <xf numFmtId="0" fontId="10" fillId="0" borderId="6" xfId="0" applyFont="1" applyBorder="1" applyAlignment="1" applyProtection="1">
      <alignment horizontal="center"/>
      <protection locked="0"/>
    </xf>
    <xf numFmtId="0" fontId="10" fillId="0" borderId="9" xfId="0" applyFont="1" applyBorder="1" applyAlignment="1" applyProtection="1">
      <alignment horizontal="center"/>
      <protection locked="0"/>
    </xf>
    <xf numFmtId="0" fontId="22" fillId="0" borderId="5" xfId="0" applyFont="1" applyBorder="1" applyAlignment="1" applyProtection="1">
      <alignment vertical="justify"/>
    </xf>
    <xf numFmtId="0" fontId="13" fillId="0" borderId="1" xfId="0" applyFont="1" applyBorder="1" applyAlignment="1">
      <alignment vertical="justify"/>
    </xf>
    <xf numFmtId="0" fontId="13" fillId="0" borderId="13" xfId="0" applyFont="1" applyBorder="1" applyAlignment="1">
      <alignment vertical="justify"/>
    </xf>
    <xf numFmtId="165" fontId="22" fillId="0" borderId="10" xfId="0" applyNumberFormat="1" applyFont="1" applyBorder="1" applyAlignment="1" applyProtection="1">
      <alignment horizontal="left" vertical="center"/>
    </xf>
    <xf numFmtId="165" fontId="22" fillId="0" borderId="0" xfId="0" applyNumberFormat="1" applyFont="1" applyBorder="1" applyAlignment="1" applyProtection="1">
      <alignment horizontal="left" vertical="center"/>
    </xf>
    <xf numFmtId="0" fontId="13" fillId="0" borderId="6" xfId="0" applyFont="1" applyBorder="1" applyAlignment="1">
      <alignment horizontal="left" vertical="center"/>
    </xf>
    <xf numFmtId="0" fontId="13" fillId="0" borderId="7" xfId="0" applyFont="1" applyBorder="1" applyAlignment="1">
      <alignment horizontal="left" vertical="center"/>
    </xf>
    <xf numFmtId="0" fontId="22" fillId="0" borderId="0" xfId="0" applyFont="1" applyBorder="1" applyAlignment="1">
      <alignment horizontal="center" vertical="center"/>
    </xf>
    <xf numFmtId="0" fontId="13" fillId="0" borderId="7" xfId="0" applyFont="1" applyBorder="1" applyAlignment="1">
      <alignment horizontal="center" vertical="center"/>
    </xf>
    <xf numFmtId="0" fontId="15" fillId="0" borderId="0" xfId="0" applyFont="1" applyAlignment="1" applyProtection="1"/>
    <xf numFmtId="0" fontId="13" fillId="0" borderId="0" xfId="0" applyFont="1" applyBorder="1" applyAlignment="1" applyProtection="1">
      <alignment horizontal="center" vertical="justify"/>
    </xf>
    <xf numFmtId="0" fontId="2" fillId="0" borderId="10" xfId="0" applyFont="1" applyBorder="1" applyAlignment="1" applyProtection="1">
      <alignment vertical="justify"/>
    </xf>
    <xf numFmtId="0" fontId="2" fillId="0" borderId="0" xfId="0" applyFont="1" applyBorder="1" applyAlignment="1" applyProtection="1">
      <alignment vertical="justify"/>
    </xf>
    <xf numFmtId="0" fontId="2" fillId="0" borderId="0" xfId="0" applyFont="1" applyBorder="1" applyAlignment="1"/>
    <xf numFmtId="0" fontId="2" fillId="0" borderId="6" xfId="0" applyFont="1" applyBorder="1" applyAlignment="1"/>
    <xf numFmtId="0" fontId="2" fillId="0" borderId="7" xfId="0" applyFont="1" applyBorder="1" applyAlignment="1"/>
    <xf numFmtId="0" fontId="13" fillId="0" borderId="0" xfId="0" applyFont="1" applyBorder="1" applyAlignment="1" applyProtection="1">
      <alignment horizontal="left" vertical="justify"/>
    </xf>
    <xf numFmtId="0" fontId="2" fillId="0" borderId="0" xfId="0" applyFont="1" applyBorder="1" applyAlignment="1">
      <alignment horizontal="left"/>
    </xf>
    <xf numFmtId="0" fontId="10" fillId="0" borderId="7" xfId="0" applyNumberFormat="1" applyFont="1" applyBorder="1" applyAlignment="1" applyProtection="1">
      <alignment horizontal="left"/>
      <protection locked="0"/>
    </xf>
    <xf numFmtId="0" fontId="10" fillId="0" borderId="0" xfId="0" applyNumberFormat="1" applyFont="1" applyBorder="1" applyAlignment="1" applyProtection="1">
      <alignment horizontal="left"/>
      <protection locked="0"/>
    </xf>
    <xf numFmtId="0" fontId="10" fillId="0" borderId="9" xfId="0" applyNumberFormat="1" applyFont="1" applyBorder="1" applyAlignment="1" applyProtection="1">
      <alignment horizontal="left"/>
      <protection locked="0"/>
    </xf>
    <xf numFmtId="0" fontId="2" fillId="0" borderId="8" xfId="0" applyFont="1" applyBorder="1" applyAlignment="1" applyProtection="1">
      <protection locked="0"/>
    </xf>
    <xf numFmtId="0" fontId="2" fillId="0" borderId="12" xfId="0" applyFont="1" applyBorder="1" applyAlignment="1" applyProtection="1">
      <protection locked="0"/>
    </xf>
    <xf numFmtId="0" fontId="2" fillId="0" borderId="1" xfId="0" applyFont="1" applyBorder="1" applyAlignment="1" applyProtection="1"/>
    <xf numFmtId="0" fontId="2" fillId="0" borderId="13" xfId="0" applyFont="1" applyBorder="1" applyAlignment="1" applyProtection="1"/>
    <xf numFmtId="0" fontId="8" fillId="0" borderId="0" xfId="0" applyFont="1" applyBorder="1" applyAlignment="1" applyProtection="1">
      <alignment horizontal="left"/>
    </xf>
    <xf numFmtId="0" fontId="8" fillId="0" borderId="0" xfId="0" applyFont="1" applyBorder="1" applyAlignment="1">
      <alignment horizontal="left"/>
    </xf>
    <xf numFmtId="0" fontId="8" fillId="0" borderId="0" xfId="0" applyFont="1" applyBorder="1" applyAlignment="1" applyProtection="1">
      <alignment horizontal="left" vertical="center"/>
    </xf>
    <xf numFmtId="0" fontId="8" fillId="0" borderId="0" xfId="0" applyFont="1" applyBorder="1" applyAlignment="1">
      <alignment horizontal="left" vertical="center"/>
    </xf>
    <xf numFmtId="0" fontId="8" fillId="0" borderId="7" xfId="0" applyFont="1" applyBorder="1" applyAlignment="1" applyProtection="1">
      <alignment vertical="top"/>
    </xf>
    <xf numFmtId="0" fontId="8" fillId="0" borderId="7" xfId="0" applyFont="1" applyBorder="1" applyAlignment="1">
      <alignment vertical="top"/>
    </xf>
    <xf numFmtId="0" fontId="11" fillId="0" borderId="6" xfId="0" applyFont="1" applyBorder="1" applyAlignment="1" applyProtection="1">
      <alignment vertical="justify"/>
    </xf>
    <xf numFmtId="0" fontId="2" fillId="0" borderId="7" xfId="0" applyFont="1" applyBorder="1" applyAlignment="1">
      <alignment vertical="justify"/>
    </xf>
    <xf numFmtId="49" fontId="10" fillId="0" borderId="6" xfId="0" applyNumberFormat="1" applyFont="1" applyBorder="1" applyAlignment="1" applyProtection="1">
      <alignment horizontal="center"/>
    </xf>
    <xf numFmtId="0" fontId="2" fillId="0" borderId="7" xfId="0" applyFont="1" applyBorder="1" applyAlignment="1" applyProtection="1">
      <alignment horizontal="center"/>
    </xf>
    <xf numFmtId="0" fontId="11" fillId="0" borderId="14" xfId="0" applyFont="1" applyBorder="1" applyAlignment="1" applyProtection="1">
      <alignment vertical="justify"/>
    </xf>
    <xf numFmtId="0" fontId="2" fillId="0" borderId="8" xfId="0" applyFont="1" applyBorder="1" applyAlignment="1">
      <alignment vertical="justify"/>
    </xf>
    <xf numFmtId="0" fontId="10" fillId="0" borderId="10" xfId="0" applyFont="1" applyBorder="1" applyAlignment="1" applyProtection="1">
      <alignment horizontal="center"/>
      <protection locked="0"/>
    </xf>
    <xf numFmtId="0" fontId="10" fillId="0" borderId="0" xfId="0" applyFont="1" applyBorder="1" applyAlignment="1" applyProtection="1">
      <alignment horizontal="center"/>
      <protection locked="0"/>
    </xf>
    <xf numFmtId="0" fontId="2" fillId="0" borderId="0" xfId="0" applyFont="1" applyBorder="1" applyAlignment="1" applyProtection="1">
      <protection locked="0"/>
    </xf>
    <xf numFmtId="0" fontId="2" fillId="0" borderId="15" xfId="0" applyFont="1" applyBorder="1" applyAlignment="1" applyProtection="1">
      <protection locked="0"/>
    </xf>
    <xf numFmtId="166" fontId="10" fillId="0" borderId="6" xfId="0" applyNumberFormat="1" applyFont="1" applyBorder="1" applyAlignment="1" applyProtection="1">
      <alignment horizontal="center"/>
      <protection locked="0"/>
    </xf>
    <xf numFmtId="166" fontId="10" fillId="0" borderId="7" xfId="0" applyNumberFormat="1" applyFont="1" applyBorder="1" applyAlignment="1" applyProtection="1">
      <alignment horizontal="center"/>
      <protection locked="0"/>
    </xf>
    <xf numFmtId="166" fontId="2" fillId="0" borderId="7" xfId="0" applyNumberFormat="1" applyFont="1" applyBorder="1" applyAlignment="1" applyProtection="1">
      <alignment horizontal="center"/>
      <protection locked="0"/>
    </xf>
    <xf numFmtId="166" fontId="2" fillId="0" borderId="9" xfId="0" applyNumberFormat="1" applyFont="1" applyBorder="1" applyAlignment="1" applyProtection="1">
      <alignment horizontal="center"/>
      <protection locked="0"/>
    </xf>
    <xf numFmtId="0" fontId="17" fillId="0" borderId="7" xfId="0" applyFont="1" applyBorder="1" applyAlignment="1" applyProtection="1">
      <alignment horizontal="center" vertical="center"/>
    </xf>
    <xf numFmtId="0" fontId="2" fillId="0" borderId="7" xfId="0" applyFont="1" applyBorder="1" applyAlignment="1">
      <alignment vertical="center"/>
    </xf>
    <xf numFmtId="0" fontId="2" fillId="0" borderId="0" xfId="0" applyFont="1" applyBorder="1" applyAlignment="1">
      <alignment vertical="center"/>
    </xf>
    <xf numFmtId="0" fontId="2" fillId="0" borderId="0" xfId="0" applyFont="1" applyAlignment="1">
      <alignment vertical="center"/>
    </xf>
    <xf numFmtId="0" fontId="2" fillId="0" borderId="5"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8" fillId="0" borderId="8" xfId="0" applyFont="1" applyBorder="1" applyAlignment="1" applyProtection="1"/>
    <xf numFmtId="0" fontId="10" fillId="0" borderId="12" xfId="0" applyFont="1" applyBorder="1" applyAlignment="1" applyProtection="1">
      <protection locked="0"/>
    </xf>
    <xf numFmtId="0" fontId="12" fillId="0" borderId="5" xfId="0" applyFont="1" applyBorder="1" applyAlignment="1" applyProtection="1">
      <alignment horizontal="center" vertical="center"/>
    </xf>
    <xf numFmtId="0" fontId="12" fillId="0" borderId="1" xfId="0" applyFont="1" applyBorder="1" applyAlignment="1" applyProtection="1">
      <alignment horizontal="center" vertical="center"/>
    </xf>
    <xf numFmtId="0" fontId="12" fillId="0" borderId="13" xfId="0" applyFont="1" applyBorder="1" applyAlignment="1" applyProtection="1">
      <alignment horizontal="center" vertical="center"/>
    </xf>
    <xf numFmtId="0" fontId="12" fillId="0" borderId="10" xfId="0" applyFont="1" applyBorder="1" applyAlignment="1" applyProtection="1">
      <alignment horizontal="center" vertical="center"/>
    </xf>
    <xf numFmtId="0" fontId="12" fillId="0" borderId="0" xfId="0" applyFont="1" applyBorder="1" applyAlignment="1" applyProtection="1">
      <alignment horizontal="center" vertical="center"/>
    </xf>
    <xf numFmtId="0" fontId="12" fillId="0" borderId="15" xfId="0" applyFont="1" applyBorder="1" applyAlignment="1" applyProtection="1">
      <alignment horizontal="center" vertical="center"/>
    </xf>
    <xf numFmtId="0" fontId="26" fillId="0" borderId="7" xfId="0" applyFont="1" applyBorder="1" applyAlignment="1" applyProtection="1">
      <protection locked="0"/>
    </xf>
    <xf numFmtId="0" fontId="12" fillId="0" borderId="0" xfId="0" applyFont="1" applyBorder="1" applyAlignment="1" applyProtection="1">
      <alignment horizontal="center"/>
    </xf>
    <xf numFmtId="0" fontId="2" fillId="0" borderId="0" xfId="0" applyFont="1" applyBorder="1" applyAlignment="1" applyProtection="1">
      <alignment horizontal="center"/>
    </xf>
    <xf numFmtId="167" fontId="2" fillId="0" borderId="3" xfId="0" applyNumberFormat="1" applyFont="1" applyBorder="1" applyAlignment="1" applyProtection="1">
      <alignment horizontal="center" vertical="center"/>
      <protection locked="0"/>
    </xf>
    <xf numFmtId="167" fontId="2" fillId="0" borderId="4" xfId="0" applyNumberFormat="1" applyFont="1" applyBorder="1" applyAlignment="1" applyProtection="1">
      <alignment horizontal="center" vertical="center"/>
      <protection locked="0"/>
    </xf>
    <xf numFmtId="0" fontId="12" fillId="0" borderId="6" xfId="0" applyFont="1" applyBorder="1" applyAlignment="1" applyProtection="1"/>
    <xf numFmtId="0" fontId="12" fillId="0" borderId="7" xfId="0" applyFont="1" applyBorder="1" applyAlignment="1" applyProtection="1"/>
    <xf numFmtId="0" fontId="12" fillId="0" borderId="9" xfId="0" applyFont="1" applyBorder="1" applyAlignment="1" applyProtection="1"/>
    <xf numFmtId="0" fontId="12" fillId="0" borderId="1" xfId="0" applyFont="1" applyBorder="1" applyAlignment="1" applyProtection="1">
      <alignment horizontal="center"/>
    </xf>
    <xf numFmtId="0" fontId="2" fillId="0" borderId="13" xfId="0" applyFont="1" applyBorder="1" applyAlignment="1" applyProtection="1">
      <alignment horizontal="center"/>
    </xf>
    <xf numFmtId="0" fontId="2" fillId="2" borderId="14" xfId="0" applyFont="1" applyFill="1" applyBorder="1" applyAlignment="1" applyProtection="1"/>
    <xf numFmtId="0" fontId="2" fillId="2" borderId="12" xfId="0" applyFont="1" applyFill="1" applyBorder="1" applyAlignment="1" applyProtection="1"/>
    <xf numFmtId="0" fontId="12" fillId="0" borderId="7" xfId="0" applyFont="1" applyBorder="1" applyAlignment="1" applyProtection="1">
      <alignment horizontal="center" vertical="center"/>
    </xf>
    <xf numFmtId="0" fontId="2" fillId="0" borderId="9" xfId="0" applyFont="1" applyBorder="1" applyAlignment="1" applyProtection="1">
      <alignment horizontal="center" vertical="center"/>
    </xf>
    <xf numFmtId="0" fontId="10" fillId="0" borderId="3"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2" fillId="0" borderId="5" xfId="0" applyFont="1" applyBorder="1" applyAlignment="1" applyProtection="1">
      <alignment horizontal="center" vertical="center" shrinkToFit="1"/>
      <protection locked="0"/>
    </xf>
    <xf numFmtId="0" fontId="2" fillId="0" borderId="13" xfId="0" applyFont="1" applyBorder="1" applyAlignment="1" applyProtection="1">
      <alignment horizontal="center" vertical="center" shrinkToFit="1"/>
      <protection locked="0"/>
    </xf>
    <xf numFmtId="0" fontId="2" fillId="0" borderId="6" xfId="0" applyFont="1" applyBorder="1" applyAlignment="1" applyProtection="1">
      <alignment horizontal="center" vertical="center" shrinkToFit="1"/>
      <protection locked="0"/>
    </xf>
    <xf numFmtId="0" fontId="2" fillId="0" borderId="9" xfId="0" applyFont="1" applyBorder="1" applyAlignment="1" applyProtection="1">
      <alignment horizontal="center" vertical="center" shrinkToFit="1"/>
      <protection locked="0"/>
    </xf>
    <xf numFmtId="0" fontId="10" fillId="0" borderId="5" xfId="0" applyFont="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10" fillId="0" borderId="13" xfId="0" applyFont="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0" borderId="9" xfId="0" applyFont="1" applyBorder="1" applyAlignment="1" applyProtection="1">
      <alignment horizontal="center" vertical="center"/>
      <protection locked="0"/>
    </xf>
    <xf numFmtId="0" fontId="10" fillId="0" borderId="5" xfId="0" applyFont="1" applyBorder="1" applyAlignment="1" applyProtection="1">
      <alignment vertical="center"/>
      <protection locked="0"/>
    </xf>
    <xf numFmtId="0" fontId="10" fillId="0" borderId="13" xfId="0" applyFont="1" applyBorder="1" applyAlignment="1" applyProtection="1">
      <alignment vertical="center"/>
      <protection locked="0"/>
    </xf>
    <xf numFmtId="0" fontId="10" fillId="0" borderId="6" xfId="0" applyFont="1" applyBorder="1" applyAlignment="1" applyProtection="1">
      <alignment vertical="center"/>
      <protection locked="0"/>
    </xf>
    <xf numFmtId="0" fontId="10" fillId="0" borderId="9" xfId="0" applyFont="1" applyBorder="1" applyAlignment="1" applyProtection="1">
      <alignment vertical="center"/>
      <protection locked="0"/>
    </xf>
    <xf numFmtId="0" fontId="2" fillId="0" borderId="1" xfId="0" applyFont="1" applyBorder="1" applyAlignment="1" applyProtection="1">
      <alignment horizontal="center" vertical="center" shrinkToFit="1"/>
      <protection locked="0"/>
    </xf>
    <xf numFmtId="0" fontId="2" fillId="0" borderId="7" xfId="0" applyFont="1" applyBorder="1" applyAlignment="1" applyProtection="1">
      <alignment horizontal="center" vertical="center" shrinkToFit="1"/>
      <protection locked="0"/>
    </xf>
    <xf numFmtId="0" fontId="2" fillId="0" borderId="1"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2" borderId="5" xfId="0" applyFont="1" applyFill="1" applyBorder="1" applyAlignment="1" applyProtection="1"/>
    <xf numFmtId="0" fontId="2" fillId="2" borderId="13" xfId="0" applyFont="1" applyFill="1" applyBorder="1" applyAlignment="1" applyProtection="1"/>
    <xf numFmtId="0" fontId="2" fillId="2" borderId="6" xfId="0" applyFont="1" applyFill="1" applyBorder="1" applyAlignment="1" applyProtection="1"/>
    <xf numFmtId="0" fontId="2" fillId="2" borderId="9" xfId="0" applyFont="1" applyFill="1" applyBorder="1" applyAlignment="1" applyProtection="1"/>
    <xf numFmtId="0" fontId="26" fillId="0" borderId="3" xfId="0" applyFont="1" applyBorder="1" applyAlignment="1" applyProtection="1">
      <alignment horizontal="center" vertical="center"/>
    </xf>
    <xf numFmtId="0" fontId="26" fillId="0" borderId="4" xfId="0" applyFont="1" applyBorder="1" applyAlignment="1" applyProtection="1">
      <alignment horizontal="center" vertical="center"/>
    </xf>
    <xf numFmtId="0" fontId="10" fillId="0" borderId="5" xfId="0" applyFont="1" applyBorder="1" applyAlignment="1" applyProtection="1">
      <alignment horizontal="center" vertical="center"/>
    </xf>
    <xf numFmtId="0" fontId="10" fillId="0" borderId="13" xfId="0" applyFont="1" applyBorder="1" applyAlignment="1" applyProtection="1">
      <alignment horizontal="center" vertical="center"/>
    </xf>
    <xf numFmtId="0" fontId="10" fillId="0" borderId="6" xfId="0" applyFont="1" applyBorder="1" applyAlignment="1" applyProtection="1">
      <alignment horizontal="center" vertical="center"/>
    </xf>
    <xf numFmtId="0" fontId="10" fillId="0" borderId="9" xfId="0" applyFont="1" applyBorder="1" applyAlignment="1" applyProtection="1">
      <alignment horizontal="center" vertical="center"/>
    </xf>
    <xf numFmtId="0" fontId="10" fillId="0" borderId="13" xfId="0" applyFont="1" applyBorder="1" applyAlignment="1" applyProtection="1">
      <alignment vertical="center"/>
    </xf>
    <xf numFmtId="0" fontId="10" fillId="0" borderId="6" xfId="0" applyFont="1" applyBorder="1" applyAlignment="1" applyProtection="1">
      <alignment vertical="center"/>
    </xf>
    <xf numFmtId="0" fontId="10" fillId="0" borderId="9" xfId="0" applyFont="1" applyBorder="1" applyAlignment="1" applyProtection="1">
      <alignment vertical="center"/>
    </xf>
    <xf numFmtId="0" fontId="33" fillId="0" borderId="1" xfId="0" applyFont="1" applyBorder="1" applyAlignment="1" applyProtection="1">
      <alignment vertical="justify"/>
    </xf>
    <xf numFmtId="0" fontId="10" fillId="0" borderId="2" xfId="0" applyFont="1" applyBorder="1" applyAlignment="1" applyProtection="1">
      <alignment horizontal="center" vertical="center"/>
      <protection locked="0"/>
    </xf>
    <xf numFmtId="0" fontId="2" fillId="2" borderId="2" xfId="0" applyFont="1" applyFill="1" applyBorder="1" applyAlignment="1" applyProtection="1"/>
    <xf numFmtId="0" fontId="10" fillId="0" borderId="5" xfId="0" applyFont="1" applyBorder="1" applyAlignment="1" applyProtection="1">
      <protection locked="0"/>
    </xf>
    <xf numFmtId="0" fontId="10" fillId="0" borderId="13" xfId="0" applyFont="1" applyBorder="1" applyAlignment="1" applyProtection="1">
      <protection locked="0"/>
    </xf>
    <xf numFmtId="0" fontId="10" fillId="0" borderId="6" xfId="0" applyFont="1" applyBorder="1" applyAlignment="1" applyProtection="1">
      <protection locked="0"/>
    </xf>
    <xf numFmtId="0" fontId="10" fillId="0" borderId="9" xfId="0" applyFont="1" applyBorder="1" applyAlignment="1" applyProtection="1">
      <protection locked="0"/>
    </xf>
    <xf numFmtId="0" fontId="12" fillId="0" borderId="5" xfId="0" applyFont="1" applyBorder="1" applyAlignment="1" applyProtection="1"/>
    <xf numFmtId="0" fontId="12" fillId="0" borderId="1" xfId="0" applyFont="1" applyBorder="1" applyAlignment="1" applyProtection="1"/>
    <xf numFmtId="0" fontId="12" fillId="0" borderId="13" xfId="0" applyFont="1" applyBorder="1" applyAlignment="1" applyProtection="1"/>
    <xf numFmtId="0" fontId="8" fillId="0" borderId="6" xfId="0" applyFont="1" applyBorder="1" applyAlignment="1" applyProtection="1"/>
    <xf numFmtId="0" fontId="2" fillId="0" borderId="8" xfId="0" applyFont="1" applyBorder="1" applyAlignment="1"/>
    <xf numFmtId="0" fontId="15" fillId="0" borderId="1" xfId="0" applyFont="1" applyBorder="1" applyAlignment="1" applyProtection="1">
      <alignment horizontal="left" wrapText="1"/>
    </xf>
    <xf numFmtId="0" fontId="12" fillId="0" borderId="13" xfId="0" applyFont="1" applyBorder="1" applyAlignment="1" applyProtection="1">
      <alignment horizontal="left" vertical="center"/>
    </xf>
    <xf numFmtId="0" fontId="12" fillId="0" borderId="9" xfId="0" applyFont="1" applyBorder="1" applyAlignment="1" applyProtection="1">
      <alignment horizontal="left" vertical="center"/>
    </xf>
    <xf numFmtId="0" fontId="12" fillId="0" borderId="13" xfId="0" applyFont="1" applyBorder="1" applyAlignment="1" applyProtection="1">
      <alignment vertical="center"/>
    </xf>
    <xf numFmtId="0" fontId="12" fillId="0" borderId="9" xfId="0" applyFont="1" applyBorder="1" applyAlignment="1" applyProtection="1">
      <alignment vertical="center"/>
    </xf>
    <xf numFmtId="0" fontId="16" fillId="0" borderId="0" xfId="0" applyFont="1" applyAlignment="1" applyProtection="1"/>
    <xf numFmtId="0" fontId="12" fillId="0" borderId="5" xfId="0" applyFont="1" applyBorder="1" applyAlignment="1" applyProtection="1">
      <alignment horizontal="center"/>
    </xf>
    <xf numFmtId="0" fontId="12" fillId="0" borderId="13" xfId="0" applyFont="1" applyBorder="1" applyAlignment="1" applyProtection="1">
      <alignment horizontal="center"/>
    </xf>
    <xf numFmtId="0" fontId="12" fillId="0" borderId="10" xfId="0" applyFont="1" applyBorder="1" applyAlignment="1" applyProtection="1">
      <alignment horizontal="center"/>
    </xf>
    <xf numFmtId="0" fontId="12" fillId="0" borderId="15" xfId="0" applyFont="1" applyBorder="1" applyAlignment="1" applyProtection="1">
      <alignment horizontal="center"/>
    </xf>
    <xf numFmtId="0" fontId="12" fillId="0" borderId="10" xfId="0" applyFont="1" applyBorder="1" applyAlignment="1" applyProtection="1">
      <alignment horizontal="center" vertical="top"/>
    </xf>
    <xf numFmtId="0" fontId="12" fillId="0" borderId="15" xfId="0" applyFont="1" applyBorder="1" applyAlignment="1" applyProtection="1">
      <alignment horizontal="center" vertical="top"/>
    </xf>
    <xf numFmtId="0" fontId="12" fillId="0" borderId="6" xfId="0" applyFont="1" applyBorder="1" applyAlignment="1" applyProtection="1">
      <alignment horizontal="center" vertical="top"/>
    </xf>
    <xf numFmtId="0" fontId="12" fillId="0" borderId="9" xfId="0" applyFont="1" applyBorder="1" applyAlignment="1" applyProtection="1">
      <alignment horizontal="center" vertical="top"/>
    </xf>
    <xf numFmtId="0" fontId="15" fillId="0" borderId="1" xfId="0" applyFont="1" applyBorder="1" applyAlignment="1">
      <alignment horizontal="center" wrapText="1"/>
    </xf>
    <xf numFmtId="14" fontId="26" fillId="0" borderId="8" xfId="0" applyNumberFormat="1" applyFont="1" applyBorder="1" applyAlignment="1" applyProtection="1">
      <alignment horizontal="center"/>
      <protection locked="0"/>
    </xf>
    <xf numFmtId="49" fontId="24" fillId="0" borderId="1" xfId="0" applyNumberFormat="1" applyFont="1" applyBorder="1" applyAlignment="1"/>
    <xf numFmtId="0" fontId="24" fillId="0" borderId="11" xfId="0" applyFont="1" applyBorder="1" applyAlignment="1" applyProtection="1"/>
    <xf numFmtId="0" fontId="25" fillId="0" borderId="0" xfId="0" applyFont="1" applyBorder="1" applyAlignment="1" applyProtection="1"/>
    <xf numFmtId="0" fontId="21" fillId="0" borderId="0" xfId="0" applyFont="1" applyAlignment="1"/>
    <xf numFmtId="0" fontId="25" fillId="0" borderId="0" xfId="0" applyFont="1" applyAlignment="1"/>
    <xf numFmtId="0" fontId="25" fillId="0" borderId="0" xfId="0" applyFont="1" applyBorder="1" applyAlignment="1">
      <alignment horizontal="right"/>
    </xf>
    <xf numFmtId="0" fontId="25" fillId="0" borderId="0" xfId="0" applyFont="1" applyBorder="1" applyAlignment="1">
      <alignment horizontal="center"/>
    </xf>
    <xf numFmtId="0" fontId="21" fillId="0" borderId="0" xfId="0" applyFont="1" applyBorder="1" applyAlignment="1">
      <alignment horizontal="center"/>
    </xf>
    <xf numFmtId="14" fontId="26" fillId="0" borderId="7" xfId="0" applyNumberFormat="1" applyFont="1" applyBorder="1" applyAlignment="1" applyProtection="1">
      <alignment horizontal="left"/>
      <protection locked="0"/>
    </xf>
    <xf numFmtId="0" fontId="26" fillId="0" borderId="7" xfId="0" applyFont="1" applyBorder="1" applyAlignment="1" applyProtection="1">
      <alignment horizontal="left"/>
      <protection locked="0"/>
    </xf>
    <xf numFmtId="0" fontId="2" fillId="0" borderId="15" xfId="0" applyFont="1" applyBorder="1" applyAlignment="1"/>
    <xf numFmtId="0" fontId="2" fillId="0" borderId="9" xfId="0" applyFont="1" applyBorder="1" applyAlignment="1"/>
    <xf numFmtId="0" fontId="23" fillId="0" borderId="2" xfId="0" applyFont="1" applyFill="1" applyBorder="1" applyAlignment="1" applyProtection="1">
      <alignment horizontal="center"/>
    </xf>
    <xf numFmtId="0" fontId="24" fillId="0" borderId="2" xfId="0" applyFont="1" applyBorder="1" applyAlignment="1">
      <alignment horizontal="center"/>
    </xf>
    <xf numFmtId="0" fontId="12" fillId="0" borderId="6" xfId="0" applyFont="1" applyBorder="1" applyAlignment="1">
      <alignment horizontal="center"/>
    </xf>
    <xf numFmtId="0" fontId="12" fillId="0" borderId="9" xfId="0" applyFont="1" applyBorder="1" applyAlignment="1">
      <alignment horizontal="center"/>
    </xf>
    <xf numFmtId="0" fontId="2" fillId="0" borderId="13" xfId="0" applyFont="1" applyBorder="1" applyAlignment="1">
      <alignment horizontal="center"/>
    </xf>
    <xf numFmtId="0" fontId="12" fillId="0" borderId="6" xfId="0" applyFont="1" applyBorder="1" applyAlignment="1" applyProtection="1">
      <alignment horizontal="center"/>
    </xf>
    <xf numFmtId="0" fontId="13" fillId="0" borderId="0" xfId="0" applyFont="1" applyAlignment="1" applyProtection="1">
      <alignment horizontal="center" vertical="center"/>
    </xf>
    <xf numFmtId="0" fontId="2" fillId="0" borderId="9" xfId="0" applyFont="1" applyBorder="1" applyAlignment="1" applyProtection="1">
      <alignment horizontal="center"/>
    </xf>
    <xf numFmtId="14" fontId="10" fillId="0" borderId="14" xfId="0" applyNumberFormat="1" applyFont="1" applyBorder="1" applyAlignment="1" applyProtection="1">
      <protection locked="0"/>
    </xf>
    <xf numFmtId="0" fontId="10" fillId="0" borderId="14" xfId="0" applyFont="1" applyBorder="1" applyAlignment="1" applyProtection="1">
      <alignment horizontal="center" shrinkToFit="1"/>
      <protection locked="0"/>
    </xf>
    <xf numFmtId="0" fontId="10" fillId="0" borderId="12" xfId="0" applyFont="1" applyBorder="1" applyAlignment="1" applyProtection="1">
      <alignment horizontal="center" shrinkToFit="1"/>
      <protection locked="0"/>
    </xf>
    <xf numFmtId="0" fontId="10" fillId="0" borderId="5" xfId="0" applyFont="1" applyBorder="1" applyAlignment="1" applyProtection="1">
      <alignment horizontal="center"/>
    </xf>
    <xf numFmtId="0" fontId="37" fillId="0" borderId="0" xfId="2" applyFont="1" applyAlignment="1">
      <alignment horizontal="left" vertical="top"/>
    </xf>
    <xf numFmtId="0" fontId="36" fillId="0" borderId="0" xfId="2" applyFont="1" applyAlignment="1">
      <alignment horizontal="center"/>
    </xf>
    <xf numFmtId="0" fontId="37" fillId="0" borderId="0" xfId="2" applyFont="1" applyAlignment="1">
      <alignment vertical="top" wrapText="1"/>
    </xf>
    <xf numFmtId="0" fontId="43" fillId="0" borderId="10" xfId="2" applyFont="1" applyBorder="1" applyAlignment="1" applyProtection="1">
      <alignment horizontal="center" vertical="center"/>
      <protection locked="0"/>
    </xf>
    <xf numFmtId="0" fontId="43" fillId="0" borderId="0" xfId="2" applyFont="1" applyBorder="1" applyAlignment="1" applyProtection="1">
      <alignment horizontal="center" vertical="center"/>
      <protection locked="0"/>
    </xf>
    <xf numFmtId="0" fontId="43" fillId="0" borderId="15" xfId="2" applyFont="1" applyBorder="1" applyAlignment="1" applyProtection="1">
      <alignment horizontal="center" vertical="center"/>
      <protection locked="0"/>
    </xf>
    <xf numFmtId="0" fontId="43" fillId="0" borderId="6" xfId="2" applyFont="1" applyBorder="1" applyAlignment="1" applyProtection="1">
      <alignment horizontal="center" vertical="center"/>
      <protection locked="0"/>
    </xf>
    <xf numFmtId="0" fontId="43" fillId="0" borderId="7" xfId="2" applyFont="1" applyBorder="1" applyAlignment="1" applyProtection="1">
      <alignment horizontal="center" vertical="center"/>
      <protection locked="0"/>
    </xf>
    <xf numFmtId="0" fontId="43" fillId="0" borderId="9" xfId="2" applyFont="1" applyBorder="1" applyAlignment="1" applyProtection="1">
      <alignment horizontal="center" vertical="center"/>
      <protection locked="0"/>
    </xf>
    <xf numFmtId="0" fontId="40" fillId="0" borderId="1" xfId="2" applyFont="1" applyBorder="1" applyAlignment="1" applyProtection="1">
      <alignment horizontal="left" vertical="top" wrapText="1"/>
      <protection locked="0"/>
    </xf>
    <xf numFmtId="0" fontId="40" fillId="0" borderId="13" xfId="2" applyFont="1" applyBorder="1" applyAlignment="1" applyProtection="1">
      <alignment horizontal="left" vertical="top" wrapText="1"/>
      <protection locked="0"/>
    </xf>
    <xf numFmtId="0" fontId="40" fillId="0" borderId="0" xfId="2" applyFont="1" applyBorder="1" applyAlignment="1" applyProtection="1">
      <alignment horizontal="left" vertical="top" wrapText="1"/>
      <protection locked="0"/>
    </xf>
    <xf numFmtId="0" fontId="40" fillId="0" borderId="15" xfId="2" applyFont="1" applyBorder="1" applyAlignment="1" applyProtection="1">
      <alignment horizontal="left" vertical="top" wrapText="1"/>
      <protection locked="0"/>
    </xf>
    <xf numFmtId="0" fontId="40" fillId="0" borderId="10" xfId="2" applyFont="1" applyBorder="1"/>
    <xf numFmtId="0" fontId="40" fillId="0" borderId="0" xfId="2" applyFont="1" applyBorder="1"/>
    <xf numFmtId="0" fontId="39" fillId="0" borderId="24" xfId="2" applyFont="1" applyBorder="1" applyAlignment="1">
      <alignment wrapText="1"/>
    </xf>
    <xf numFmtId="0" fontId="39" fillId="0" borderId="17" xfId="2" applyFont="1" applyBorder="1" applyAlignment="1">
      <alignment wrapText="1"/>
    </xf>
    <xf numFmtId="0" fontId="43" fillId="0" borderId="17" xfId="2" applyFont="1" applyBorder="1" applyAlignment="1" applyProtection="1">
      <alignment horizontal="center" vertical="center"/>
      <protection locked="0"/>
    </xf>
    <xf numFmtId="0" fontId="43" fillId="0" borderId="25" xfId="2" applyFont="1" applyBorder="1" applyAlignment="1" applyProtection="1">
      <alignment horizontal="center" vertical="center"/>
      <protection locked="0"/>
    </xf>
    <xf numFmtId="0" fontId="40" fillId="0" borderId="10" xfId="2" applyFont="1" applyBorder="1" applyAlignment="1" applyProtection="1">
      <alignment horizontal="left" vertical="top" wrapText="1"/>
      <protection locked="0"/>
    </xf>
    <xf numFmtId="0" fontId="1" fillId="0" borderId="0" xfId="2"/>
    <xf numFmtId="0" fontId="1" fillId="0" borderId="15" xfId="2" applyBorder="1"/>
    <xf numFmtId="0" fontId="1" fillId="0" borderId="10" xfId="2" applyBorder="1"/>
    <xf numFmtId="0" fontId="1" fillId="0" borderId="6" xfId="2" applyBorder="1"/>
    <xf numFmtId="0" fontId="1" fillId="0" borderId="7" xfId="2" applyBorder="1"/>
    <xf numFmtId="0" fontId="1" fillId="0" borderId="9" xfId="2" applyBorder="1"/>
    <xf numFmtId="0" fontId="1" fillId="0" borderId="5" xfId="2" applyBorder="1"/>
    <xf numFmtId="0" fontId="1" fillId="0" borderId="1" xfId="2" applyBorder="1"/>
    <xf numFmtId="0" fontId="1" fillId="0" borderId="13" xfId="2" applyBorder="1"/>
    <xf numFmtId="0" fontId="42" fillId="0" borderId="1" xfId="2" applyFont="1" applyBorder="1" applyAlignment="1" applyProtection="1">
      <alignment horizontal="center" vertical="center" wrapText="1"/>
      <protection locked="0"/>
    </xf>
    <xf numFmtId="0" fontId="42" fillId="0" borderId="13" xfId="2" applyFont="1" applyBorder="1" applyAlignment="1" applyProtection="1">
      <alignment horizontal="center" vertical="center" wrapText="1"/>
      <protection locked="0"/>
    </xf>
    <xf numFmtId="0" fontId="42" fillId="0" borderId="7" xfId="2" applyFont="1" applyBorder="1" applyAlignment="1" applyProtection="1">
      <alignment horizontal="center" vertical="center" wrapText="1"/>
      <protection locked="0"/>
    </xf>
    <xf numFmtId="0" fontId="42" fillId="0" borderId="9" xfId="2" applyFont="1" applyBorder="1" applyAlignment="1" applyProtection="1">
      <alignment horizontal="center" vertical="center" wrapText="1"/>
      <protection locked="0"/>
    </xf>
    <xf numFmtId="0" fontId="36" fillId="0" borderId="0" xfId="2" applyFont="1" applyAlignment="1">
      <alignment horizontal="center" wrapText="1"/>
    </xf>
    <xf numFmtId="0" fontId="38" fillId="0" borderId="0" xfId="2" applyFont="1" applyAlignment="1">
      <alignment horizontal="center" wrapText="1"/>
    </xf>
    <xf numFmtId="0" fontId="39" fillId="3" borderId="5" xfId="2" applyFont="1" applyFill="1" applyBorder="1" applyAlignment="1">
      <alignment horizontal="center"/>
    </xf>
    <xf numFmtId="0" fontId="39" fillId="3" borderId="1" xfId="2" applyFont="1" applyFill="1" applyBorder="1" applyAlignment="1">
      <alignment horizontal="center"/>
    </xf>
    <xf numFmtId="0" fontId="39" fillId="3" borderId="13" xfId="2" applyFont="1" applyFill="1" applyBorder="1" applyAlignment="1">
      <alignment horizontal="center"/>
    </xf>
    <xf numFmtId="0" fontId="39" fillId="0" borderId="5" xfId="2" applyFont="1" applyBorder="1"/>
    <xf numFmtId="0" fontId="39" fillId="0" borderId="1" xfId="2" applyFont="1" applyBorder="1"/>
    <xf numFmtId="0" fontId="39" fillId="0" borderId="13" xfId="2" applyFont="1" applyBorder="1"/>
    <xf numFmtId="0" fontId="39" fillId="3" borderId="10" xfId="2" applyFont="1" applyFill="1" applyBorder="1" applyAlignment="1">
      <alignment horizontal="center" vertical="top"/>
    </xf>
    <xf numFmtId="0" fontId="39" fillId="3" borderId="0" xfId="2" applyFont="1" applyFill="1" applyBorder="1" applyAlignment="1">
      <alignment horizontal="center" vertical="top"/>
    </xf>
    <xf numFmtId="0" fontId="39" fillId="3" borderId="15" xfId="2" applyFont="1" applyFill="1" applyBorder="1" applyAlignment="1">
      <alignment horizontal="center" vertical="top"/>
    </xf>
    <xf numFmtId="0" fontId="39" fillId="3" borderId="6" xfId="2" applyFont="1" applyFill="1" applyBorder="1" applyAlignment="1">
      <alignment horizontal="center"/>
    </xf>
    <xf numFmtId="0" fontId="39" fillId="3" borderId="7" xfId="2" applyFont="1" applyFill="1" applyBorder="1" applyAlignment="1">
      <alignment horizontal="center"/>
    </xf>
    <xf numFmtId="0" fontId="39" fillId="3" borderId="9" xfId="2" applyFont="1" applyFill="1" applyBorder="1" applyAlignment="1">
      <alignment horizontal="center"/>
    </xf>
    <xf numFmtId="0" fontId="41" fillId="0" borderId="1" xfId="2" applyFont="1" applyBorder="1" applyAlignment="1" applyProtection="1">
      <alignment horizontal="center" vertical="center" wrapText="1"/>
      <protection locked="0"/>
    </xf>
    <xf numFmtId="0" fontId="41" fillId="0" borderId="13" xfId="2" applyFont="1" applyBorder="1" applyAlignment="1" applyProtection="1">
      <alignment horizontal="center" vertical="center" wrapText="1"/>
      <protection locked="0"/>
    </xf>
    <xf numFmtId="0" fontId="41" fillId="0" borderId="7" xfId="2" applyFont="1" applyBorder="1" applyAlignment="1" applyProtection="1">
      <alignment horizontal="center" vertical="center" wrapText="1"/>
      <protection locked="0"/>
    </xf>
    <xf numFmtId="0" fontId="41" fillId="0" borderId="9" xfId="2" applyFont="1" applyBorder="1" applyAlignment="1" applyProtection="1">
      <alignment horizontal="center" vertical="center" wrapText="1"/>
      <protection locked="0"/>
    </xf>
    <xf numFmtId="14" fontId="42" fillId="0" borderId="1" xfId="2" applyNumberFormat="1" applyFont="1" applyBorder="1" applyAlignment="1" applyProtection="1">
      <alignment horizontal="center" vertical="center"/>
      <protection locked="0"/>
    </xf>
    <xf numFmtId="14" fontId="42" fillId="0" borderId="13" xfId="2" applyNumberFormat="1" applyFont="1" applyBorder="1" applyAlignment="1" applyProtection="1">
      <alignment horizontal="center" vertical="center"/>
      <protection locked="0"/>
    </xf>
    <xf numFmtId="14" fontId="42" fillId="0" borderId="0" xfId="2" applyNumberFormat="1" applyFont="1" applyBorder="1" applyAlignment="1" applyProtection="1">
      <alignment horizontal="center" vertical="center"/>
      <protection locked="0"/>
    </xf>
    <xf numFmtId="14" fontId="42" fillId="0" borderId="15" xfId="2" applyNumberFormat="1" applyFont="1" applyBorder="1" applyAlignment="1" applyProtection="1">
      <alignment horizontal="center" vertical="center"/>
      <protection locked="0"/>
    </xf>
    <xf numFmtId="0" fontId="37" fillId="0" borderId="1" xfId="2" applyNumberFormat="1" applyFont="1" applyBorder="1" applyAlignment="1" applyProtection="1">
      <alignment horizontal="center" vertical="center"/>
      <protection locked="0"/>
    </xf>
    <xf numFmtId="0" fontId="37" fillId="0" borderId="13" xfId="2" applyNumberFormat="1" applyFont="1" applyBorder="1" applyAlignment="1" applyProtection="1">
      <alignment horizontal="center" vertical="center"/>
      <protection locked="0"/>
    </xf>
    <xf numFmtId="0" fontId="37" fillId="0" borderId="7" xfId="2" applyNumberFormat="1" applyFont="1" applyBorder="1" applyAlignment="1" applyProtection="1">
      <alignment horizontal="center" vertical="center"/>
      <protection locked="0"/>
    </xf>
    <xf numFmtId="0" fontId="37" fillId="0" borderId="9" xfId="2" applyNumberFormat="1" applyFont="1" applyBorder="1" applyAlignment="1" applyProtection="1">
      <alignment horizontal="center" vertical="center"/>
      <protection locked="0"/>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5</xdr:col>
      <xdr:colOff>76199</xdr:colOff>
      <xdr:row>3</xdr:row>
      <xdr:rowOff>104776</xdr:rowOff>
    </xdr:from>
    <xdr:to>
      <xdr:col>11</xdr:col>
      <xdr:colOff>85724</xdr:colOff>
      <xdr:row>12</xdr:row>
      <xdr:rowOff>73042</xdr:rowOff>
    </xdr:to>
    <xdr:pic>
      <xdr:nvPicPr>
        <xdr:cNvPr id="6" name="Picture 5" descr="USDA LOGO.jpg"/>
        <xdr:cNvPicPr>
          <a:picLocks noChangeAspect="1"/>
        </xdr:cNvPicPr>
      </xdr:nvPicPr>
      <xdr:blipFill>
        <a:blip xmlns:r="http://schemas.openxmlformats.org/officeDocument/2006/relationships" r:embed="rId1" cstate="print"/>
        <a:stretch>
          <a:fillRect/>
        </a:stretch>
      </xdr:blipFill>
      <xdr:spPr>
        <a:xfrm>
          <a:off x="1876424" y="466726"/>
          <a:ext cx="2162175" cy="15113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200025</xdr:colOff>
      <xdr:row>161</xdr:row>
      <xdr:rowOff>257175</xdr:rowOff>
    </xdr:from>
    <xdr:to>
      <xdr:col>11</xdr:col>
      <xdr:colOff>241906</xdr:colOff>
      <xdr:row>167</xdr:row>
      <xdr:rowOff>120666</xdr:rowOff>
    </xdr:to>
    <xdr:pic>
      <xdr:nvPicPr>
        <xdr:cNvPr id="2" name="Picture 1" descr="USDA LOGO.jpg"/>
        <xdr:cNvPicPr>
          <a:picLocks noChangeAspect="1"/>
        </xdr:cNvPicPr>
      </xdr:nvPicPr>
      <xdr:blipFill>
        <a:blip xmlns:r="http://schemas.openxmlformats.org/officeDocument/2006/relationships" r:embed="rId1" cstate="print"/>
        <a:stretch>
          <a:fillRect/>
        </a:stretch>
      </xdr:blipFill>
      <xdr:spPr>
        <a:xfrm>
          <a:off x="2790825" y="22345650"/>
          <a:ext cx="4575781" cy="9302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22</xdr:col>
      <xdr:colOff>685800</xdr:colOff>
      <xdr:row>4</xdr:row>
      <xdr:rowOff>123825</xdr:rowOff>
    </xdr:to>
    <xdr:pic>
      <xdr:nvPicPr>
        <xdr:cNvPr id="3111" name="Picture 17" descr="USDA stamp"/>
        <xdr:cNvPicPr>
          <a:picLocks noChangeAspect="1" noChangeArrowheads="1"/>
        </xdr:cNvPicPr>
      </xdr:nvPicPr>
      <xdr:blipFill>
        <a:blip xmlns:r="http://schemas.openxmlformats.org/officeDocument/2006/relationships" r:embed="rId1" cstate="print"/>
        <a:srcRect/>
        <a:stretch>
          <a:fillRect/>
        </a:stretch>
      </xdr:blipFill>
      <xdr:spPr bwMode="auto">
        <a:xfrm>
          <a:off x="7762875" y="0"/>
          <a:ext cx="933450" cy="762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3"/>
  </sheetPr>
  <dimension ref="A1:AF121"/>
  <sheetViews>
    <sheetView tabSelected="1" view="pageLayout" zoomScaleNormal="100" zoomScaleSheetLayoutView="100" workbookViewId="0">
      <selection activeCell="D20" sqref="A20:Q20"/>
    </sheetView>
  </sheetViews>
  <sheetFormatPr defaultRowHeight="13.2" x14ac:dyDescent="0.25"/>
  <cols>
    <col min="1" max="1" width="5.44140625" style="27" customWidth="1"/>
    <col min="2" max="2" width="6.88671875" style="27" customWidth="1"/>
    <col min="3" max="3" width="3.6640625" style="27" customWidth="1"/>
    <col min="4" max="4" width="4.33203125" style="27" customWidth="1"/>
    <col min="5" max="6" width="5.44140625" style="27" customWidth="1"/>
    <col min="7" max="7" width="6.88671875" style="27" customWidth="1"/>
    <col min="8" max="8" width="3.33203125" style="27" customWidth="1"/>
    <col min="9" max="9" width="5.109375" style="27" customWidth="1"/>
    <col min="10" max="10" width="6.88671875" style="27" customWidth="1"/>
    <col min="11" max="11" width="3.33203125" style="27" customWidth="1"/>
    <col min="12" max="13" width="6.88671875" style="27" customWidth="1"/>
    <col min="14" max="14" width="3.5546875" style="27" customWidth="1"/>
    <col min="15" max="16" width="3.33203125" style="27" customWidth="1"/>
    <col min="17" max="17" width="4" style="27" customWidth="1"/>
  </cols>
  <sheetData>
    <row r="1" spans="1:23" ht="16.5" customHeight="1" x14ac:dyDescent="0.3">
      <c r="A1" s="185" t="s">
        <v>34</v>
      </c>
      <c r="B1" s="185"/>
      <c r="C1" s="185"/>
      <c r="D1" s="185"/>
      <c r="E1" s="185"/>
      <c r="F1" s="185"/>
      <c r="G1" s="185"/>
      <c r="H1" s="185"/>
      <c r="I1" s="185"/>
      <c r="J1" s="185"/>
      <c r="K1" s="185"/>
      <c r="L1" s="185"/>
      <c r="M1" s="185"/>
      <c r="N1" s="185"/>
      <c r="O1" s="185"/>
      <c r="P1" s="185"/>
      <c r="Q1" s="185"/>
      <c r="R1" s="7"/>
      <c r="S1" s="7"/>
      <c r="T1" s="7"/>
      <c r="U1" s="7"/>
      <c r="V1" s="7"/>
      <c r="W1" s="7"/>
    </row>
    <row r="2" spans="1:23" ht="16.5" customHeight="1" x14ac:dyDescent="0.3">
      <c r="A2" s="185" t="s">
        <v>35</v>
      </c>
      <c r="B2" s="185"/>
      <c r="C2" s="185"/>
      <c r="D2" s="185"/>
      <c r="E2" s="185"/>
      <c r="F2" s="185"/>
      <c r="G2" s="185"/>
      <c r="H2" s="185"/>
      <c r="I2" s="185"/>
      <c r="J2" s="185"/>
      <c r="K2" s="185"/>
      <c r="L2" s="185"/>
      <c r="M2" s="185"/>
      <c r="N2" s="185"/>
      <c r="O2" s="185"/>
      <c r="P2" s="185"/>
      <c r="Q2" s="185"/>
      <c r="R2" s="7"/>
      <c r="S2" s="7"/>
      <c r="T2" s="7"/>
      <c r="U2" s="7"/>
      <c r="V2" s="7"/>
      <c r="W2" s="7"/>
    </row>
    <row r="3" spans="1:23" s="70" customFormat="1" ht="16.5" customHeight="1" x14ac:dyDescent="0.3">
      <c r="A3" s="185" t="s">
        <v>358</v>
      </c>
      <c r="B3" s="185"/>
      <c r="C3" s="185"/>
      <c r="D3" s="185"/>
      <c r="E3" s="185"/>
      <c r="F3" s="185"/>
      <c r="G3" s="185"/>
      <c r="H3" s="185"/>
      <c r="I3" s="185"/>
      <c r="J3" s="185"/>
      <c r="K3" s="185"/>
      <c r="L3" s="185"/>
      <c r="M3" s="185"/>
      <c r="N3" s="185"/>
      <c r="O3" s="185"/>
      <c r="P3" s="185"/>
      <c r="Q3" s="185"/>
      <c r="R3" s="71"/>
      <c r="S3" s="71"/>
      <c r="T3" s="71"/>
      <c r="U3" s="71"/>
      <c r="V3" s="71"/>
      <c r="W3" s="71"/>
    </row>
    <row r="4" spans="1:23" x14ac:dyDescent="0.25">
      <c r="A4" s="186"/>
      <c r="B4" s="153"/>
      <c r="C4" s="153"/>
      <c r="D4" s="153"/>
      <c r="E4" s="153"/>
      <c r="F4" s="153"/>
      <c r="G4" s="153"/>
      <c r="H4" s="153"/>
      <c r="I4" s="153"/>
      <c r="J4" s="153"/>
      <c r="K4" s="153"/>
      <c r="L4" s="153"/>
      <c r="M4" s="153"/>
      <c r="N4" s="153"/>
      <c r="O4" s="153"/>
      <c r="P4" s="153"/>
      <c r="Q4" s="153"/>
      <c r="R4" s="7"/>
      <c r="S4" s="7"/>
      <c r="T4" s="7"/>
      <c r="U4" s="7"/>
      <c r="V4" s="7"/>
      <c r="W4" s="7"/>
    </row>
    <row r="5" spans="1:23" x14ac:dyDescent="0.25">
      <c r="A5" s="153"/>
      <c r="B5" s="153"/>
      <c r="C5" s="153"/>
      <c r="D5" s="153"/>
      <c r="E5" s="153"/>
      <c r="F5" s="153"/>
      <c r="G5" s="153"/>
      <c r="H5" s="153"/>
      <c r="I5" s="153"/>
      <c r="J5" s="153"/>
      <c r="K5" s="153"/>
      <c r="L5" s="153"/>
      <c r="M5" s="153"/>
      <c r="N5" s="153"/>
      <c r="O5" s="153"/>
      <c r="P5" s="153"/>
      <c r="Q5" s="153"/>
      <c r="R5" s="7"/>
      <c r="S5" s="7"/>
      <c r="T5" s="7"/>
      <c r="U5" s="7"/>
      <c r="V5" s="7"/>
      <c r="W5" s="7"/>
    </row>
    <row r="6" spans="1:23" x14ac:dyDescent="0.25">
      <c r="A6" s="153"/>
      <c r="B6" s="153"/>
      <c r="C6" s="153"/>
      <c r="D6" s="153"/>
      <c r="E6" s="153"/>
      <c r="F6" s="153"/>
      <c r="G6" s="153"/>
      <c r="H6" s="153"/>
      <c r="I6" s="153"/>
      <c r="J6" s="153"/>
      <c r="K6" s="153"/>
      <c r="L6" s="153"/>
      <c r="M6" s="153"/>
      <c r="N6" s="153"/>
      <c r="O6" s="153"/>
      <c r="P6" s="153"/>
      <c r="Q6" s="153"/>
      <c r="R6" s="7"/>
      <c r="S6" s="7"/>
      <c r="T6" s="7"/>
      <c r="U6" s="7"/>
      <c r="V6" s="7"/>
      <c r="W6" s="7"/>
    </row>
    <row r="7" spans="1:23" x14ac:dyDescent="0.25">
      <c r="A7" s="153"/>
      <c r="B7" s="153"/>
      <c r="C7" s="153"/>
      <c r="D7" s="153"/>
      <c r="E7" s="153"/>
      <c r="F7" s="153"/>
      <c r="G7" s="153"/>
      <c r="H7" s="153"/>
      <c r="I7" s="153"/>
      <c r="J7" s="153"/>
      <c r="K7" s="153"/>
      <c r="L7" s="153"/>
      <c r="M7" s="153"/>
      <c r="N7" s="153"/>
      <c r="O7" s="153"/>
      <c r="P7" s="153"/>
      <c r="Q7" s="153"/>
      <c r="R7" s="7"/>
      <c r="S7" s="7"/>
      <c r="T7" s="7"/>
      <c r="U7" s="7"/>
      <c r="V7" s="7"/>
      <c r="W7" s="7"/>
    </row>
    <row r="8" spans="1:23" x14ac:dyDescent="0.25">
      <c r="A8" s="153"/>
      <c r="B8" s="153"/>
      <c r="C8" s="153"/>
      <c r="D8" s="153"/>
      <c r="E8" s="153"/>
      <c r="F8" s="153"/>
      <c r="G8" s="153"/>
      <c r="H8" s="153"/>
      <c r="I8" s="153"/>
      <c r="J8" s="153"/>
      <c r="K8" s="153"/>
      <c r="L8" s="153"/>
      <c r="M8" s="153"/>
      <c r="N8" s="153"/>
      <c r="O8" s="153"/>
      <c r="P8" s="153"/>
      <c r="Q8" s="153"/>
      <c r="R8" s="7"/>
      <c r="S8" s="7"/>
      <c r="T8" s="7"/>
      <c r="U8" s="7"/>
      <c r="V8" s="7"/>
      <c r="W8" s="7"/>
    </row>
    <row r="9" spans="1:23" x14ac:dyDescent="0.25">
      <c r="A9" s="153"/>
      <c r="B9" s="153"/>
      <c r="C9" s="153"/>
      <c r="D9" s="153"/>
      <c r="E9" s="153"/>
      <c r="F9" s="153"/>
      <c r="G9" s="153"/>
      <c r="H9" s="153"/>
      <c r="I9" s="153"/>
      <c r="J9" s="153"/>
      <c r="K9" s="153"/>
      <c r="L9" s="153"/>
      <c r="M9" s="153"/>
      <c r="N9" s="153"/>
      <c r="O9" s="153"/>
      <c r="P9" s="153"/>
      <c r="Q9" s="153"/>
      <c r="R9" s="7"/>
      <c r="S9" s="7"/>
      <c r="T9" s="7"/>
      <c r="U9" s="7"/>
      <c r="V9" s="7"/>
      <c r="W9" s="7"/>
    </row>
    <row r="10" spans="1:23" x14ac:dyDescent="0.25">
      <c r="A10" s="153"/>
      <c r="B10" s="153"/>
      <c r="C10" s="153"/>
      <c r="D10" s="153"/>
      <c r="E10" s="153"/>
      <c r="F10" s="153"/>
      <c r="G10" s="153"/>
      <c r="H10" s="153"/>
      <c r="I10" s="153"/>
      <c r="J10" s="153"/>
      <c r="K10" s="153"/>
      <c r="L10" s="153"/>
      <c r="M10" s="153"/>
      <c r="N10" s="153"/>
      <c r="O10" s="153"/>
      <c r="P10" s="153"/>
      <c r="Q10" s="153"/>
      <c r="R10" s="7"/>
      <c r="S10" s="7"/>
      <c r="T10" s="7"/>
      <c r="U10" s="7"/>
      <c r="V10" s="7"/>
      <c r="W10" s="7"/>
    </row>
    <row r="11" spans="1:23" x14ac:dyDescent="0.25">
      <c r="A11" s="153"/>
      <c r="B11" s="153"/>
      <c r="C11" s="153"/>
      <c r="D11" s="153"/>
      <c r="E11" s="153"/>
      <c r="F11" s="153"/>
      <c r="G11" s="153"/>
      <c r="H11" s="153"/>
      <c r="I11" s="153"/>
      <c r="J11" s="153"/>
      <c r="K11" s="153"/>
      <c r="L11" s="153"/>
      <c r="M11" s="153"/>
      <c r="N11" s="153"/>
      <c r="O11" s="153"/>
      <c r="P11" s="153"/>
      <c r="Q11" s="153"/>
      <c r="R11" s="7"/>
      <c r="S11" s="7"/>
      <c r="T11" s="7"/>
      <c r="U11" s="7"/>
      <c r="V11" s="7"/>
      <c r="W11" s="7"/>
    </row>
    <row r="12" spans="1:23" ht="19.5" customHeight="1" x14ac:dyDescent="0.25">
      <c r="A12" s="153"/>
      <c r="B12" s="153"/>
      <c r="C12" s="153"/>
      <c r="D12" s="153"/>
      <c r="E12" s="153"/>
      <c r="F12" s="153"/>
      <c r="G12" s="153"/>
      <c r="H12" s="153"/>
      <c r="I12" s="153"/>
      <c r="J12" s="153"/>
      <c r="K12" s="153"/>
      <c r="L12" s="153"/>
      <c r="M12" s="153"/>
      <c r="N12" s="153"/>
      <c r="O12" s="153"/>
      <c r="P12" s="153"/>
      <c r="Q12" s="153"/>
      <c r="R12" s="7"/>
      <c r="S12" s="7"/>
      <c r="T12" s="7"/>
      <c r="U12" s="7"/>
      <c r="V12" s="7"/>
      <c r="W12" s="7"/>
    </row>
    <row r="13" spans="1:23" ht="7.5" customHeight="1" x14ac:dyDescent="0.25">
      <c r="A13" s="187"/>
      <c r="B13" s="187"/>
      <c r="C13" s="187"/>
      <c r="D13" s="187"/>
      <c r="E13" s="187"/>
      <c r="F13" s="187"/>
      <c r="G13" s="187"/>
      <c r="H13" s="187"/>
      <c r="I13" s="187"/>
      <c r="J13" s="187"/>
      <c r="K13" s="187"/>
      <c r="L13" s="187"/>
      <c r="M13" s="187"/>
      <c r="N13" s="187"/>
      <c r="O13" s="187"/>
      <c r="P13" s="187"/>
      <c r="Q13" s="187"/>
      <c r="R13" s="7"/>
      <c r="S13" s="7"/>
      <c r="T13" s="7"/>
      <c r="U13" s="7"/>
      <c r="V13" s="7"/>
      <c r="W13" s="7"/>
    </row>
    <row r="14" spans="1:23" ht="15" customHeight="1" x14ac:dyDescent="0.25">
      <c r="A14" s="188" t="s">
        <v>264</v>
      </c>
      <c r="B14" s="189"/>
      <c r="C14" s="189"/>
      <c r="D14" s="189"/>
      <c r="E14" s="189"/>
      <c r="F14" s="189"/>
      <c r="G14" s="189"/>
      <c r="H14" s="189"/>
      <c r="I14" s="189"/>
      <c r="J14" s="189"/>
      <c r="K14" s="189"/>
      <c r="L14" s="189"/>
      <c r="M14" s="189"/>
      <c r="N14" s="189"/>
      <c r="O14" s="189"/>
      <c r="P14" s="189"/>
      <c r="Q14" s="190"/>
      <c r="R14" s="7"/>
      <c r="S14" s="7"/>
      <c r="T14" s="18"/>
      <c r="U14" s="7"/>
      <c r="V14" s="7"/>
      <c r="W14" s="7"/>
    </row>
    <row r="15" spans="1:23" ht="13.5" customHeight="1" x14ac:dyDescent="0.25">
      <c r="A15" s="191"/>
      <c r="B15" s="192"/>
      <c r="C15" s="192"/>
      <c r="D15" s="192"/>
      <c r="E15" s="192"/>
      <c r="F15" s="192"/>
      <c r="G15" s="192"/>
      <c r="H15" s="192"/>
      <c r="I15" s="192"/>
      <c r="J15" s="192"/>
      <c r="K15" s="192"/>
      <c r="L15" s="192"/>
      <c r="M15" s="192"/>
      <c r="N15" s="192"/>
      <c r="O15" s="192"/>
      <c r="P15" s="192"/>
      <c r="Q15" s="193"/>
      <c r="R15" s="7"/>
      <c r="S15" s="7"/>
      <c r="T15" s="7"/>
      <c r="U15" s="7"/>
      <c r="V15" s="7"/>
      <c r="W15" s="7"/>
    </row>
    <row r="16" spans="1:23" ht="14.25" customHeight="1" x14ac:dyDescent="0.25">
      <c r="A16" s="191"/>
      <c r="B16" s="192"/>
      <c r="C16" s="192"/>
      <c r="D16" s="192"/>
      <c r="E16" s="192"/>
      <c r="F16" s="192"/>
      <c r="G16" s="192"/>
      <c r="H16" s="192"/>
      <c r="I16" s="192"/>
      <c r="J16" s="192"/>
      <c r="K16" s="192"/>
      <c r="L16" s="192"/>
      <c r="M16" s="192"/>
      <c r="N16" s="192"/>
      <c r="O16" s="192"/>
      <c r="P16" s="192"/>
      <c r="Q16" s="193"/>
      <c r="R16" s="7"/>
      <c r="S16" s="7"/>
      <c r="T16" s="7"/>
      <c r="U16" s="7"/>
      <c r="V16" s="7"/>
      <c r="W16" s="7"/>
    </row>
    <row r="17" spans="1:32" ht="35.25" customHeight="1" x14ac:dyDescent="0.25">
      <c r="A17" s="194"/>
      <c r="B17" s="195"/>
      <c r="C17" s="195"/>
      <c r="D17" s="195"/>
      <c r="E17" s="195"/>
      <c r="F17" s="195"/>
      <c r="G17" s="195"/>
      <c r="H17" s="195"/>
      <c r="I17" s="195"/>
      <c r="J17" s="195"/>
      <c r="K17" s="195"/>
      <c r="L17" s="195"/>
      <c r="M17" s="195"/>
      <c r="N17" s="195"/>
      <c r="O17" s="195"/>
      <c r="P17" s="195"/>
      <c r="Q17" s="196"/>
      <c r="R17" s="7"/>
      <c r="S17" s="7"/>
      <c r="T17" s="7"/>
      <c r="U17" s="7"/>
      <c r="V17" s="7"/>
      <c r="W17" s="7"/>
    </row>
    <row r="18" spans="1:32" ht="25.5" customHeight="1" x14ac:dyDescent="0.25">
      <c r="A18" s="179" t="s">
        <v>11</v>
      </c>
      <c r="B18" s="198"/>
      <c r="C18" s="198"/>
      <c r="D18" s="182"/>
      <c r="E18" s="197"/>
      <c r="F18" s="197"/>
      <c r="G18" s="197"/>
      <c r="H18" s="197"/>
      <c r="I18" s="197"/>
      <c r="J18" s="197"/>
      <c r="K18" s="197"/>
      <c r="L18" s="197"/>
      <c r="M18" s="197"/>
      <c r="N18" s="197"/>
      <c r="O18" s="197"/>
      <c r="P18" s="197"/>
      <c r="Q18" s="197"/>
      <c r="R18" s="7"/>
      <c r="S18" s="7"/>
      <c r="T18" s="7"/>
      <c r="U18" s="7"/>
      <c r="V18" s="7"/>
      <c r="W18" s="7"/>
    </row>
    <row r="19" spans="1:32" ht="25.5" customHeight="1" x14ac:dyDescent="0.25">
      <c r="A19" s="144" t="s">
        <v>12</v>
      </c>
      <c r="B19" s="143"/>
      <c r="C19" s="143"/>
      <c r="D19" s="143"/>
      <c r="E19" s="182"/>
      <c r="F19" s="197"/>
      <c r="G19" s="197"/>
      <c r="H19" s="197"/>
      <c r="I19" s="197"/>
      <c r="J19" s="197"/>
      <c r="K19" s="197"/>
      <c r="L19" s="197"/>
      <c r="M19" s="197"/>
      <c r="N19" s="197"/>
      <c r="O19" s="197"/>
      <c r="P19" s="197"/>
      <c r="Q19" s="197"/>
      <c r="R19" s="7"/>
      <c r="S19" s="7"/>
      <c r="T19" s="7"/>
      <c r="U19" s="7"/>
      <c r="V19" s="7"/>
      <c r="W19" s="7"/>
    </row>
    <row r="20" spans="1:32" ht="25.5" customHeight="1" x14ac:dyDescent="0.25">
      <c r="A20" s="144" t="s">
        <v>13</v>
      </c>
      <c r="B20" s="144"/>
      <c r="C20" s="144"/>
      <c r="D20" s="182"/>
      <c r="E20" s="165"/>
      <c r="F20" s="165"/>
      <c r="G20" s="165"/>
      <c r="H20" s="165"/>
      <c r="I20" s="165"/>
      <c r="J20" s="165"/>
      <c r="K20" s="165"/>
      <c r="L20" s="165"/>
      <c r="M20" s="165"/>
      <c r="N20" s="165"/>
      <c r="O20" s="165"/>
      <c r="P20" s="165"/>
      <c r="Q20" s="165"/>
      <c r="R20" s="7"/>
      <c r="S20" s="7"/>
      <c r="T20" s="18"/>
      <c r="U20" s="7"/>
      <c r="V20" s="7"/>
      <c r="W20" s="7"/>
    </row>
    <row r="21" spans="1:32" ht="25.5" customHeight="1" x14ac:dyDescent="0.25">
      <c r="A21" s="144" t="s">
        <v>14</v>
      </c>
      <c r="B21" s="144"/>
      <c r="C21" s="144"/>
      <c r="D21" s="182"/>
      <c r="E21" s="165"/>
      <c r="F21" s="165"/>
      <c r="G21" s="165"/>
      <c r="H21" s="165"/>
      <c r="I21" s="165"/>
      <c r="J21" s="165"/>
      <c r="K21" s="165"/>
      <c r="L21" s="165"/>
      <c r="M21" s="165"/>
      <c r="N21" s="165"/>
      <c r="O21" s="165"/>
      <c r="P21" s="165"/>
      <c r="Q21" s="165"/>
      <c r="R21" s="7"/>
      <c r="S21" s="7"/>
      <c r="T21" s="7"/>
      <c r="U21" s="7"/>
      <c r="V21" s="7"/>
      <c r="W21" s="7"/>
    </row>
    <row r="22" spans="1:32" ht="25.5" customHeight="1" x14ac:dyDescent="0.25">
      <c r="A22" s="17" t="s">
        <v>196</v>
      </c>
      <c r="B22" s="177"/>
      <c r="C22" s="178"/>
      <c r="D22" s="178"/>
      <c r="E22" s="178"/>
      <c r="F22" s="178"/>
      <c r="G22" s="24" t="s">
        <v>15</v>
      </c>
      <c r="H22" s="176"/>
      <c r="I22" s="165"/>
      <c r="J22" s="165"/>
      <c r="K22" s="165"/>
      <c r="L22" s="24" t="s">
        <v>16</v>
      </c>
      <c r="M22" s="176"/>
      <c r="N22" s="205"/>
      <c r="O22" s="205"/>
      <c r="P22" s="205"/>
      <c r="Q22" s="205"/>
      <c r="R22" s="7"/>
      <c r="S22" s="7"/>
      <c r="T22" s="7"/>
      <c r="U22" s="7"/>
      <c r="V22" s="7"/>
      <c r="W22" s="7"/>
    </row>
    <row r="23" spans="1:32" ht="25.5" customHeight="1" x14ac:dyDescent="0.25">
      <c r="A23" s="172" t="s">
        <v>17</v>
      </c>
      <c r="B23" s="172"/>
      <c r="C23" s="172"/>
      <c r="D23" s="200"/>
      <c r="E23" s="201"/>
      <c r="F23" s="201"/>
      <c r="G23" s="202"/>
      <c r="H23" s="202"/>
      <c r="I23" s="24" t="s">
        <v>18</v>
      </c>
      <c r="J23" s="200"/>
      <c r="K23" s="202"/>
      <c r="L23" s="202"/>
      <c r="M23" s="202"/>
      <c r="N23" s="202"/>
      <c r="O23" s="202"/>
      <c r="P23" s="202"/>
      <c r="Q23" s="202"/>
      <c r="R23" s="7"/>
      <c r="S23" s="7"/>
      <c r="T23" s="7"/>
      <c r="U23" s="7"/>
      <c r="V23" s="7"/>
      <c r="W23" s="7"/>
    </row>
    <row r="24" spans="1:32" s="27" customFormat="1" ht="25.5" customHeight="1" x14ac:dyDescent="0.25">
      <c r="A24" s="160" t="s">
        <v>19</v>
      </c>
      <c r="B24" s="199"/>
      <c r="C24" s="203"/>
      <c r="D24" s="204"/>
      <c r="E24" s="204"/>
      <c r="F24" s="204"/>
      <c r="G24" s="204"/>
      <c r="H24" s="204"/>
      <c r="I24" s="204"/>
      <c r="J24" s="204"/>
      <c r="K24" s="204"/>
      <c r="L24" s="204"/>
      <c r="M24" s="204"/>
      <c r="N24" s="204"/>
      <c r="O24" s="204"/>
      <c r="P24" s="204"/>
      <c r="Q24" s="204"/>
      <c r="R24" s="26"/>
      <c r="S24" s="26"/>
      <c r="T24" s="26"/>
      <c r="U24" s="26"/>
      <c r="V24" s="26"/>
      <c r="W24" s="26"/>
    </row>
    <row r="25" spans="1:32" ht="25.5" customHeight="1" x14ac:dyDescent="0.25">
      <c r="A25" s="172" t="s">
        <v>343</v>
      </c>
      <c r="B25" s="172"/>
      <c r="C25" s="172"/>
      <c r="D25" s="172"/>
      <c r="E25" s="172"/>
      <c r="F25" s="172"/>
      <c r="G25" s="172"/>
      <c r="H25" s="172"/>
      <c r="I25" s="172"/>
      <c r="J25" s="145"/>
      <c r="K25" s="163"/>
      <c r="L25" s="163"/>
      <c r="M25" s="163"/>
      <c r="N25" s="163"/>
      <c r="O25" s="163"/>
      <c r="P25" s="163"/>
      <c r="Q25" s="163"/>
      <c r="R25" s="7"/>
      <c r="S25" s="7"/>
      <c r="T25" s="7"/>
      <c r="U25" s="7"/>
      <c r="V25" s="7"/>
      <c r="W25" s="7"/>
      <c r="Z25" s="2"/>
    </row>
    <row r="26" spans="1:32" ht="25.5" customHeight="1" x14ac:dyDescent="0.25">
      <c r="A26" s="146"/>
      <c r="B26" s="163"/>
      <c r="C26" s="163"/>
      <c r="D26" s="163"/>
      <c r="E26" s="163"/>
      <c r="F26" s="163"/>
      <c r="G26" s="163"/>
      <c r="H26" s="163"/>
      <c r="I26" s="163"/>
      <c r="J26" s="163"/>
      <c r="K26" s="163"/>
      <c r="L26" s="163"/>
      <c r="M26" s="163"/>
      <c r="N26" s="163"/>
      <c r="O26" s="163"/>
      <c r="P26" s="163"/>
      <c r="Q26" s="163"/>
      <c r="R26" s="7"/>
      <c r="S26" s="7"/>
      <c r="T26" s="7"/>
      <c r="U26" s="7"/>
      <c r="V26" s="7"/>
      <c r="W26" s="7"/>
    </row>
    <row r="27" spans="1:32" s="29" customFormat="1" ht="25.5" customHeight="1" x14ac:dyDescent="0.3">
      <c r="A27" s="179" t="s">
        <v>20</v>
      </c>
      <c r="B27" s="180"/>
      <c r="C27" s="180"/>
      <c r="D27" s="180"/>
      <c r="E27" s="180"/>
      <c r="F27" s="180"/>
      <c r="G27" s="180"/>
      <c r="H27" s="180"/>
      <c r="I27" s="180"/>
      <c r="J27" s="182"/>
      <c r="K27" s="182"/>
      <c r="L27" s="182"/>
      <c r="M27" s="182"/>
      <c r="N27" s="182"/>
      <c r="O27" s="182"/>
      <c r="P27" s="182"/>
      <c r="Q27" s="182"/>
      <c r="R27" s="28"/>
      <c r="S27" s="28"/>
      <c r="T27" s="28"/>
      <c r="U27" s="28"/>
      <c r="V27" s="35"/>
      <c r="W27" s="35"/>
      <c r="X27" s="3"/>
    </row>
    <row r="28" spans="1:32" ht="25.5" customHeight="1" x14ac:dyDescent="0.3">
      <c r="A28" s="160" t="s">
        <v>198</v>
      </c>
      <c r="B28" s="160"/>
      <c r="C28" s="160"/>
      <c r="D28" s="160"/>
      <c r="E28" s="183"/>
      <c r="F28" s="183"/>
      <c r="G28" s="183"/>
      <c r="H28" s="184" t="s">
        <v>197</v>
      </c>
      <c r="I28" s="184"/>
      <c r="J28" s="159"/>
      <c r="K28" s="159"/>
      <c r="L28" s="159"/>
      <c r="M28" s="158"/>
      <c r="N28" s="158"/>
      <c r="O28" s="158"/>
      <c r="P28" s="158"/>
      <c r="Q28" s="158"/>
      <c r="R28" s="7"/>
      <c r="S28" s="7"/>
      <c r="T28" s="7"/>
      <c r="U28" s="7"/>
      <c r="V28" s="7"/>
      <c r="W28" s="7"/>
      <c r="Y28" s="1"/>
      <c r="Z28" s="1"/>
      <c r="AA28" s="1"/>
      <c r="AB28" s="1"/>
      <c r="AC28" s="1"/>
      <c r="AD28" s="1"/>
    </row>
    <row r="29" spans="1:32" ht="25.5" customHeight="1" x14ac:dyDescent="0.25">
      <c r="A29" s="56" t="s">
        <v>199</v>
      </c>
      <c r="B29" s="56"/>
      <c r="C29" s="56"/>
      <c r="D29" s="64"/>
      <c r="E29" s="149"/>
      <c r="F29" s="149"/>
      <c r="G29" s="149"/>
      <c r="H29" s="158" t="s">
        <v>197</v>
      </c>
      <c r="I29" s="158"/>
      <c r="J29" s="159"/>
      <c r="K29" s="159"/>
      <c r="L29" s="159"/>
      <c r="M29" s="158"/>
      <c r="N29" s="158"/>
      <c r="O29" s="158"/>
      <c r="P29" s="158"/>
      <c r="Q29" s="158"/>
      <c r="R29" s="7"/>
      <c r="S29" s="7"/>
      <c r="T29" s="174"/>
      <c r="U29" s="153"/>
      <c r="V29" s="153"/>
      <c r="W29" s="153"/>
      <c r="X29" s="175"/>
      <c r="Y29" s="153"/>
      <c r="Z29" s="153"/>
      <c r="AA29" s="153"/>
      <c r="AB29" s="153"/>
      <c r="AC29" s="153"/>
      <c r="AD29" s="153"/>
      <c r="AE29" s="153"/>
      <c r="AF29" s="153"/>
    </row>
    <row r="30" spans="1:32" s="55" customFormat="1" ht="25.5" customHeight="1" x14ac:dyDescent="0.25">
      <c r="A30" s="160" t="s">
        <v>266</v>
      </c>
      <c r="B30" s="160"/>
      <c r="C30" s="160"/>
      <c r="D30" s="160"/>
      <c r="E30" s="149"/>
      <c r="F30" s="161"/>
      <c r="G30" s="161"/>
      <c r="H30" s="158" t="s">
        <v>267</v>
      </c>
      <c r="I30" s="158"/>
      <c r="J30" s="162"/>
      <c r="K30" s="162"/>
      <c r="L30" s="162"/>
      <c r="M30" s="162"/>
      <c r="N30" s="162"/>
      <c r="O30" s="162"/>
      <c r="P30" s="162"/>
      <c r="Q30" s="162"/>
      <c r="R30" s="58"/>
      <c r="S30" s="58"/>
      <c r="T30" s="57"/>
      <c r="U30" s="58"/>
      <c r="V30" s="58"/>
      <c r="W30" s="58"/>
      <c r="X30" s="65"/>
    </row>
    <row r="31" spans="1:32" ht="25.5" customHeight="1" x14ac:dyDescent="0.25">
      <c r="A31" s="144" t="s">
        <v>363</v>
      </c>
      <c r="B31" s="143"/>
      <c r="C31" s="143"/>
      <c r="D31" s="143"/>
      <c r="E31" s="143"/>
      <c r="F31" s="143"/>
      <c r="G31" s="143"/>
      <c r="H31" s="143"/>
      <c r="I31" s="143"/>
      <c r="J31" s="143"/>
      <c r="K31" s="143"/>
      <c r="L31" s="143"/>
      <c r="M31" s="143"/>
      <c r="N31" s="143"/>
      <c r="O31" s="181"/>
      <c r="P31" s="181"/>
      <c r="Q31" s="181"/>
      <c r="R31" s="7"/>
      <c r="S31" s="7"/>
      <c r="T31" s="7"/>
      <c r="U31" s="7"/>
      <c r="V31" s="7"/>
      <c r="W31" s="7"/>
    </row>
    <row r="32" spans="1:32" s="70" customFormat="1" ht="25.5" customHeight="1" x14ac:dyDescent="0.25">
      <c r="A32" s="146"/>
      <c r="B32" s="163"/>
      <c r="C32" s="163"/>
      <c r="D32" s="163"/>
      <c r="E32" s="163"/>
      <c r="F32" s="163"/>
      <c r="G32" s="163"/>
      <c r="H32" s="163"/>
      <c r="I32" s="163"/>
      <c r="J32" s="163"/>
      <c r="K32" s="163"/>
      <c r="L32" s="163"/>
      <c r="M32" s="163"/>
      <c r="N32" s="163"/>
      <c r="O32" s="163"/>
      <c r="P32" s="163"/>
      <c r="Q32" s="163"/>
      <c r="R32" s="71"/>
      <c r="S32" s="71"/>
      <c r="T32" s="71"/>
      <c r="U32" s="71"/>
      <c r="V32" s="71"/>
      <c r="W32" s="71"/>
    </row>
    <row r="33" spans="1:23" s="70" customFormat="1" ht="25.5" customHeight="1" x14ac:dyDescent="0.25">
      <c r="A33" s="164"/>
      <c r="B33" s="165"/>
      <c r="C33" s="165"/>
      <c r="D33" s="165"/>
      <c r="E33" s="165"/>
      <c r="F33" s="165"/>
      <c r="G33" s="165"/>
      <c r="H33" s="165"/>
      <c r="I33" s="165"/>
      <c r="J33" s="165"/>
      <c r="K33" s="165"/>
      <c r="L33" s="165"/>
      <c r="M33" s="165"/>
      <c r="N33" s="165"/>
      <c r="O33" s="165"/>
      <c r="P33" s="165"/>
      <c r="Q33" s="165"/>
      <c r="R33" s="71"/>
      <c r="S33" s="71"/>
      <c r="T33" s="71"/>
      <c r="U33" s="71"/>
      <c r="V33" s="71"/>
      <c r="W33" s="71"/>
    </row>
    <row r="34" spans="1:23" ht="20.25" customHeight="1" x14ac:dyDescent="0.25">
      <c r="A34" s="172" t="s">
        <v>21</v>
      </c>
      <c r="B34" s="173"/>
      <c r="C34" s="173"/>
      <c r="D34" s="173"/>
      <c r="E34" s="173"/>
      <c r="F34" s="173"/>
      <c r="G34" s="173"/>
      <c r="H34" s="173"/>
      <c r="I34" s="173"/>
      <c r="J34" s="173"/>
      <c r="K34" s="173"/>
      <c r="L34" s="173"/>
      <c r="M34" s="173"/>
      <c r="N34" s="173"/>
      <c r="O34" s="173"/>
      <c r="P34" s="173"/>
      <c r="Q34" s="173"/>
      <c r="R34" s="7"/>
      <c r="S34" s="7"/>
      <c r="T34" s="7"/>
      <c r="U34" s="7"/>
      <c r="V34" s="7"/>
      <c r="W34" s="7"/>
    </row>
    <row r="35" spans="1:23" ht="5.25" customHeight="1" x14ac:dyDescent="0.3">
      <c r="A35" s="142"/>
      <c r="B35" s="143"/>
      <c r="C35" s="143"/>
      <c r="D35" s="143"/>
      <c r="E35" s="143"/>
      <c r="F35" s="143"/>
      <c r="G35" s="143"/>
      <c r="H35" s="143"/>
      <c r="I35" s="143"/>
      <c r="J35" s="143"/>
      <c r="K35" s="143"/>
      <c r="L35" s="143"/>
      <c r="M35" s="143"/>
      <c r="N35" s="143"/>
      <c r="O35" s="143"/>
      <c r="P35" s="143"/>
      <c r="Q35" s="143"/>
      <c r="R35" s="7"/>
      <c r="S35" s="7"/>
      <c r="T35" s="7"/>
      <c r="U35" s="7"/>
      <c r="V35" s="7"/>
      <c r="W35" s="7"/>
    </row>
    <row r="36" spans="1:23" ht="15" customHeight="1" x14ac:dyDescent="0.25">
      <c r="A36" s="152" t="s">
        <v>22</v>
      </c>
      <c r="B36" s="153"/>
      <c r="C36" s="153"/>
      <c r="D36" s="153"/>
      <c r="E36" s="153"/>
      <c r="F36" s="153"/>
      <c r="G36" s="154"/>
      <c r="H36" s="59"/>
      <c r="I36" s="155" t="s">
        <v>23</v>
      </c>
      <c r="J36" s="156"/>
      <c r="K36" s="19"/>
      <c r="L36" s="147"/>
      <c r="M36" s="148"/>
      <c r="N36" s="148"/>
      <c r="O36" s="148"/>
      <c r="P36" s="148"/>
      <c r="Q36" s="148"/>
      <c r="R36" s="7"/>
      <c r="S36" s="7"/>
      <c r="T36" s="7"/>
      <c r="U36" s="7"/>
      <c r="V36" s="7"/>
      <c r="W36" s="7"/>
    </row>
    <row r="37" spans="1:23" ht="6" customHeight="1" x14ac:dyDescent="0.25">
      <c r="A37" s="157"/>
      <c r="B37" s="157"/>
      <c r="C37" s="157"/>
      <c r="D37" s="157"/>
      <c r="E37" s="157"/>
      <c r="F37" s="157"/>
      <c r="G37" s="157"/>
      <c r="H37" s="157"/>
      <c r="I37" s="157"/>
      <c r="J37" s="157"/>
      <c r="K37" s="157"/>
      <c r="L37" s="157"/>
      <c r="M37" s="157"/>
      <c r="N37" s="157"/>
      <c r="O37" s="157"/>
      <c r="P37" s="157"/>
      <c r="Q37" s="157"/>
      <c r="R37" s="7"/>
      <c r="S37" s="7"/>
      <c r="T37" s="7"/>
      <c r="U37" s="7"/>
      <c r="V37" s="7"/>
      <c r="W37" s="7"/>
    </row>
    <row r="38" spans="1:23" ht="15.6" x14ac:dyDescent="0.3">
      <c r="A38" s="142" t="s">
        <v>24</v>
      </c>
      <c r="B38" s="143"/>
      <c r="C38" s="143"/>
      <c r="D38" s="143"/>
      <c r="E38" s="143"/>
      <c r="F38" s="143"/>
      <c r="G38" s="143"/>
      <c r="H38" s="143"/>
      <c r="I38" s="143"/>
      <c r="J38" s="143"/>
      <c r="K38" s="143"/>
      <c r="L38" s="143"/>
      <c r="M38" s="143"/>
      <c r="N38" s="143"/>
      <c r="O38" s="143"/>
      <c r="P38" s="143"/>
      <c r="Q38" s="143"/>
      <c r="R38" s="7"/>
      <c r="S38" s="7"/>
      <c r="T38" s="7"/>
      <c r="U38" s="7"/>
      <c r="V38" s="7"/>
      <c r="W38" s="7"/>
    </row>
    <row r="39" spans="1:23" ht="3.75" customHeight="1" x14ac:dyDescent="0.3">
      <c r="A39" s="142"/>
      <c r="B39" s="143"/>
      <c r="C39" s="143"/>
      <c r="D39" s="143"/>
      <c r="E39" s="143"/>
      <c r="F39" s="143"/>
      <c r="G39" s="143"/>
      <c r="H39" s="143"/>
      <c r="I39" s="143"/>
      <c r="J39" s="143"/>
      <c r="K39" s="143"/>
      <c r="L39" s="143"/>
      <c r="M39" s="143"/>
      <c r="N39" s="143"/>
      <c r="O39" s="143"/>
      <c r="P39" s="143"/>
      <c r="Q39" s="143"/>
      <c r="R39" s="7"/>
      <c r="S39" s="7"/>
      <c r="T39" s="7"/>
      <c r="U39" s="7"/>
      <c r="V39" s="7"/>
      <c r="W39" s="7"/>
    </row>
    <row r="40" spans="1:23" ht="15" x14ac:dyDescent="0.25">
      <c r="A40" s="152" t="s">
        <v>22</v>
      </c>
      <c r="B40" s="143"/>
      <c r="C40" s="143"/>
      <c r="D40" s="143"/>
      <c r="E40" s="143"/>
      <c r="F40" s="143"/>
      <c r="G40" s="156"/>
      <c r="H40" s="59"/>
      <c r="I40" s="155" t="s">
        <v>23</v>
      </c>
      <c r="J40" s="156"/>
      <c r="K40" s="19"/>
      <c r="L40" s="150" t="s">
        <v>51</v>
      </c>
      <c r="M40" s="151"/>
      <c r="N40" s="51"/>
      <c r="O40" s="169"/>
      <c r="P40" s="148"/>
      <c r="Q40" s="148"/>
      <c r="R40" s="7"/>
      <c r="S40" s="7"/>
      <c r="T40" s="7"/>
      <c r="U40" s="7"/>
      <c r="V40" s="7"/>
      <c r="W40" s="7"/>
    </row>
    <row r="41" spans="1:23" ht="25.5" customHeight="1" x14ac:dyDescent="0.25">
      <c r="A41" s="144" t="s">
        <v>26</v>
      </c>
      <c r="B41" s="143"/>
      <c r="C41" s="143"/>
      <c r="D41" s="143"/>
      <c r="E41" s="143"/>
      <c r="F41" s="143"/>
      <c r="G41" s="143"/>
      <c r="H41" s="143"/>
      <c r="I41" s="143"/>
      <c r="J41" s="145"/>
      <c r="K41" s="146"/>
      <c r="L41" s="146"/>
      <c r="M41" s="146"/>
      <c r="N41" s="146"/>
      <c r="O41" s="146"/>
      <c r="P41" s="146"/>
      <c r="Q41" s="146"/>
      <c r="R41" s="7"/>
      <c r="S41" s="7"/>
      <c r="T41" s="7"/>
      <c r="U41" s="7"/>
      <c r="V41" s="7"/>
      <c r="W41" s="7"/>
    </row>
    <row r="42" spans="1:23" ht="25.5" customHeight="1" x14ac:dyDescent="0.25">
      <c r="A42" s="144" t="s">
        <v>27</v>
      </c>
      <c r="B42" s="143"/>
      <c r="C42" s="143"/>
      <c r="D42" s="143"/>
      <c r="E42" s="143"/>
      <c r="F42" s="143"/>
      <c r="G42" s="143"/>
      <c r="H42" s="143"/>
      <c r="I42" s="143"/>
      <c r="J42" s="143"/>
      <c r="K42" s="143"/>
      <c r="L42" s="143"/>
      <c r="M42" s="143"/>
      <c r="N42" s="143"/>
      <c r="O42" s="143"/>
      <c r="P42" s="143"/>
      <c r="Q42" s="143"/>
      <c r="R42" s="7"/>
      <c r="S42" s="7"/>
      <c r="T42" s="7"/>
      <c r="U42" s="7"/>
      <c r="V42" s="7"/>
      <c r="W42" s="7"/>
    </row>
    <row r="43" spans="1:23" ht="5.25" customHeight="1" x14ac:dyDescent="0.3">
      <c r="A43" s="142"/>
      <c r="B43" s="143"/>
      <c r="C43" s="143"/>
      <c r="D43" s="143"/>
      <c r="E43" s="143"/>
      <c r="F43" s="143"/>
      <c r="G43" s="143"/>
      <c r="H43" s="143"/>
      <c r="I43" s="143"/>
      <c r="J43" s="143"/>
      <c r="K43" s="143"/>
      <c r="L43" s="143"/>
      <c r="M43" s="143"/>
      <c r="N43" s="143"/>
      <c r="O43" s="143"/>
      <c r="P43" s="143"/>
      <c r="Q43" s="143"/>
      <c r="R43" s="7"/>
      <c r="S43" s="7"/>
      <c r="T43" s="7"/>
      <c r="U43" s="7"/>
      <c r="V43" s="7"/>
      <c r="W43" s="7"/>
    </row>
    <row r="44" spans="1:23" ht="15" customHeight="1" x14ac:dyDescent="0.25">
      <c r="A44" s="152" t="s">
        <v>22</v>
      </c>
      <c r="B44" s="143"/>
      <c r="C44" s="143"/>
      <c r="D44" s="143"/>
      <c r="E44" s="143"/>
      <c r="F44" s="143"/>
      <c r="G44" s="156"/>
      <c r="H44" s="59"/>
      <c r="I44" s="155" t="s">
        <v>23</v>
      </c>
      <c r="J44" s="156"/>
      <c r="K44" s="19"/>
      <c r="L44" s="150" t="s">
        <v>51</v>
      </c>
      <c r="M44" s="151"/>
      <c r="N44" s="51"/>
      <c r="O44" s="169"/>
      <c r="P44" s="148"/>
      <c r="Q44" s="148"/>
      <c r="R44" s="7"/>
      <c r="S44" s="7"/>
      <c r="T44" s="7"/>
      <c r="U44" s="7"/>
      <c r="V44" s="7"/>
      <c r="W44" s="7"/>
    </row>
    <row r="45" spans="1:23" ht="25.5" customHeight="1" x14ac:dyDescent="0.25">
      <c r="A45" s="144" t="s">
        <v>344</v>
      </c>
      <c r="B45" s="143"/>
      <c r="C45" s="143"/>
      <c r="D45" s="143"/>
      <c r="E45" s="143"/>
      <c r="F45" s="143"/>
      <c r="G45" s="143"/>
      <c r="H45" s="143"/>
      <c r="I45" s="143"/>
      <c r="J45" s="143"/>
      <c r="K45" s="143"/>
      <c r="L45" s="143"/>
      <c r="M45" s="170"/>
      <c r="N45" s="171"/>
      <c r="O45" s="171"/>
      <c r="P45" s="171"/>
      <c r="Q45" s="171"/>
      <c r="R45" s="7"/>
      <c r="S45" s="7"/>
      <c r="T45" s="7"/>
      <c r="U45" s="7"/>
      <c r="V45" s="7"/>
      <c r="W45" s="7"/>
    </row>
    <row r="46" spans="1:23" ht="25.5" customHeight="1" x14ac:dyDescent="0.25">
      <c r="A46" s="144" t="s">
        <v>28</v>
      </c>
      <c r="B46" s="143"/>
      <c r="C46" s="143"/>
      <c r="D46" s="143"/>
      <c r="E46" s="143"/>
      <c r="F46" s="143"/>
      <c r="G46" s="143"/>
      <c r="H46" s="143"/>
      <c r="I46" s="143"/>
      <c r="J46" s="143"/>
      <c r="K46" s="143"/>
      <c r="L46" s="143"/>
      <c r="M46" s="143"/>
      <c r="N46" s="143"/>
      <c r="O46" s="143"/>
      <c r="P46" s="143"/>
      <c r="Q46" s="143"/>
      <c r="R46" s="7"/>
      <c r="S46" s="7"/>
      <c r="T46" s="7"/>
      <c r="U46" s="7"/>
      <c r="V46" s="7"/>
      <c r="W46" s="7"/>
    </row>
    <row r="47" spans="1:23" ht="5.25" customHeight="1" x14ac:dyDescent="0.25">
      <c r="A47" s="157"/>
      <c r="B47" s="157"/>
      <c r="C47" s="157"/>
      <c r="D47" s="157"/>
      <c r="E47" s="157"/>
      <c r="F47" s="157"/>
      <c r="G47" s="157"/>
      <c r="H47" s="157"/>
      <c r="I47" s="157"/>
      <c r="J47" s="157"/>
      <c r="K47" s="157"/>
      <c r="L47" s="157"/>
      <c r="M47" s="157"/>
      <c r="N47" s="157"/>
      <c r="O47" s="157"/>
      <c r="P47" s="157"/>
      <c r="Q47" s="157"/>
      <c r="R47" s="7"/>
      <c r="S47" s="7"/>
      <c r="T47" s="7"/>
      <c r="U47" s="7"/>
      <c r="V47" s="7"/>
      <c r="W47" s="7"/>
    </row>
    <row r="48" spans="1:23" ht="15" customHeight="1" x14ac:dyDescent="0.25">
      <c r="A48" s="152" t="s">
        <v>22</v>
      </c>
      <c r="B48" s="143"/>
      <c r="C48" s="143"/>
      <c r="D48" s="143"/>
      <c r="E48" s="143"/>
      <c r="F48" s="143"/>
      <c r="G48" s="156"/>
      <c r="H48" s="19"/>
      <c r="I48" s="155" t="s">
        <v>23</v>
      </c>
      <c r="J48" s="156"/>
      <c r="K48" s="59"/>
      <c r="L48" s="150" t="s">
        <v>51</v>
      </c>
      <c r="M48" s="151"/>
      <c r="N48" s="51"/>
      <c r="O48" s="169"/>
      <c r="P48" s="148"/>
      <c r="Q48" s="148"/>
      <c r="R48" s="7"/>
      <c r="S48" s="7"/>
      <c r="T48" s="7"/>
      <c r="U48" s="7"/>
      <c r="V48" s="7"/>
      <c r="W48" s="7"/>
    </row>
    <row r="49" spans="1:23" ht="27" customHeight="1" x14ac:dyDescent="0.25">
      <c r="A49" s="207" t="s">
        <v>234</v>
      </c>
      <c r="B49" s="143"/>
      <c r="C49" s="143"/>
      <c r="D49" s="143"/>
      <c r="E49" s="143"/>
      <c r="F49" s="143"/>
      <c r="G49" s="143"/>
      <c r="H49" s="143"/>
      <c r="I49" s="143"/>
      <c r="J49" s="143"/>
      <c r="K49" s="143"/>
      <c r="L49" s="143"/>
      <c r="M49" s="143"/>
      <c r="N49" s="143"/>
      <c r="O49" s="143"/>
      <c r="P49" s="143"/>
      <c r="Q49" s="143"/>
      <c r="R49" s="7"/>
      <c r="S49" s="7"/>
      <c r="T49" s="7"/>
      <c r="U49" s="7"/>
      <c r="V49" s="7"/>
      <c r="W49" s="7"/>
    </row>
    <row r="50" spans="1:23" ht="6" customHeight="1" x14ac:dyDescent="0.25">
      <c r="A50" s="206"/>
      <c r="B50" s="143"/>
      <c r="C50" s="143"/>
      <c r="D50" s="143"/>
      <c r="E50" s="143"/>
      <c r="F50" s="143"/>
      <c r="G50" s="143"/>
      <c r="H50" s="143"/>
      <c r="I50" s="143"/>
      <c r="J50" s="143"/>
      <c r="K50" s="143"/>
      <c r="L50" s="143"/>
      <c r="M50" s="143"/>
      <c r="N50" s="143"/>
      <c r="O50" s="143"/>
      <c r="P50" s="143"/>
      <c r="Q50" s="143"/>
      <c r="R50" s="7"/>
      <c r="S50" s="7"/>
      <c r="T50" s="7"/>
      <c r="U50" s="7"/>
      <c r="V50" s="7"/>
      <c r="W50" s="7"/>
    </row>
    <row r="51" spans="1:23" ht="15" customHeight="1" x14ac:dyDescent="0.25">
      <c r="A51" s="152" t="s">
        <v>22</v>
      </c>
      <c r="B51" s="143"/>
      <c r="C51" s="143"/>
      <c r="D51" s="143"/>
      <c r="E51" s="143"/>
      <c r="F51" s="143"/>
      <c r="G51" s="156"/>
      <c r="H51" s="59"/>
      <c r="I51" s="155" t="s">
        <v>23</v>
      </c>
      <c r="J51" s="156"/>
      <c r="K51" s="19"/>
      <c r="L51" s="150" t="s">
        <v>51</v>
      </c>
      <c r="M51" s="151"/>
      <c r="N51" s="51"/>
      <c r="O51" s="169"/>
      <c r="P51" s="148"/>
      <c r="Q51" s="148"/>
      <c r="R51" s="7"/>
      <c r="S51" s="7"/>
      <c r="T51" s="7"/>
      <c r="U51" s="7"/>
      <c r="V51" s="7"/>
      <c r="W51" s="7"/>
    </row>
    <row r="52" spans="1:23" ht="27" customHeight="1" x14ac:dyDescent="0.25">
      <c r="A52" s="144" t="s">
        <v>29</v>
      </c>
      <c r="B52" s="143"/>
      <c r="C52" s="143"/>
      <c r="D52" s="143"/>
      <c r="E52" s="143"/>
      <c r="F52" s="143"/>
      <c r="G52" s="143"/>
      <c r="H52" s="143"/>
      <c r="I52" s="143"/>
      <c r="J52" s="143"/>
      <c r="K52" s="143"/>
      <c r="L52" s="143"/>
      <c r="M52" s="143"/>
      <c r="N52" s="143"/>
      <c r="O52" s="143"/>
      <c r="P52" s="143"/>
      <c r="Q52" s="143"/>
      <c r="R52" s="7"/>
      <c r="S52" s="7"/>
      <c r="T52" s="7"/>
      <c r="U52" s="7"/>
      <c r="V52" s="7"/>
      <c r="W52" s="7"/>
    </row>
    <row r="53" spans="1:23" ht="5.25" customHeight="1" x14ac:dyDescent="0.25">
      <c r="A53" s="144"/>
      <c r="B53" s="143"/>
      <c r="C53" s="143"/>
      <c r="D53" s="143"/>
      <c r="E53" s="143"/>
      <c r="F53" s="143"/>
      <c r="G53" s="143"/>
      <c r="H53" s="143"/>
      <c r="I53" s="143"/>
      <c r="J53" s="143"/>
      <c r="K53" s="143"/>
      <c r="L53" s="143"/>
      <c r="M53" s="143"/>
      <c r="N53" s="143"/>
      <c r="O53" s="143"/>
      <c r="P53" s="143"/>
      <c r="Q53" s="143"/>
      <c r="R53" s="7"/>
      <c r="S53" s="7"/>
      <c r="T53" s="7"/>
      <c r="U53" s="7"/>
      <c r="V53" s="7"/>
      <c r="W53" s="7"/>
    </row>
    <row r="54" spans="1:23" ht="15" customHeight="1" x14ac:dyDescent="0.25">
      <c r="A54" s="152" t="s">
        <v>22</v>
      </c>
      <c r="B54" s="143"/>
      <c r="C54" s="143"/>
      <c r="D54" s="143"/>
      <c r="E54" s="143"/>
      <c r="F54" s="143"/>
      <c r="G54" s="156"/>
      <c r="H54" s="19"/>
      <c r="I54" s="155" t="s">
        <v>23</v>
      </c>
      <c r="J54" s="156"/>
      <c r="K54" s="59"/>
      <c r="L54" s="147"/>
      <c r="M54" s="143"/>
      <c r="N54" s="143"/>
      <c r="O54" s="143"/>
      <c r="P54" s="143"/>
      <c r="Q54" s="143"/>
      <c r="R54" s="7"/>
      <c r="S54" s="7"/>
      <c r="T54" s="7"/>
      <c r="U54" s="7"/>
      <c r="V54" s="7"/>
      <c r="W54" s="7"/>
    </row>
    <row r="55" spans="1:23" ht="25.5" customHeight="1" x14ac:dyDescent="0.25">
      <c r="A55" s="215"/>
      <c r="B55" s="215"/>
      <c r="C55" s="215"/>
      <c r="D55" s="215"/>
      <c r="E55" s="215"/>
      <c r="F55" s="215"/>
      <c r="G55" s="215"/>
      <c r="H55" s="215"/>
      <c r="I55" s="215"/>
      <c r="J55" s="215"/>
      <c r="K55" s="215"/>
      <c r="L55" s="215"/>
      <c r="M55" s="215"/>
      <c r="N55" s="215"/>
      <c r="O55" s="215"/>
      <c r="P55" s="215"/>
      <c r="Q55" s="215"/>
      <c r="R55" s="7"/>
      <c r="S55" s="7"/>
      <c r="T55" s="7"/>
      <c r="U55" s="7"/>
      <c r="V55" s="7"/>
      <c r="W55" s="7"/>
    </row>
    <row r="56" spans="1:23" ht="27" customHeight="1" x14ac:dyDescent="0.25">
      <c r="A56" s="179" t="s">
        <v>30</v>
      </c>
      <c r="B56" s="198"/>
      <c r="C56" s="198"/>
      <c r="D56" s="198"/>
      <c r="E56" s="198"/>
      <c r="F56" s="198"/>
      <c r="G56" s="198"/>
      <c r="H56" s="198"/>
      <c r="I56" s="198"/>
      <c r="J56" s="198"/>
      <c r="K56" s="198"/>
      <c r="L56" s="198"/>
      <c r="M56" s="198"/>
      <c r="N56" s="198"/>
      <c r="O56" s="198"/>
      <c r="P56" s="198"/>
      <c r="Q56" s="198"/>
      <c r="R56" s="7"/>
      <c r="S56" s="7"/>
      <c r="T56" s="7"/>
      <c r="U56" s="7"/>
      <c r="V56" s="7"/>
      <c r="W56" s="7"/>
    </row>
    <row r="57" spans="1:23" ht="27" customHeight="1" x14ac:dyDescent="0.25">
      <c r="A57" s="144" t="s">
        <v>31</v>
      </c>
      <c r="B57" s="143"/>
      <c r="C57" s="143"/>
      <c r="D57" s="143"/>
      <c r="E57" s="143"/>
      <c r="F57" s="143"/>
      <c r="G57" s="143"/>
      <c r="H57" s="143"/>
      <c r="I57" s="143"/>
      <c r="J57" s="143"/>
      <c r="K57" s="143"/>
      <c r="L57" s="143"/>
      <c r="M57" s="143"/>
      <c r="N57" s="143"/>
      <c r="O57" s="143"/>
      <c r="P57" s="143"/>
      <c r="Q57" s="143"/>
      <c r="R57" s="7"/>
      <c r="S57" s="7"/>
      <c r="T57" s="7"/>
      <c r="U57" s="7"/>
      <c r="V57" s="7"/>
      <c r="W57" s="7"/>
    </row>
    <row r="58" spans="1:23" ht="11.25" customHeight="1" x14ac:dyDescent="0.25">
      <c r="A58" s="144"/>
      <c r="B58" s="143"/>
      <c r="C58" s="143"/>
      <c r="D58" s="143"/>
      <c r="E58" s="143"/>
      <c r="F58" s="143"/>
      <c r="G58" s="143"/>
      <c r="H58" s="143"/>
      <c r="I58" s="143"/>
      <c r="J58" s="143"/>
      <c r="K58" s="143"/>
      <c r="L58" s="143"/>
      <c r="M58" s="143"/>
      <c r="N58" s="143"/>
      <c r="O58" s="143"/>
      <c r="P58" s="143"/>
      <c r="Q58" s="143"/>
      <c r="R58" s="7"/>
      <c r="S58" s="7"/>
      <c r="T58" s="7"/>
      <c r="U58" s="7"/>
      <c r="V58" s="7"/>
      <c r="W58" s="7"/>
    </row>
    <row r="59" spans="1:23" ht="15" customHeight="1" x14ac:dyDescent="0.3">
      <c r="A59" s="144" t="s">
        <v>233</v>
      </c>
      <c r="B59" s="143"/>
      <c r="C59" s="143"/>
      <c r="D59" s="143"/>
      <c r="E59" s="143"/>
      <c r="F59" s="143"/>
      <c r="G59" s="143"/>
      <c r="H59" s="143"/>
      <c r="I59" s="143"/>
      <c r="J59" s="143"/>
      <c r="K59" s="143"/>
      <c r="L59" s="143"/>
      <c r="M59" s="143"/>
      <c r="N59" s="143"/>
      <c r="O59" s="156"/>
      <c r="P59" s="19"/>
      <c r="Q59" s="25"/>
      <c r="R59" s="7"/>
      <c r="S59" s="7"/>
      <c r="T59" s="7"/>
      <c r="U59" s="7"/>
      <c r="V59" s="7"/>
      <c r="W59" s="7"/>
    </row>
    <row r="60" spans="1:23" ht="11.25" customHeight="1" x14ac:dyDescent="0.25">
      <c r="A60" s="157"/>
      <c r="B60" s="157"/>
      <c r="C60" s="157"/>
      <c r="D60" s="157"/>
      <c r="E60" s="157"/>
      <c r="F60" s="157"/>
      <c r="G60" s="157"/>
      <c r="H60" s="157"/>
      <c r="I60" s="157"/>
      <c r="J60" s="157"/>
      <c r="K60" s="157"/>
      <c r="L60" s="157"/>
      <c r="M60" s="157"/>
      <c r="N60" s="157"/>
      <c r="O60" s="157"/>
      <c r="P60" s="157"/>
      <c r="Q60" s="157"/>
      <c r="R60" s="7"/>
      <c r="S60" s="7"/>
      <c r="T60" s="7"/>
      <c r="U60" s="7"/>
      <c r="V60" s="7"/>
      <c r="W60" s="7"/>
    </row>
    <row r="61" spans="1:23" ht="15" customHeight="1" x14ac:dyDescent="0.3">
      <c r="A61" s="144" t="s">
        <v>235</v>
      </c>
      <c r="B61" s="143"/>
      <c r="C61" s="143"/>
      <c r="D61" s="143"/>
      <c r="E61" s="143"/>
      <c r="F61" s="143"/>
      <c r="G61" s="143"/>
      <c r="H61" s="143"/>
      <c r="I61" s="143"/>
      <c r="J61" s="143"/>
      <c r="K61" s="143"/>
      <c r="L61" s="143"/>
      <c r="M61" s="143"/>
      <c r="N61" s="143"/>
      <c r="O61" s="156"/>
      <c r="P61" s="59"/>
      <c r="Q61" s="25"/>
      <c r="R61" s="7"/>
      <c r="S61" s="7"/>
      <c r="T61" s="7"/>
      <c r="U61" s="7"/>
      <c r="V61" s="7"/>
      <c r="W61" s="7"/>
    </row>
    <row r="62" spans="1:23" ht="27" customHeight="1" x14ac:dyDescent="0.3">
      <c r="A62" s="214" t="s">
        <v>32</v>
      </c>
      <c r="B62" s="148"/>
      <c r="C62" s="210"/>
      <c r="D62" s="211"/>
      <c r="E62" s="211"/>
      <c r="F62" s="211"/>
      <c r="G62" s="211"/>
      <c r="H62" s="211"/>
      <c r="I62" s="211"/>
      <c r="J62" s="211"/>
      <c r="K62" s="211"/>
      <c r="L62" s="211"/>
      <c r="M62" s="211"/>
      <c r="N62" s="211"/>
      <c r="O62" s="211"/>
      <c r="P62" s="211"/>
      <c r="Q62" s="211"/>
      <c r="R62" s="7"/>
      <c r="S62" s="7"/>
      <c r="T62" s="7"/>
      <c r="U62" s="7"/>
      <c r="V62" s="7"/>
      <c r="W62" s="7"/>
    </row>
    <row r="63" spans="1:23" ht="27" customHeight="1" x14ac:dyDescent="0.25">
      <c r="A63" s="212"/>
      <c r="B63" s="213"/>
      <c r="C63" s="213"/>
      <c r="D63" s="213"/>
      <c r="E63" s="213"/>
      <c r="F63" s="213"/>
      <c r="G63" s="213"/>
      <c r="H63" s="213"/>
      <c r="I63" s="213"/>
      <c r="J63" s="213"/>
      <c r="K63" s="213"/>
      <c r="L63" s="213"/>
      <c r="M63" s="213"/>
      <c r="N63" s="213"/>
      <c r="O63" s="213"/>
      <c r="P63" s="213"/>
      <c r="Q63" s="213"/>
      <c r="R63" s="7"/>
      <c r="S63" s="7"/>
      <c r="T63" s="7"/>
      <c r="U63" s="7"/>
      <c r="V63" s="7"/>
      <c r="W63" s="7"/>
    </row>
    <row r="64" spans="1:23" s="70" customFormat="1" ht="27" customHeight="1" x14ac:dyDescent="0.3">
      <c r="A64" s="216" t="s">
        <v>33</v>
      </c>
      <c r="B64" s="217"/>
      <c r="C64" s="217"/>
      <c r="D64" s="217"/>
      <c r="E64" s="217"/>
      <c r="F64" s="218"/>
      <c r="G64" s="218"/>
      <c r="H64" s="218"/>
      <c r="I64" s="218"/>
      <c r="J64" s="218"/>
      <c r="K64" s="218"/>
      <c r="L64" s="218"/>
      <c r="M64" s="218"/>
      <c r="N64" s="218"/>
      <c r="O64" s="218"/>
      <c r="P64" s="218"/>
      <c r="Q64" s="218"/>
      <c r="R64" s="71"/>
      <c r="S64" s="71"/>
      <c r="T64" s="71"/>
      <c r="U64" s="71"/>
      <c r="V64" s="71"/>
      <c r="W64" s="71"/>
    </row>
    <row r="65" spans="1:23" s="104" customFormat="1" ht="27" customHeight="1" x14ac:dyDescent="0.25">
      <c r="A65" s="177"/>
      <c r="B65" s="177"/>
      <c r="C65" s="177"/>
      <c r="D65" s="177"/>
      <c r="E65" s="177"/>
      <c r="F65" s="177"/>
      <c r="G65" s="177"/>
      <c r="H65" s="177"/>
      <c r="I65" s="177"/>
      <c r="J65" s="177"/>
      <c r="K65" s="177"/>
      <c r="L65" s="177"/>
      <c r="M65" s="177"/>
      <c r="N65" s="177"/>
      <c r="O65" s="177"/>
      <c r="P65" s="177"/>
      <c r="Q65" s="177"/>
      <c r="R65" s="103"/>
      <c r="S65" s="103"/>
      <c r="T65" s="103"/>
      <c r="U65" s="103"/>
      <c r="V65" s="103"/>
      <c r="W65" s="103"/>
    </row>
    <row r="66" spans="1:23" s="70" customFormat="1" ht="27" customHeight="1" x14ac:dyDescent="0.25">
      <c r="A66" s="176"/>
      <c r="B66" s="176"/>
      <c r="C66" s="176"/>
      <c r="D66" s="176"/>
      <c r="E66" s="176"/>
      <c r="F66" s="176"/>
      <c r="G66" s="176"/>
      <c r="H66" s="176"/>
      <c r="I66" s="176"/>
      <c r="J66" s="176"/>
      <c r="K66" s="176"/>
      <c r="L66" s="176"/>
      <c r="M66" s="176"/>
      <c r="N66" s="176"/>
      <c r="O66" s="176"/>
      <c r="P66" s="176"/>
      <c r="Q66" s="176"/>
      <c r="R66" s="71"/>
      <c r="S66" s="71"/>
      <c r="T66" s="71"/>
      <c r="U66" s="71"/>
      <c r="V66" s="71"/>
      <c r="W66" s="71"/>
    </row>
    <row r="67" spans="1:23" ht="17.399999999999999" x14ac:dyDescent="0.3">
      <c r="A67" s="208" t="s">
        <v>37</v>
      </c>
      <c r="B67" s="209"/>
      <c r="C67" s="209"/>
      <c r="D67" s="209"/>
      <c r="E67" s="209"/>
      <c r="F67" s="209"/>
      <c r="G67" s="209"/>
      <c r="H67" s="209"/>
      <c r="I67" s="209"/>
      <c r="J67" s="209"/>
      <c r="K67" s="209"/>
      <c r="L67" s="209"/>
      <c r="M67" s="209"/>
      <c r="N67" s="209"/>
      <c r="O67" s="209"/>
      <c r="P67" s="209"/>
      <c r="Q67" s="209"/>
      <c r="R67" s="7"/>
      <c r="S67" s="7"/>
      <c r="T67" s="7"/>
      <c r="U67" s="7"/>
      <c r="V67" s="7"/>
      <c r="W67" s="7"/>
    </row>
    <row r="68" spans="1:23" ht="17.399999999999999" x14ac:dyDescent="0.3">
      <c r="A68" s="208" t="s">
        <v>36</v>
      </c>
      <c r="B68" s="209"/>
      <c r="C68" s="209"/>
      <c r="D68" s="209"/>
      <c r="E68" s="209"/>
      <c r="F68" s="209"/>
      <c r="G68" s="209"/>
      <c r="H68" s="209"/>
      <c r="I68" s="209"/>
      <c r="J68" s="209"/>
      <c r="K68" s="209"/>
      <c r="L68" s="209"/>
      <c r="M68" s="209"/>
      <c r="N68" s="209"/>
      <c r="O68" s="209"/>
      <c r="P68" s="209"/>
      <c r="Q68" s="209"/>
      <c r="R68" s="7"/>
      <c r="S68" s="7"/>
      <c r="T68" s="7"/>
      <c r="U68" s="7"/>
      <c r="V68" s="7"/>
      <c r="W68" s="7"/>
    </row>
    <row r="69" spans="1:23" ht="24" customHeight="1" x14ac:dyDescent="0.3">
      <c r="A69" s="142" t="s">
        <v>364</v>
      </c>
      <c r="B69" s="142"/>
      <c r="C69" s="142"/>
      <c r="D69" s="142"/>
      <c r="E69" s="142"/>
      <c r="F69" s="142"/>
      <c r="G69" s="142"/>
      <c r="H69" s="142"/>
      <c r="I69" s="142"/>
      <c r="J69" s="142"/>
      <c r="K69" s="142"/>
      <c r="L69" s="142"/>
      <c r="M69" s="142"/>
      <c r="N69" s="142"/>
      <c r="O69" s="142"/>
      <c r="P69" s="142"/>
      <c r="Q69" s="142"/>
      <c r="R69" s="7"/>
      <c r="S69" s="7"/>
      <c r="T69" s="7"/>
      <c r="U69" s="7"/>
      <c r="V69" s="7"/>
      <c r="W69" s="7"/>
    </row>
    <row r="70" spans="1:23" ht="15.6" x14ac:dyDescent="0.3">
      <c r="A70" s="142" t="s">
        <v>40</v>
      </c>
      <c r="B70" s="142"/>
      <c r="C70" s="142"/>
      <c r="D70" s="142"/>
      <c r="E70" s="142"/>
      <c r="F70" s="142"/>
      <c r="G70" s="142"/>
      <c r="H70" s="142"/>
      <c r="I70" s="142"/>
      <c r="J70" s="142"/>
      <c r="K70" s="142"/>
      <c r="L70" s="142"/>
      <c r="M70" s="142"/>
      <c r="N70" s="142"/>
      <c r="O70" s="142"/>
      <c r="P70" s="142"/>
      <c r="Q70" s="142"/>
      <c r="R70" s="7"/>
      <c r="S70" s="7"/>
      <c r="T70" s="7"/>
      <c r="U70" s="7"/>
      <c r="V70" s="7"/>
      <c r="W70" s="7"/>
    </row>
    <row r="71" spans="1:23" ht="15.75" customHeight="1" x14ac:dyDescent="0.3">
      <c r="A71" s="142" t="s">
        <v>41</v>
      </c>
      <c r="B71" s="219"/>
      <c r="C71" s="219"/>
      <c r="D71" s="219"/>
      <c r="E71" s="219"/>
      <c r="F71" s="219"/>
      <c r="G71" s="219"/>
      <c r="H71" s="219"/>
      <c r="I71" s="219"/>
      <c r="J71" s="219"/>
      <c r="K71" s="219"/>
      <c r="L71" s="219"/>
      <c r="M71" s="219"/>
      <c r="N71" s="219"/>
      <c r="O71" s="219"/>
      <c r="P71" s="219"/>
      <c r="Q71" s="219"/>
      <c r="R71" s="7"/>
      <c r="S71" s="7"/>
      <c r="T71" s="7"/>
      <c r="U71" s="7"/>
      <c r="V71" s="7"/>
      <c r="W71" s="7"/>
    </row>
    <row r="72" spans="1:23" ht="24" customHeight="1" x14ac:dyDescent="0.3">
      <c r="A72" s="142" t="s">
        <v>38</v>
      </c>
      <c r="B72" s="142"/>
      <c r="C72" s="142"/>
      <c r="D72" s="142"/>
      <c r="E72" s="142"/>
      <c r="F72" s="142"/>
      <c r="G72" s="142"/>
      <c r="H72" s="142"/>
      <c r="I72" s="142"/>
      <c r="J72" s="142"/>
      <c r="K72" s="142"/>
      <c r="L72" s="142"/>
      <c r="M72" s="142"/>
      <c r="N72" s="142"/>
      <c r="O72" s="142"/>
      <c r="P72" s="142"/>
      <c r="Q72" s="142"/>
      <c r="R72" s="7"/>
      <c r="S72" s="7"/>
      <c r="T72" s="7"/>
      <c r="U72" s="7"/>
      <c r="V72" s="7"/>
      <c r="W72" s="7"/>
    </row>
    <row r="73" spans="1:23" ht="15.6" x14ac:dyDescent="0.3">
      <c r="A73" s="142" t="s">
        <v>39</v>
      </c>
      <c r="B73" s="142"/>
      <c r="C73" s="142"/>
      <c r="D73" s="142"/>
      <c r="E73" s="142"/>
      <c r="F73" s="142"/>
      <c r="G73" s="142"/>
      <c r="H73" s="142"/>
      <c r="I73" s="142"/>
      <c r="J73" s="142"/>
      <c r="K73" s="142"/>
      <c r="L73" s="142"/>
      <c r="M73" s="142"/>
      <c r="N73" s="142"/>
      <c r="O73" s="142"/>
      <c r="P73" s="142"/>
      <c r="Q73" s="142"/>
      <c r="R73" s="7"/>
      <c r="S73" s="7"/>
      <c r="T73" s="7"/>
      <c r="U73" s="7"/>
      <c r="V73" s="7"/>
      <c r="W73" s="7"/>
    </row>
    <row r="74" spans="1:23" ht="24" customHeight="1" x14ac:dyDescent="0.3">
      <c r="A74" s="142" t="s">
        <v>42</v>
      </c>
      <c r="B74" s="142"/>
      <c r="C74" s="142"/>
      <c r="D74" s="142"/>
      <c r="E74" s="142"/>
      <c r="F74" s="142"/>
      <c r="G74" s="142"/>
      <c r="H74" s="142"/>
      <c r="I74" s="142"/>
      <c r="J74" s="142"/>
      <c r="K74" s="142"/>
      <c r="L74" s="142"/>
      <c r="M74" s="142"/>
      <c r="N74" s="142"/>
      <c r="O74" s="142"/>
      <c r="P74" s="142"/>
      <c r="Q74" s="142"/>
      <c r="R74" s="7"/>
      <c r="S74" s="7"/>
      <c r="T74" s="7"/>
      <c r="U74" s="7"/>
      <c r="V74" s="7"/>
      <c r="W74" s="7"/>
    </row>
    <row r="75" spans="1:23" ht="15.6" x14ac:dyDescent="0.3">
      <c r="A75" s="142" t="s">
        <v>43</v>
      </c>
      <c r="B75" s="142"/>
      <c r="C75" s="142"/>
      <c r="D75" s="142"/>
      <c r="E75" s="142"/>
      <c r="F75" s="142"/>
      <c r="G75" s="142"/>
      <c r="H75" s="142"/>
      <c r="I75" s="142"/>
      <c r="J75" s="142"/>
      <c r="K75" s="142"/>
      <c r="L75" s="142"/>
      <c r="M75" s="142"/>
      <c r="N75" s="142"/>
      <c r="O75" s="142"/>
      <c r="P75" s="142"/>
      <c r="Q75" s="142"/>
      <c r="R75" s="7"/>
      <c r="S75" s="7"/>
      <c r="T75" s="7"/>
      <c r="U75" s="7"/>
      <c r="V75" s="7"/>
      <c r="W75" s="7"/>
    </row>
    <row r="76" spans="1:23" ht="24" customHeight="1" x14ac:dyDescent="0.3">
      <c r="A76" s="142" t="s">
        <v>44</v>
      </c>
      <c r="B76" s="142"/>
      <c r="C76" s="142"/>
      <c r="D76" s="142"/>
      <c r="E76" s="142"/>
      <c r="F76" s="142"/>
      <c r="G76" s="142"/>
      <c r="H76" s="142"/>
      <c r="I76" s="142"/>
      <c r="J76" s="142"/>
      <c r="K76" s="142"/>
      <c r="L76" s="142"/>
      <c r="M76" s="142"/>
      <c r="N76" s="142"/>
      <c r="O76" s="142"/>
      <c r="P76" s="142"/>
      <c r="Q76" s="142"/>
      <c r="R76" s="7"/>
      <c r="S76" s="7"/>
      <c r="T76" s="7"/>
      <c r="U76" s="7"/>
      <c r="V76" s="7"/>
      <c r="W76" s="7"/>
    </row>
    <row r="77" spans="1:23" ht="24" customHeight="1" x14ac:dyDescent="0.3">
      <c r="A77" s="142" t="s">
        <v>356</v>
      </c>
      <c r="B77" s="142"/>
      <c r="C77" s="142"/>
      <c r="D77" s="142"/>
      <c r="E77" s="142"/>
      <c r="F77" s="142"/>
      <c r="G77" s="142"/>
      <c r="H77" s="142"/>
      <c r="I77" s="142"/>
      <c r="J77" s="142"/>
      <c r="K77" s="142"/>
      <c r="L77" s="142"/>
      <c r="M77" s="142"/>
      <c r="N77" s="142"/>
      <c r="O77" s="142"/>
      <c r="P77" s="142"/>
      <c r="Q77" s="142"/>
      <c r="R77" s="7"/>
      <c r="S77" s="7"/>
      <c r="T77" s="7"/>
      <c r="U77" s="7"/>
      <c r="V77" s="7"/>
      <c r="W77" s="7"/>
    </row>
    <row r="78" spans="1:23" ht="40.5" customHeight="1" x14ac:dyDescent="0.3">
      <c r="A78" s="208" t="s">
        <v>45</v>
      </c>
      <c r="B78" s="208"/>
      <c r="C78" s="208"/>
      <c r="D78" s="208"/>
      <c r="E78" s="208"/>
      <c r="F78" s="208"/>
      <c r="G78" s="208"/>
      <c r="H78" s="208"/>
      <c r="I78" s="208"/>
      <c r="J78" s="208"/>
      <c r="K78" s="208"/>
      <c r="L78" s="208"/>
      <c r="M78" s="208"/>
      <c r="N78" s="208"/>
      <c r="O78" s="208"/>
      <c r="P78" s="208"/>
      <c r="Q78" s="208"/>
      <c r="R78" s="7"/>
      <c r="S78" s="7"/>
      <c r="T78" s="7"/>
      <c r="U78" s="7"/>
      <c r="V78" s="7"/>
      <c r="W78" s="7"/>
    </row>
    <row r="79" spans="1:23" ht="30" customHeight="1" x14ac:dyDescent="0.3">
      <c r="A79" s="142" t="s">
        <v>46</v>
      </c>
      <c r="B79" s="142"/>
      <c r="C79" s="142"/>
      <c r="D79" s="142"/>
      <c r="E79" s="142"/>
      <c r="F79" s="142"/>
      <c r="G79" s="142"/>
      <c r="H79" s="142"/>
      <c r="I79" s="142"/>
      <c r="J79" s="142"/>
      <c r="K79" s="142"/>
      <c r="L79" s="142"/>
      <c r="M79" s="142"/>
      <c r="N79" s="142"/>
      <c r="O79" s="142"/>
      <c r="P79" s="142"/>
      <c r="Q79" s="142"/>
      <c r="R79" s="7"/>
      <c r="S79" s="7"/>
      <c r="T79" s="7"/>
      <c r="U79" s="7"/>
      <c r="V79" s="7"/>
      <c r="W79" s="7"/>
    </row>
    <row r="80" spans="1:23" ht="15.6" x14ac:dyDescent="0.3">
      <c r="A80" s="142" t="s">
        <v>365</v>
      </c>
      <c r="B80" s="142"/>
      <c r="C80" s="142"/>
      <c r="D80" s="142"/>
      <c r="E80" s="142"/>
      <c r="F80" s="142"/>
      <c r="G80" s="142"/>
      <c r="H80" s="142"/>
      <c r="I80" s="142"/>
      <c r="J80" s="142"/>
      <c r="K80" s="142"/>
      <c r="L80" s="142"/>
      <c r="M80" s="142"/>
      <c r="N80" s="142"/>
      <c r="O80" s="142"/>
      <c r="P80" s="142"/>
      <c r="Q80" s="142"/>
      <c r="R80" s="7"/>
      <c r="S80" s="7"/>
      <c r="T80" s="7"/>
      <c r="U80" s="7"/>
      <c r="V80" s="7"/>
      <c r="W80" s="7"/>
    </row>
    <row r="81" spans="1:23" ht="15.6" x14ac:dyDescent="0.3">
      <c r="A81" s="142" t="s">
        <v>366</v>
      </c>
      <c r="B81" s="142"/>
      <c r="C81" s="142"/>
      <c r="D81" s="142"/>
      <c r="E81" s="142"/>
      <c r="F81" s="142"/>
      <c r="G81" s="142"/>
      <c r="H81" s="142"/>
      <c r="I81" s="142"/>
      <c r="J81" s="142"/>
      <c r="K81" s="142"/>
      <c r="L81" s="142"/>
      <c r="M81" s="142"/>
      <c r="N81" s="142"/>
      <c r="O81" s="142"/>
      <c r="P81" s="142"/>
      <c r="Q81" s="142"/>
      <c r="R81" s="7"/>
      <c r="S81" s="7"/>
      <c r="T81" s="7"/>
      <c r="U81" s="7"/>
      <c r="V81" s="7"/>
      <c r="W81" s="7"/>
    </row>
    <row r="82" spans="1:23" ht="30" customHeight="1" x14ac:dyDescent="0.25">
      <c r="A82" s="167" t="s">
        <v>367</v>
      </c>
      <c r="B82" s="167"/>
      <c r="C82" s="167"/>
      <c r="D82" s="167"/>
      <c r="E82" s="167"/>
      <c r="F82" s="167"/>
      <c r="G82" s="167"/>
      <c r="H82" s="167"/>
      <c r="I82" s="167"/>
      <c r="J82" s="167"/>
      <c r="K82" s="167"/>
      <c r="L82" s="167"/>
      <c r="M82" s="167"/>
      <c r="N82" s="167"/>
      <c r="O82" s="167"/>
      <c r="P82" s="167"/>
      <c r="Q82" s="167"/>
      <c r="R82" s="7"/>
      <c r="S82" s="7"/>
      <c r="T82" s="7"/>
      <c r="U82" s="7"/>
      <c r="V82" s="7"/>
      <c r="W82" s="7"/>
    </row>
    <row r="83" spans="1:23" s="70" customFormat="1" ht="15.75" customHeight="1" x14ac:dyDescent="0.25">
      <c r="A83" s="167"/>
      <c r="B83" s="167"/>
      <c r="C83" s="167"/>
      <c r="D83" s="167"/>
      <c r="E83" s="167"/>
      <c r="F83" s="167"/>
      <c r="G83" s="167"/>
      <c r="H83" s="167"/>
      <c r="I83" s="167"/>
      <c r="J83" s="167"/>
      <c r="K83" s="167"/>
      <c r="L83" s="167"/>
      <c r="M83" s="167"/>
      <c r="N83" s="167"/>
      <c r="O83" s="167"/>
      <c r="P83" s="167"/>
      <c r="Q83" s="167"/>
      <c r="R83" s="71"/>
      <c r="S83" s="71"/>
      <c r="T83" s="71"/>
      <c r="U83" s="71"/>
      <c r="V83" s="71"/>
      <c r="W83" s="71"/>
    </row>
    <row r="84" spans="1:23" ht="24" customHeight="1" x14ac:dyDescent="0.3">
      <c r="A84" s="142" t="s">
        <v>47</v>
      </c>
      <c r="B84" s="142"/>
      <c r="C84" s="142"/>
      <c r="D84" s="142"/>
      <c r="E84" s="142"/>
      <c r="F84" s="142"/>
      <c r="G84" s="142"/>
      <c r="H84" s="142"/>
      <c r="I84" s="142"/>
      <c r="J84" s="142"/>
      <c r="K84" s="142"/>
      <c r="L84" s="142"/>
      <c r="M84" s="142"/>
      <c r="N84" s="142"/>
      <c r="O84" s="142"/>
      <c r="P84" s="142"/>
      <c r="Q84" s="142"/>
      <c r="R84" s="7"/>
      <c r="S84" s="7"/>
      <c r="T84" s="7"/>
      <c r="U84" s="7"/>
      <c r="V84" s="7"/>
      <c r="W84" s="7"/>
    </row>
    <row r="85" spans="1:23" ht="15.6" x14ac:dyDescent="0.3">
      <c r="A85" s="142" t="s">
        <v>368</v>
      </c>
      <c r="B85" s="142"/>
      <c r="C85" s="142"/>
      <c r="D85" s="142"/>
      <c r="E85" s="142"/>
      <c r="F85" s="142"/>
      <c r="G85" s="142"/>
      <c r="H85" s="142"/>
      <c r="I85" s="142"/>
      <c r="J85" s="142"/>
      <c r="K85" s="142"/>
      <c r="L85" s="142"/>
      <c r="M85" s="142"/>
      <c r="N85" s="142"/>
      <c r="O85" s="142"/>
      <c r="P85" s="142"/>
      <c r="Q85" s="142"/>
      <c r="R85" s="7"/>
      <c r="S85" s="7"/>
      <c r="T85" s="7"/>
      <c r="U85" s="7"/>
      <c r="V85" s="7"/>
      <c r="W85" s="7"/>
    </row>
    <row r="86" spans="1:23" s="70" customFormat="1" ht="15.75" customHeight="1" x14ac:dyDescent="0.25">
      <c r="A86" s="168" t="s">
        <v>357</v>
      </c>
      <c r="B86" s="168"/>
      <c r="C86" s="168"/>
      <c r="D86" s="168"/>
      <c r="E86" s="168"/>
      <c r="F86" s="168"/>
      <c r="G86" s="168"/>
      <c r="H86" s="168"/>
      <c r="I86" s="168"/>
      <c r="J86" s="168"/>
      <c r="K86" s="168"/>
      <c r="L86" s="168"/>
      <c r="M86" s="168"/>
      <c r="N86" s="168"/>
      <c r="O86" s="168"/>
      <c r="P86" s="168"/>
      <c r="Q86" s="168"/>
      <c r="R86" s="71"/>
      <c r="S86" s="71"/>
      <c r="T86" s="71"/>
      <c r="U86" s="71"/>
      <c r="V86" s="71"/>
      <c r="W86" s="71"/>
    </row>
    <row r="87" spans="1:23" s="70" customFormat="1" ht="24" customHeight="1" x14ac:dyDescent="0.25">
      <c r="A87" s="168"/>
      <c r="B87" s="168"/>
      <c r="C87" s="168"/>
      <c r="D87" s="168"/>
      <c r="E87" s="168"/>
      <c r="F87" s="168"/>
      <c r="G87" s="168"/>
      <c r="H87" s="168"/>
      <c r="I87" s="168"/>
      <c r="J87" s="168"/>
      <c r="K87" s="168"/>
      <c r="L87" s="168"/>
      <c r="M87" s="168"/>
      <c r="N87" s="168"/>
      <c r="O87" s="168"/>
      <c r="P87" s="168"/>
      <c r="Q87" s="168"/>
      <c r="R87" s="71"/>
      <c r="S87" s="71"/>
      <c r="T87" s="71"/>
      <c r="U87" s="71"/>
      <c r="V87" s="71"/>
      <c r="W87" s="71"/>
    </row>
    <row r="88" spans="1:23" ht="24" customHeight="1" x14ac:dyDescent="0.3">
      <c r="A88" s="167" t="s">
        <v>219</v>
      </c>
      <c r="B88" s="167"/>
      <c r="C88" s="167"/>
      <c r="D88" s="167"/>
      <c r="E88" s="167"/>
      <c r="F88" s="167"/>
      <c r="G88" s="167"/>
      <c r="H88" s="167"/>
      <c r="I88" s="167"/>
      <c r="J88" s="167"/>
      <c r="K88" s="167"/>
      <c r="L88" s="167"/>
      <c r="M88" s="167"/>
      <c r="N88" s="167"/>
      <c r="O88" s="167"/>
      <c r="P88" s="167"/>
      <c r="Q88" s="167"/>
      <c r="R88" s="7"/>
      <c r="S88" s="7"/>
      <c r="T88" s="7"/>
      <c r="U88" s="7"/>
      <c r="V88" s="7"/>
      <c r="W88" s="7"/>
    </row>
    <row r="89" spans="1:23" ht="67.5" customHeight="1" x14ac:dyDescent="0.3">
      <c r="A89" s="37" t="s">
        <v>222</v>
      </c>
      <c r="B89" s="167" t="s">
        <v>220</v>
      </c>
      <c r="C89" s="167"/>
      <c r="D89" s="167"/>
      <c r="E89" s="167"/>
      <c r="F89" s="167"/>
      <c r="G89" s="167"/>
      <c r="H89" s="167"/>
      <c r="I89" s="167"/>
      <c r="J89" s="167"/>
      <c r="K89" s="167"/>
      <c r="L89" s="167"/>
      <c r="M89" s="167"/>
      <c r="N89" s="167"/>
      <c r="O89" s="167"/>
      <c r="P89" s="167"/>
      <c r="Q89" s="167"/>
      <c r="R89" s="7"/>
      <c r="S89" s="7"/>
      <c r="T89" s="7"/>
      <c r="U89" s="7"/>
      <c r="V89" s="7"/>
      <c r="W89" s="7"/>
    </row>
    <row r="90" spans="1:23" ht="37.5" customHeight="1" x14ac:dyDescent="0.3">
      <c r="A90" s="38" t="s">
        <v>222</v>
      </c>
      <c r="B90" s="167" t="s">
        <v>221</v>
      </c>
      <c r="C90" s="167"/>
      <c r="D90" s="167"/>
      <c r="E90" s="167"/>
      <c r="F90" s="167"/>
      <c r="G90" s="167"/>
      <c r="H90" s="167"/>
      <c r="I90" s="167"/>
      <c r="J90" s="167"/>
      <c r="K90" s="167"/>
      <c r="L90" s="167"/>
      <c r="M90" s="167"/>
      <c r="N90" s="167"/>
      <c r="O90" s="167"/>
      <c r="P90" s="167"/>
      <c r="Q90" s="167"/>
      <c r="R90" s="6"/>
      <c r="S90" s="6"/>
      <c r="T90" s="6"/>
      <c r="U90" s="6"/>
      <c r="V90" s="6"/>
      <c r="W90" s="6"/>
    </row>
    <row r="91" spans="1:23" ht="52.5" customHeight="1" x14ac:dyDescent="0.3">
      <c r="A91" s="39" t="s">
        <v>222</v>
      </c>
      <c r="B91" s="167" t="s">
        <v>349</v>
      </c>
      <c r="C91" s="167"/>
      <c r="D91" s="167"/>
      <c r="E91" s="167"/>
      <c r="F91" s="167"/>
      <c r="G91" s="167"/>
      <c r="H91" s="167"/>
      <c r="I91" s="167"/>
      <c r="J91" s="167"/>
      <c r="K91" s="167"/>
      <c r="L91" s="167"/>
      <c r="M91" s="167"/>
      <c r="N91" s="167"/>
      <c r="O91" s="167"/>
      <c r="P91" s="167"/>
      <c r="Q91" s="167"/>
      <c r="R91" s="6"/>
      <c r="S91" s="6"/>
      <c r="T91" s="6"/>
      <c r="U91" s="6"/>
      <c r="V91" s="6"/>
      <c r="W91" s="6"/>
    </row>
    <row r="92" spans="1:23" x14ac:dyDescent="0.25">
      <c r="A92" s="166"/>
      <c r="B92" s="143"/>
      <c r="C92" s="143"/>
      <c r="D92" s="143"/>
      <c r="E92" s="143"/>
      <c r="F92" s="143"/>
      <c r="G92" s="143"/>
      <c r="H92" s="143"/>
      <c r="I92" s="143"/>
      <c r="J92" s="143"/>
      <c r="K92" s="143"/>
      <c r="L92" s="143"/>
      <c r="M92" s="143"/>
      <c r="N92" s="143"/>
      <c r="O92" s="143"/>
      <c r="P92" s="143"/>
      <c r="Q92" s="143"/>
      <c r="R92" s="6"/>
      <c r="S92" s="6"/>
      <c r="T92" s="6"/>
      <c r="U92" s="6"/>
      <c r="V92" s="6"/>
      <c r="W92" s="6"/>
    </row>
    <row r="93" spans="1:23" x14ac:dyDescent="0.25">
      <c r="A93" s="143"/>
      <c r="B93" s="143"/>
      <c r="C93" s="143"/>
      <c r="D93" s="143"/>
      <c r="E93" s="143"/>
      <c r="F93" s="143"/>
      <c r="G93" s="143"/>
      <c r="H93" s="143"/>
      <c r="I93" s="143"/>
      <c r="J93" s="143"/>
      <c r="K93" s="143"/>
      <c r="L93" s="143"/>
      <c r="M93" s="143"/>
      <c r="N93" s="143"/>
      <c r="O93" s="143"/>
      <c r="P93" s="143"/>
      <c r="Q93" s="143"/>
      <c r="R93" s="6"/>
      <c r="S93" s="6"/>
      <c r="T93" s="6"/>
      <c r="U93" s="6"/>
      <c r="V93" s="6"/>
      <c r="W93" s="6"/>
    </row>
    <row r="94" spans="1:23" x14ac:dyDescent="0.25">
      <c r="A94" s="143"/>
      <c r="B94" s="143"/>
      <c r="C94" s="143"/>
      <c r="D94" s="143"/>
      <c r="E94" s="143"/>
      <c r="F94" s="143"/>
      <c r="G94" s="143"/>
      <c r="H94" s="143"/>
      <c r="I94" s="143"/>
      <c r="J94" s="143"/>
      <c r="K94" s="143"/>
      <c r="L94" s="143"/>
      <c r="M94" s="143"/>
      <c r="N94" s="143"/>
      <c r="O94" s="143"/>
      <c r="P94" s="143"/>
      <c r="Q94" s="143"/>
      <c r="R94" s="6"/>
      <c r="S94" s="6"/>
      <c r="T94" s="6"/>
      <c r="U94" s="6"/>
      <c r="V94" s="6"/>
      <c r="W94" s="6"/>
    </row>
    <row r="96" spans="1:23" ht="12" customHeight="1" x14ac:dyDescent="0.3">
      <c r="A96" s="3"/>
      <c r="B96" s="3"/>
      <c r="C96" s="3"/>
      <c r="D96" s="3"/>
      <c r="E96" s="3"/>
      <c r="F96" s="29"/>
    </row>
    <row r="97" spans="1:17" ht="13.5" customHeight="1" x14ac:dyDescent="0.3">
      <c r="A97" s="4"/>
      <c r="B97" s="4"/>
      <c r="C97" s="4"/>
      <c r="D97" s="4"/>
      <c r="E97" s="4"/>
      <c r="F97" s="4"/>
      <c r="G97" s="4"/>
      <c r="H97" s="4"/>
      <c r="I97" s="4"/>
      <c r="J97" s="4"/>
      <c r="K97" s="4"/>
      <c r="L97" s="4"/>
      <c r="M97" s="4"/>
      <c r="N97" s="4"/>
      <c r="O97" s="4"/>
      <c r="P97" s="4"/>
      <c r="Q97" s="4"/>
    </row>
    <row r="98" spans="1:17" x14ac:dyDescent="0.25">
      <c r="A98" s="29"/>
      <c r="B98" s="29"/>
      <c r="C98" s="29"/>
      <c r="D98" s="29"/>
      <c r="E98" s="29"/>
      <c r="F98" s="29"/>
      <c r="G98" s="29"/>
      <c r="H98" s="29"/>
      <c r="I98" s="29"/>
      <c r="J98" s="29"/>
      <c r="K98" s="29"/>
      <c r="L98" s="29"/>
      <c r="M98" s="29"/>
      <c r="N98" s="29"/>
      <c r="O98" s="29"/>
      <c r="P98" s="29"/>
      <c r="Q98" s="29"/>
    </row>
    <row r="99" spans="1:17" x14ac:dyDescent="0.25">
      <c r="A99" s="29"/>
      <c r="B99" s="29"/>
      <c r="C99" s="29"/>
      <c r="D99" s="29"/>
      <c r="E99" s="29"/>
      <c r="F99" s="29"/>
      <c r="G99" s="29"/>
      <c r="H99" s="29"/>
      <c r="I99" s="29"/>
      <c r="J99" s="29"/>
      <c r="K99" s="29"/>
      <c r="L99" s="29"/>
      <c r="M99" s="29"/>
      <c r="N99" s="29"/>
      <c r="O99" s="29"/>
      <c r="P99" s="29"/>
      <c r="Q99" s="29"/>
    </row>
    <row r="100" spans="1:17" x14ac:dyDescent="0.25">
      <c r="A100" s="29"/>
      <c r="B100" s="29"/>
      <c r="C100" s="29"/>
      <c r="D100" s="29"/>
      <c r="E100" s="29"/>
      <c r="F100" s="29"/>
      <c r="G100" s="29"/>
      <c r="H100" s="29"/>
      <c r="I100" s="29"/>
      <c r="J100" s="29"/>
      <c r="K100" s="29"/>
      <c r="L100" s="29"/>
      <c r="M100" s="29"/>
      <c r="N100" s="29"/>
      <c r="O100" s="29"/>
      <c r="P100" s="29"/>
      <c r="Q100" s="29"/>
    </row>
    <row r="101" spans="1:17" x14ac:dyDescent="0.25">
      <c r="A101" s="29"/>
      <c r="B101" s="29"/>
      <c r="C101" s="29"/>
      <c r="D101" s="29"/>
      <c r="E101" s="29"/>
      <c r="F101" s="29"/>
      <c r="G101" s="29"/>
      <c r="H101" s="29"/>
      <c r="I101" s="29"/>
      <c r="J101" s="29"/>
      <c r="K101" s="29"/>
      <c r="L101" s="29"/>
      <c r="M101" s="29"/>
      <c r="N101" s="29"/>
      <c r="O101" s="29"/>
      <c r="P101" s="29"/>
      <c r="Q101" s="29"/>
    </row>
    <row r="121" spans="17:17" x14ac:dyDescent="0.25">
      <c r="Q121" s="5"/>
    </row>
  </sheetData>
  <sheetProtection password="D6D7" sheet="1" objects="1" scenarios="1"/>
  <mergeCells count="121">
    <mergeCell ref="A75:Q75"/>
    <mergeCell ref="A76:Q76"/>
    <mergeCell ref="A77:Q77"/>
    <mergeCell ref="A78:Q78"/>
    <mergeCell ref="A71:Q71"/>
    <mergeCell ref="A72:Q72"/>
    <mergeCell ref="A73:Q73"/>
    <mergeCell ref="A74:Q74"/>
    <mergeCell ref="A70:Q70"/>
    <mergeCell ref="A56:Q56"/>
    <mergeCell ref="A50:Q50"/>
    <mergeCell ref="A51:G51"/>
    <mergeCell ref="A54:G54"/>
    <mergeCell ref="I54:J54"/>
    <mergeCell ref="A49:Q49"/>
    <mergeCell ref="A69:Q69"/>
    <mergeCell ref="A67:Q67"/>
    <mergeCell ref="A68:Q68"/>
    <mergeCell ref="A57:Q57"/>
    <mergeCell ref="C62:Q62"/>
    <mergeCell ref="A63:Q63"/>
    <mergeCell ref="A62:B62"/>
    <mergeCell ref="A61:O61"/>
    <mergeCell ref="A59:O59"/>
    <mergeCell ref="A66:Q66"/>
    <mergeCell ref="A55:Q55"/>
    <mergeCell ref="L54:Q54"/>
    <mergeCell ref="A60:Q60"/>
    <mergeCell ref="A58:Q58"/>
    <mergeCell ref="A64:E64"/>
    <mergeCell ref="F64:Q64"/>
    <mergeCell ref="A65:Q65"/>
    <mergeCell ref="A1:Q1"/>
    <mergeCell ref="A2:Q2"/>
    <mergeCell ref="A4:Q13"/>
    <mergeCell ref="A26:Q26"/>
    <mergeCell ref="A14:Q17"/>
    <mergeCell ref="D18:Q18"/>
    <mergeCell ref="E19:Q19"/>
    <mergeCell ref="A18:C18"/>
    <mergeCell ref="A19:D19"/>
    <mergeCell ref="A24:B24"/>
    <mergeCell ref="D23:H23"/>
    <mergeCell ref="J23:Q23"/>
    <mergeCell ref="C24:Q24"/>
    <mergeCell ref="A20:C20"/>
    <mergeCell ref="J25:Q25"/>
    <mergeCell ref="D20:Q20"/>
    <mergeCell ref="A21:C21"/>
    <mergeCell ref="D21:Q21"/>
    <mergeCell ref="A25:I25"/>
    <mergeCell ref="M22:Q22"/>
    <mergeCell ref="A23:C23"/>
    <mergeCell ref="A3:Q3"/>
    <mergeCell ref="T29:W29"/>
    <mergeCell ref="X29:AF29"/>
    <mergeCell ref="H22:K22"/>
    <mergeCell ref="B22:F22"/>
    <mergeCell ref="A27:I27"/>
    <mergeCell ref="O31:Q31"/>
    <mergeCell ref="A31:N31"/>
    <mergeCell ref="J27:Q27"/>
    <mergeCell ref="A38:Q38"/>
    <mergeCell ref="E28:G28"/>
    <mergeCell ref="H28:I28"/>
    <mergeCell ref="J28:L28"/>
    <mergeCell ref="A28:D28"/>
    <mergeCell ref="A43:Q43"/>
    <mergeCell ref="A47:Q47"/>
    <mergeCell ref="M28:Q29"/>
    <mergeCell ref="O40:Q40"/>
    <mergeCell ref="O44:Q44"/>
    <mergeCell ref="L44:M44"/>
    <mergeCell ref="A48:G48"/>
    <mergeCell ref="I51:J51"/>
    <mergeCell ref="A53:Q53"/>
    <mergeCell ref="A52:Q52"/>
    <mergeCell ref="L51:M51"/>
    <mergeCell ref="O51:Q51"/>
    <mergeCell ref="L48:M48"/>
    <mergeCell ref="O48:Q48"/>
    <mergeCell ref="I40:J40"/>
    <mergeCell ref="A40:G40"/>
    <mergeCell ref="A42:Q42"/>
    <mergeCell ref="A46:Q46"/>
    <mergeCell ref="A44:G44"/>
    <mergeCell ref="M45:Q45"/>
    <mergeCell ref="A45:L45"/>
    <mergeCell ref="A34:Q34"/>
    <mergeCell ref="I44:J44"/>
    <mergeCell ref="I48:J48"/>
    <mergeCell ref="A92:Q94"/>
    <mergeCell ref="A84:Q84"/>
    <mergeCell ref="A85:Q85"/>
    <mergeCell ref="A88:Q88"/>
    <mergeCell ref="A79:Q79"/>
    <mergeCell ref="A80:Q80"/>
    <mergeCell ref="A81:Q81"/>
    <mergeCell ref="B89:Q89"/>
    <mergeCell ref="B91:Q91"/>
    <mergeCell ref="B90:Q90"/>
    <mergeCell ref="A82:Q83"/>
    <mergeCell ref="A86:Q87"/>
    <mergeCell ref="A39:Q39"/>
    <mergeCell ref="A35:Q35"/>
    <mergeCell ref="A41:I41"/>
    <mergeCell ref="J41:Q41"/>
    <mergeCell ref="L36:Q36"/>
    <mergeCell ref="E29:G29"/>
    <mergeCell ref="L40:M40"/>
    <mergeCell ref="A36:G36"/>
    <mergeCell ref="I36:J36"/>
    <mergeCell ref="A37:Q37"/>
    <mergeCell ref="H29:I29"/>
    <mergeCell ref="J29:L29"/>
    <mergeCell ref="A30:D30"/>
    <mergeCell ref="E30:G30"/>
    <mergeCell ref="H30:I30"/>
    <mergeCell ref="J30:Q30"/>
    <mergeCell ref="A32:Q32"/>
    <mergeCell ref="A33:Q33"/>
  </mergeCells>
  <phoneticPr fontId="8" type="noConversion"/>
  <dataValidations disablePrompts="1" count="1">
    <dataValidation type="list" allowBlank="1" showInputMessage="1" showErrorMessage="1" sqref="P59 H36 K36 H40 K40 N40 H44 K44 N44 H48 K48 N48 H51 K51 N51 H54 K54 P61">
      <formula1>"✓, -----"</formula1>
    </dataValidation>
  </dataValidations>
  <pageMargins left="0.75" right="0.75" top="1" bottom="1" header="0" footer="0"/>
  <pageSetup orientation="portrait" r:id="rId1"/>
  <headerFooter>
    <oddFooter xml:space="preserve">&amp;LFor Official Government Use Only
USDA, AMS, FVP, Fresh Products Branch
&amp;RJanuary 26, 2012
Page &amp;P
</oddFooter>
  </headerFooter>
  <rowBreaks count="1" manualBreakCount="1">
    <brk id="6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sheetPr>
  <dimension ref="A1:P96"/>
  <sheetViews>
    <sheetView view="pageLayout" zoomScaleNormal="90" workbookViewId="0">
      <selection activeCell="A3" sqref="A3:Q3"/>
    </sheetView>
  </sheetViews>
  <sheetFormatPr defaultColWidth="9.109375" defaultRowHeight="13.2" x14ac:dyDescent="0.25"/>
  <cols>
    <col min="1" max="1" width="6.109375" style="72" customWidth="1"/>
    <col min="2" max="2" width="5.88671875" style="72" customWidth="1"/>
    <col min="3" max="3" width="4.5546875" style="72" customWidth="1"/>
    <col min="4" max="4" width="2.6640625" style="72" customWidth="1"/>
    <col min="5" max="5" width="5" style="72" customWidth="1"/>
    <col min="6" max="6" width="2.6640625" style="72" customWidth="1"/>
    <col min="7" max="7" width="6.5546875" style="72" customWidth="1"/>
    <col min="8" max="8" width="2.6640625" style="72" customWidth="1"/>
    <col min="9" max="9" width="2.109375" style="72" customWidth="1"/>
    <col min="10" max="10" width="6" style="72" customWidth="1"/>
    <col min="11" max="11" width="6.44140625" style="72" customWidth="1"/>
    <col min="12" max="12" width="11.33203125" style="72" customWidth="1"/>
    <col min="13" max="13" width="11.5546875" style="72" customWidth="1"/>
    <col min="14" max="14" width="5.33203125" style="72" customWidth="1"/>
    <col min="15" max="15" width="5.5546875" style="72" customWidth="1"/>
    <col min="16" max="16384" width="9.109375" style="72"/>
  </cols>
  <sheetData>
    <row r="1" spans="1:15" ht="21" x14ac:dyDescent="0.4">
      <c r="A1" s="257" t="s">
        <v>48</v>
      </c>
      <c r="B1" s="257"/>
      <c r="C1" s="257"/>
      <c r="D1" s="257"/>
      <c r="E1" s="258"/>
      <c r="F1" s="258"/>
      <c r="G1" s="258"/>
      <c r="H1" s="258"/>
      <c r="I1" s="258"/>
      <c r="J1" s="258"/>
      <c r="K1" s="258"/>
      <c r="L1" s="258"/>
      <c r="M1" s="258"/>
      <c r="N1" s="258"/>
      <c r="O1" s="258"/>
    </row>
    <row r="2" spans="1:15" ht="30" customHeight="1" x14ac:dyDescent="0.25">
      <c r="A2" s="231" t="s">
        <v>49</v>
      </c>
      <c r="B2" s="231"/>
      <c r="C2" s="231"/>
      <c r="D2" s="231"/>
      <c r="E2" s="231"/>
      <c r="F2" s="231"/>
      <c r="G2" s="231"/>
      <c r="H2" s="231"/>
      <c r="I2" s="231"/>
      <c r="J2" s="231"/>
      <c r="K2" s="231"/>
      <c r="L2" s="231"/>
      <c r="M2" s="231"/>
      <c r="N2" s="231"/>
      <c r="O2" s="231"/>
    </row>
    <row r="3" spans="1:15" s="100" customFormat="1" ht="27.6" x14ac:dyDescent="0.25">
      <c r="A3" s="251" t="s">
        <v>54</v>
      </c>
      <c r="B3" s="252"/>
      <c r="C3" s="252"/>
      <c r="D3" s="252"/>
      <c r="E3" s="252"/>
      <c r="F3" s="252"/>
      <c r="G3" s="252"/>
      <c r="H3" s="252"/>
      <c r="I3" s="252"/>
      <c r="J3" s="253"/>
      <c r="K3" s="94" t="s">
        <v>53</v>
      </c>
      <c r="L3" s="92" t="s">
        <v>342</v>
      </c>
      <c r="M3" s="93" t="s">
        <v>341</v>
      </c>
      <c r="N3" s="92" t="s">
        <v>51</v>
      </c>
      <c r="O3" s="92" t="s">
        <v>50</v>
      </c>
    </row>
    <row r="4" spans="1:15" ht="15" customHeight="1" x14ac:dyDescent="0.25">
      <c r="A4" s="249" t="s">
        <v>223</v>
      </c>
      <c r="B4" s="292" t="s">
        <v>369</v>
      </c>
      <c r="C4" s="293"/>
      <c r="D4" s="293"/>
      <c r="E4" s="293"/>
      <c r="F4" s="293"/>
      <c r="G4" s="293"/>
      <c r="H4" s="293"/>
      <c r="I4" s="293"/>
      <c r="J4" s="294"/>
      <c r="K4" s="235"/>
      <c r="L4" s="232"/>
      <c r="M4" s="226"/>
      <c r="N4" s="259"/>
      <c r="O4" s="220" t="s">
        <v>58</v>
      </c>
    </row>
    <row r="5" spans="1:15" ht="15" customHeight="1" x14ac:dyDescent="0.25">
      <c r="A5" s="250"/>
      <c r="B5" s="295"/>
      <c r="C5" s="296"/>
      <c r="D5" s="296"/>
      <c r="E5" s="296"/>
      <c r="F5" s="296"/>
      <c r="G5" s="296"/>
      <c r="H5" s="296"/>
      <c r="I5" s="296"/>
      <c r="J5" s="297"/>
      <c r="K5" s="235"/>
      <c r="L5" s="233"/>
      <c r="M5" s="235"/>
      <c r="N5" s="260"/>
      <c r="O5" s="221"/>
    </row>
    <row r="6" spans="1:15" ht="15" customHeight="1" x14ac:dyDescent="0.25">
      <c r="A6" s="254"/>
      <c r="B6" s="298"/>
      <c r="C6" s="299"/>
      <c r="D6" s="299"/>
      <c r="E6" s="299"/>
      <c r="F6" s="299"/>
      <c r="G6" s="299"/>
      <c r="H6" s="299"/>
      <c r="I6" s="299"/>
      <c r="J6" s="300"/>
      <c r="K6" s="227"/>
      <c r="L6" s="234"/>
      <c r="M6" s="227"/>
      <c r="N6" s="238"/>
      <c r="O6" s="222"/>
    </row>
    <row r="7" spans="1:15" ht="15" customHeight="1" x14ac:dyDescent="0.25">
      <c r="A7" s="249" t="s">
        <v>224</v>
      </c>
      <c r="B7" s="292" t="s">
        <v>268</v>
      </c>
      <c r="C7" s="293"/>
      <c r="D7" s="293"/>
      <c r="E7" s="293"/>
      <c r="F7" s="293"/>
      <c r="G7" s="293"/>
      <c r="H7" s="293"/>
      <c r="I7" s="293"/>
      <c r="J7" s="294"/>
      <c r="K7" s="271"/>
      <c r="L7" s="232"/>
      <c r="M7" s="226"/>
      <c r="N7" s="236"/>
      <c r="O7" s="220" t="s">
        <v>58</v>
      </c>
    </row>
    <row r="8" spans="1:15" s="76" customFormat="1" ht="15" customHeight="1" x14ac:dyDescent="0.25">
      <c r="A8" s="250"/>
      <c r="B8" s="295"/>
      <c r="C8" s="296"/>
      <c r="D8" s="296"/>
      <c r="E8" s="296"/>
      <c r="F8" s="296"/>
      <c r="G8" s="296"/>
      <c r="H8" s="296"/>
      <c r="I8" s="296"/>
      <c r="J8" s="297"/>
      <c r="K8" s="272"/>
      <c r="L8" s="233"/>
      <c r="M8" s="235"/>
      <c r="N8" s="237"/>
      <c r="O8" s="221"/>
    </row>
    <row r="9" spans="1:15" ht="15" customHeight="1" x14ac:dyDescent="0.25">
      <c r="A9" s="250"/>
      <c r="B9" s="295"/>
      <c r="C9" s="296"/>
      <c r="D9" s="296"/>
      <c r="E9" s="296"/>
      <c r="F9" s="296"/>
      <c r="G9" s="296"/>
      <c r="H9" s="296"/>
      <c r="I9" s="296"/>
      <c r="J9" s="297"/>
      <c r="K9" s="272"/>
      <c r="L9" s="233"/>
      <c r="M9" s="235"/>
      <c r="N9" s="237"/>
      <c r="O9" s="221"/>
    </row>
    <row r="10" spans="1:15" ht="13.8" x14ac:dyDescent="0.25">
      <c r="A10" s="263"/>
      <c r="B10" s="88" t="s">
        <v>57</v>
      </c>
      <c r="C10" s="266"/>
      <c r="D10" s="266"/>
      <c r="E10" s="266"/>
      <c r="F10" s="266"/>
      <c r="G10" s="266"/>
      <c r="H10" s="266"/>
      <c r="I10" s="266"/>
      <c r="J10" s="267"/>
      <c r="K10" s="272"/>
      <c r="L10" s="233"/>
      <c r="M10" s="235"/>
      <c r="N10" s="237"/>
      <c r="O10" s="221"/>
    </row>
    <row r="11" spans="1:15" ht="6" customHeight="1" x14ac:dyDescent="0.25">
      <c r="A11" s="264"/>
      <c r="B11" s="268"/>
      <c r="C11" s="269"/>
      <c r="D11" s="269"/>
      <c r="E11" s="269"/>
      <c r="F11" s="269"/>
      <c r="G11" s="269"/>
      <c r="H11" s="269"/>
      <c r="I11" s="269"/>
      <c r="J11" s="270"/>
      <c r="K11" s="225"/>
      <c r="L11" s="234"/>
      <c r="M11" s="227"/>
      <c r="N11" s="238"/>
      <c r="O11" s="239"/>
    </row>
    <row r="12" spans="1:15" ht="30" customHeight="1" x14ac:dyDescent="0.25">
      <c r="A12" s="273" t="s">
        <v>227</v>
      </c>
      <c r="B12" s="273"/>
      <c r="C12" s="273"/>
      <c r="D12" s="273"/>
      <c r="E12" s="273"/>
      <c r="F12" s="273"/>
      <c r="G12" s="273"/>
      <c r="H12" s="273"/>
      <c r="I12" s="273"/>
      <c r="J12" s="273"/>
      <c r="K12" s="273"/>
      <c r="L12" s="273"/>
      <c r="M12" s="273"/>
      <c r="N12" s="273"/>
      <c r="O12" s="273"/>
    </row>
    <row r="13" spans="1:15" s="100" customFormat="1" ht="27.6" x14ac:dyDescent="0.25">
      <c r="A13" s="251" t="s">
        <v>54</v>
      </c>
      <c r="B13" s="252"/>
      <c r="C13" s="252"/>
      <c r="D13" s="252"/>
      <c r="E13" s="252"/>
      <c r="F13" s="252"/>
      <c r="G13" s="252"/>
      <c r="H13" s="252"/>
      <c r="I13" s="252"/>
      <c r="J13" s="253"/>
      <c r="K13" s="94" t="s">
        <v>53</v>
      </c>
      <c r="L13" s="95" t="s">
        <v>342</v>
      </c>
      <c r="M13" s="93" t="s">
        <v>341</v>
      </c>
      <c r="N13" s="95" t="s">
        <v>51</v>
      </c>
      <c r="O13" s="95" t="s">
        <v>50</v>
      </c>
    </row>
    <row r="14" spans="1:15" s="99" customFormat="1" ht="15" customHeight="1" x14ac:dyDescent="0.25">
      <c r="A14" s="274" t="s">
        <v>55</v>
      </c>
      <c r="B14" s="292" t="s">
        <v>370</v>
      </c>
      <c r="C14" s="293"/>
      <c r="D14" s="293"/>
      <c r="E14" s="293"/>
      <c r="F14" s="293"/>
      <c r="G14" s="293"/>
      <c r="H14" s="293"/>
      <c r="I14" s="293"/>
      <c r="J14" s="294"/>
      <c r="K14" s="319">
        <v>15</v>
      </c>
      <c r="L14" s="243"/>
      <c r="M14" s="243"/>
      <c r="N14" s="322"/>
      <c r="O14" s="220" t="s">
        <v>58</v>
      </c>
    </row>
    <row r="15" spans="1:15" s="99" customFormat="1" ht="15" customHeight="1" x14ac:dyDescent="0.25">
      <c r="A15" s="301"/>
      <c r="B15" s="298"/>
      <c r="C15" s="299"/>
      <c r="D15" s="299"/>
      <c r="E15" s="299"/>
      <c r="F15" s="299"/>
      <c r="G15" s="299"/>
      <c r="H15" s="299"/>
      <c r="I15" s="299"/>
      <c r="J15" s="300"/>
      <c r="K15" s="320"/>
      <c r="L15" s="321"/>
      <c r="M15" s="321"/>
      <c r="N15" s="323"/>
      <c r="O15" s="222"/>
    </row>
    <row r="16" spans="1:15" s="99" customFormat="1" ht="15" customHeight="1" x14ac:dyDescent="0.25">
      <c r="A16" s="274" t="s">
        <v>56</v>
      </c>
      <c r="B16" s="292" t="s">
        <v>371</v>
      </c>
      <c r="C16" s="293"/>
      <c r="D16" s="293"/>
      <c r="E16" s="293"/>
      <c r="F16" s="293"/>
      <c r="G16" s="293"/>
      <c r="H16" s="293"/>
      <c r="I16" s="293"/>
      <c r="J16" s="294"/>
      <c r="K16" s="220">
        <v>10</v>
      </c>
      <c r="L16" s="243"/>
      <c r="M16" s="245"/>
      <c r="N16" s="246"/>
      <c r="O16" s="248" t="s">
        <v>225</v>
      </c>
    </row>
    <row r="17" spans="1:16" s="99" customFormat="1" ht="15" customHeight="1" x14ac:dyDescent="0.25">
      <c r="A17" s="275"/>
      <c r="B17" s="295"/>
      <c r="C17" s="296"/>
      <c r="D17" s="296"/>
      <c r="E17" s="296"/>
      <c r="F17" s="296"/>
      <c r="G17" s="296"/>
      <c r="H17" s="296"/>
      <c r="I17" s="296"/>
      <c r="J17" s="297"/>
      <c r="K17" s="221"/>
      <c r="L17" s="244"/>
      <c r="M17" s="245"/>
      <c r="N17" s="247"/>
      <c r="O17" s="248"/>
    </row>
    <row r="18" spans="1:16" s="99" customFormat="1" ht="15" customHeight="1" x14ac:dyDescent="0.25">
      <c r="A18" s="275"/>
      <c r="B18" s="295"/>
      <c r="C18" s="296"/>
      <c r="D18" s="296"/>
      <c r="E18" s="296"/>
      <c r="F18" s="296"/>
      <c r="G18" s="296"/>
      <c r="H18" s="296"/>
      <c r="I18" s="296"/>
      <c r="J18" s="297"/>
      <c r="K18" s="221"/>
      <c r="L18" s="244"/>
      <c r="M18" s="245"/>
      <c r="N18" s="247"/>
      <c r="O18" s="248"/>
    </row>
    <row r="19" spans="1:16" ht="30" customHeight="1" x14ac:dyDescent="0.25">
      <c r="A19" s="261" t="s">
        <v>59</v>
      </c>
      <c r="B19" s="261"/>
      <c r="C19" s="261"/>
      <c r="D19" s="261"/>
      <c r="E19" s="261"/>
      <c r="F19" s="261"/>
      <c r="G19" s="261"/>
      <c r="H19" s="261"/>
      <c r="I19" s="261"/>
      <c r="J19" s="261"/>
      <c r="K19" s="261"/>
      <c r="L19" s="261"/>
      <c r="M19" s="261"/>
      <c r="N19" s="261"/>
      <c r="O19" s="261"/>
    </row>
    <row r="20" spans="1:16" s="83" customFormat="1" ht="27.6" x14ac:dyDescent="0.25">
      <c r="A20" s="251" t="s">
        <v>54</v>
      </c>
      <c r="B20" s="252"/>
      <c r="C20" s="252"/>
      <c r="D20" s="252"/>
      <c r="E20" s="252"/>
      <c r="F20" s="252"/>
      <c r="G20" s="252"/>
      <c r="H20" s="252"/>
      <c r="I20" s="252"/>
      <c r="J20" s="253"/>
      <c r="K20" s="94" t="s">
        <v>53</v>
      </c>
      <c r="L20" s="92" t="s">
        <v>342</v>
      </c>
      <c r="M20" s="93" t="s">
        <v>341</v>
      </c>
      <c r="N20" s="92" t="s">
        <v>51</v>
      </c>
      <c r="O20" s="92" t="s">
        <v>50</v>
      </c>
    </row>
    <row r="21" spans="1:16" ht="30" customHeight="1" x14ac:dyDescent="0.25">
      <c r="A21" s="105" t="s">
        <v>60</v>
      </c>
      <c r="B21" s="325" t="s">
        <v>269</v>
      </c>
      <c r="C21" s="326"/>
      <c r="D21" s="326"/>
      <c r="E21" s="326"/>
      <c r="F21" s="326"/>
      <c r="G21" s="326"/>
      <c r="H21" s="326"/>
      <c r="I21" s="326"/>
      <c r="J21" s="327"/>
      <c r="K21" s="106">
        <v>10</v>
      </c>
      <c r="L21" s="98"/>
      <c r="M21" s="98"/>
      <c r="N21" s="97"/>
      <c r="O21" s="85" t="s">
        <v>225</v>
      </c>
    </row>
    <row r="22" spans="1:16" ht="15" customHeight="1" x14ac:dyDescent="0.25">
      <c r="A22" s="249" t="s">
        <v>61</v>
      </c>
      <c r="B22" s="292" t="s">
        <v>345</v>
      </c>
      <c r="C22" s="293"/>
      <c r="D22" s="293"/>
      <c r="E22" s="293"/>
      <c r="F22" s="293"/>
      <c r="G22" s="293"/>
      <c r="H22" s="293"/>
      <c r="I22" s="293"/>
      <c r="J22" s="294"/>
      <c r="K22" s="220">
        <v>10</v>
      </c>
      <c r="L22" s="240"/>
      <c r="M22" s="240"/>
      <c r="N22" s="223"/>
      <c r="O22" s="220" t="s">
        <v>226</v>
      </c>
      <c r="P22" s="96"/>
    </row>
    <row r="23" spans="1:16" ht="15" customHeight="1" x14ac:dyDescent="0.25">
      <c r="A23" s="250"/>
      <c r="B23" s="295"/>
      <c r="C23" s="296"/>
      <c r="D23" s="296"/>
      <c r="E23" s="296"/>
      <c r="F23" s="296"/>
      <c r="G23" s="296"/>
      <c r="H23" s="296"/>
      <c r="I23" s="296"/>
      <c r="J23" s="297"/>
      <c r="K23" s="221"/>
      <c r="L23" s="241"/>
      <c r="M23" s="241"/>
      <c r="N23" s="224"/>
      <c r="O23" s="221"/>
      <c r="P23" s="96"/>
    </row>
    <row r="24" spans="1:16" ht="15" customHeight="1" x14ac:dyDescent="0.25">
      <c r="A24" s="262"/>
      <c r="B24" s="298"/>
      <c r="C24" s="299"/>
      <c r="D24" s="299"/>
      <c r="E24" s="299"/>
      <c r="F24" s="299"/>
      <c r="G24" s="299"/>
      <c r="H24" s="299"/>
      <c r="I24" s="299"/>
      <c r="J24" s="300"/>
      <c r="K24" s="222"/>
      <c r="L24" s="242"/>
      <c r="M24" s="242"/>
      <c r="N24" s="225"/>
      <c r="O24" s="222"/>
      <c r="P24" s="96"/>
    </row>
    <row r="25" spans="1:16" ht="15" customHeight="1" x14ac:dyDescent="0.25">
      <c r="A25" s="249" t="s">
        <v>62</v>
      </c>
      <c r="B25" s="292" t="s">
        <v>270</v>
      </c>
      <c r="C25" s="293"/>
      <c r="D25" s="293"/>
      <c r="E25" s="293"/>
      <c r="F25" s="293"/>
      <c r="G25" s="293"/>
      <c r="H25" s="293"/>
      <c r="I25" s="293"/>
      <c r="J25" s="294"/>
      <c r="K25" s="221">
        <v>15</v>
      </c>
      <c r="L25" s="228"/>
      <c r="M25" s="228"/>
      <c r="N25" s="226"/>
      <c r="O25" s="220" t="s">
        <v>58</v>
      </c>
    </row>
    <row r="26" spans="1:16" ht="15" customHeight="1" x14ac:dyDescent="0.25">
      <c r="A26" s="250"/>
      <c r="B26" s="298"/>
      <c r="C26" s="299"/>
      <c r="D26" s="299"/>
      <c r="E26" s="299"/>
      <c r="F26" s="299"/>
      <c r="G26" s="299"/>
      <c r="H26" s="299"/>
      <c r="I26" s="299"/>
      <c r="J26" s="300"/>
      <c r="K26" s="221"/>
      <c r="L26" s="230"/>
      <c r="M26" s="230"/>
      <c r="N26" s="235"/>
      <c r="O26" s="221"/>
    </row>
    <row r="27" spans="1:16" ht="15" customHeight="1" x14ac:dyDescent="0.25">
      <c r="A27" s="249" t="s">
        <v>63</v>
      </c>
      <c r="B27" s="292" t="s">
        <v>271</v>
      </c>
      <c r="C27" s="293"/>
      <c r="D27" s="293"/>
      <c r="E27" s="293"/>
      <c r="F27" s="293"/>
      <c r="G27" s="293"/>
      <c r="H27" s="293"/>
      <c r="I27" s="293"/>
      <c r="J27" s="294"/>
      <c r="K27" s="220">
        <v>15</v>
      </c>
      <c r="L27" s="228"/>
      <c r="M27" s="228"/>
      <c r="N27" s="226"/>
      <c r="O27" s="220"/>
    </row>
    <row r="28" spans="1:16" ht="15" customHeight="1" x14ac:dyDescent="0.25">
      <c r="A28" s="254"/>
      <c r="B28" s="298"/>
      <c r="C28" s="299"/>
      <c r="D28" s="299"/>
      <c r="E28" s="299"/>
      <c r="F28" s="299"/>
      <c r="G28" s="299"/>
      <c r="H28" s="299"/>
      <c r="I28" s="299"/>
      <c r="J28" s="300"/>
      <c r="K28" s="222"/>
      <c r="L28" s="229"/>
      <c r="M28" s="229"/>
      <c r="N28" s="227"/>
      <c r="O28" s="222"/>
    </row>
    <row r="29" spans="1:16" ht="15" customHeight="1" x14ac:dyDescent="0.25">
      <c r="A29" s="328" t="s">
        <v>64</v>
      </c>
      <c r="B29" s="292" t="s">
        <v>272</v>
      </c>
      <c r="C29" s="293"/>
      <c r="D29" s="293"/>
      <c r="E29" s="293"/>
      <c r="F29" s="293"/>
      <c r="G29" s="293"/>
      <c r="H29" s="293"/>
      <c r="I29" s="293"/>
      <c r="J29" s="294"/>
      <c r="K29" s="248">
        <v>15</v>
      </c>
      <c r="L29" s="265"/>
      <c r="M29" s="255"/>
      <c r="N29" s="265"/>
      <c r="O29" s="265"/>
    </row>
    <row r="30" spans="1:16" ht="15" customHeight="1" x14ac:dyDescent="0.25">
      <c r="A30" s="328"/>
      <c r="B30" s="295"/>
      <c r="C30" s="296"/>
      <c r="D30" s="296"/>
      <c r="E30" s="296"/>
      <c r="F30" s="296"/>
      <c r="G30" s="296"/>
      <c r="H30" s="296"/>
      <c r="I30" s="296"/>
      <c r="J30" s="297"/>
      <c r="K30" s="248"/>
      <c r="L30" s="265"/>
      <c r="M30" s="255"/>
      <c r="N30" s="265"/>
      <c r="O30" s="265"/>
    </row>
    <row r="31" spans="1:16" ht="15" customHeight="1" x14ac:dyDescent="0.25">
      <c r="A31" s="328"/>
      <c r="B31" s="298"/>
      <c r="C31" s="299"/>
      <c r="D31" s="299"/>
      <c r="E31" s="299"/>
      <c r="F31" s="299"/>
      <c r="G31" s="299"/>
      <c r="H31" s="299"/>
      <c r="I31" s="299"/>
      <c r="J31" s="300"/>
      <c r="K31" s="248"/>
      <c r="L31" s="265"/>
      <c r="M31" s="255"/>
      <c r="N31" s="265"/>
      <c r="O31" s="265"/>
    </row>
    <row r="32" spans="1:16" s="83" customFormat="1" ht="27.6" x14ac:dyDescent="0.25">
      <c r="A32" s="251" t="s">
        <v>54</v>
      </c>
      <c r="B32" s="252"/>
      <c r="C32" s="252"/>
      <c r="D32" s="252"/>
      <c r="E32" s="252"/>
      <c r="F32" s="252"/>
      <c r="G32" s="252"/>
      <c r="H32" s="252"/>
      <c r="I32" s="252"/>
      <c r="J32" s="253"/>
      <c r="K32" s="94" t="s">
        <v>53</v>
      </c>
      <c r="L32" s="95" t="s">
        <v>342</v>
      </c>
      <c r="M32" s="93" t="s">
        <v>341</v>
      </c>
      <c r="N32" s="95" t="s">
        <v>51</v>
      </c>
      <c r="O32" s="95" t="s">
        <v>50</v>
      </c>
    </row>
    <row r="33" spans="1:15" ht="15" customHeight="1" x14ac:dyDescent="0.25">
      <c r="A33" s="249" t="s">
        <v>65</v>
      </c>
      <c r="B33" s="292" t="s">
        <v>346</v>
      </c>
      <c r="C33" s="293"/>
      <c r="D33" s="293"/>
      <c r="E33" s="293"/>
      <c r="F33" s="293"/>
      <c r="G33" s="293"/>
      <c r="H33" s="293"/>
      <c r="I33" s="293"/>
      <c r="J33" s="294"/>
      <c r="K33" s="220">
        <v>10</v>
      </c>
      <c r="L33" s="228"/>
      <c r="M33" s="228"/>
      <c r="N33" s="228"/>
      <c r="O33" s="228"/>
    </row>
    <row r="34" spans="1:15" s="76" customFormat="1" ht="15" customHeight="1" x14ac:dyDescent="0.25">
      <c r="A34" s="250"/>
      <c r="B34" s="295"/>
      <c r="C34" s="296"/>
      <c r="D34" s="296"/>
      <c r="E34" s="296"/>
      <c r="F34" s="296"/>
      <c r="G34" s="296"/>
      <c r="H34" s="296"/>
      <c r="I34" s="296"/>
      <c r="J34" s="297"/>
      <c r="K34" s="221"/>
      <c r="L34" s="230"/>
      <c r="M34" s="230"/>
      <c r="N34" s="230"/>
      <c r="O34" s="230"/>
    </row>
    <row r="35" spans="1:15" ht="15" customHeight="1" x14ac:dyDescent="0.25">
      <c r="A35" s="250"/>
      <c r="B35" s="295"/>
      <c r="C35" s="296"/>
      <c r="D35" s="296"/>
      <c r="E35" s="296"/>
      <c r="F35" s="296"/>
      <c r="G35" s="296"/>
      <c r="H35" s="296"/>
      <c r="I35" s="296"/>
      <c r="J35" s="297"/>
      <c r="K35" s="221"/>
      <c r="L35" s="230"/>
      <c r="M35" s="230"/>
      <c r="N35" s="230"/>
      <c r="O35" s="230"/>
    </row>
    <row r="36" spans="1:15" ht="15" customHeight="1" x14ac:dyDescent="0.25">
      <c r="A36" s="254"/>
      <c r="B36" s="298"/>
      <c r="C36" s="299"/>
      <c r="D36" s="299"/>
      <c r="E36" s="299"/>
      <c r="F36" s="299"/>
      <c r="G36" s="299"/>
      <c r="H36" s="299"/>
      <c r="I36" s="299"/>
      <c r="J36" s="300"/>
      <c r="K36" s="222"/>
      <c r="L36" s="229"/>
      <c r="M36" s="229"/>
      <c r="N36" s="229"/>
      <c r="O36" s="229"/>
    </row>
    <row r="37" spans="1:15" ht="15" customHeight="1" x14ac:dyDescent="0.25">
      <c r="A37" s="249" t="s">
        <v>66</v>
      </c>
      <c r="B37" s="292" t="s">
        <v>273</v>
      </c>
      <c r="C37" s="293"/>
      <c r="D37" s="293"/>
      <c r="E37" s="293"/>
      <c r="F37" s="293"/>
      <c r="G37" s="293"/>
      <c r="H37" s="293"/>
      <c r="I37" s="293"/>
      <c r="J37" s="294"/>
      <c r="K37" s="220">
        <v>15</v>
      </c>
      <c r="L37" s="228"/>
      <c r="M37" s="228"/>
      <c r="N37" s="228"/>
      <c r="O37" s="228"/>
    </row>
    <row r="38" spans="1:15" ht="15" customHeight="1" x14ac:dyDescent="0.25">
      <c r="A38" s="250"/>
      <c r="B38" s="295"/>
      <c r="C38" s="296"/>
      <c r="D38" s="296"/>
      <c r="E38" s="296"/>
      <c r="F38" s="296"/>
      <c r="G38" s="296"/>
      <c r="H38" s="296"/>
      <c r="I38" s="296"/>
      <c r="J38" s="297"/>
      <c r="K38" s="221"/>
      <c r="L38" s="230"/>
      <c r="M38" s="230"/>
      <c r="N38" s="230"/>
      <c r="O38" s="230"/>
    </row>
    <row r="39" spans="1:15" ht="15" customHeight="1" x14ac:dyDescent="0.25">
      <c r="A39" s="250"/>
      <c r="B39" s="295"/>
      <c r="C39" s="296"/>
      <c r="D39" s="296"/>
      <c r="E39" s="296"/>
      <c r="F39" s="296"/>
      <c r="G39" s="296"/>
      <c r="H39" s="296"/>
      <c r="I39" s="296"/>
      <c r="J39" s="297"/>
      <c r="K39" s="221"/>
      <c r="L39" s="230"/>
      <c r="M39" s="230"/>
      <c r="N39" s="230"/>
      <c r="O39" s="230"/>
    </row>
    <row r="40" spans="1:15" ht="15" customHeight="1" x14ac:dyDescent="0.25">
      <c r="A40" s="250"/>
      <c r="B40" s="295"/>
      <c r="C40" s="296"/>
      <c r="D40" s="296"/>
      <c r="E40" s="296"/>
      <c r="F40" s="296"/>
      <c r="G40" s="296"/>
      <c r="H40" s="296"/>
      <c r="I40" s="296"/>
      <c r="J40" s="297"/>
      <c r="K40" s="221"/>
      <c r="L40" s="230"/>
      <c r="M40" s="230"/>
      <c r="N40" s="230"/>
      <c r="O40" s="230"/>
    </row>
    <row r="41" spans="1:15" ht="15" customHeight="1" x14ac:dyDescent="0.25">
      <c r="A41" s="254"/>
      <c r="B41" s="298"/>
      <c r="C41" s="299"/>
      <c r="D41" s="299"/>
      <c r="E41" s="299"/>
      <c r="F41" s="299"/>
      <c r="G41" s="299"/>
      <c r="H41" s="299"/>
      <c r="I41" s="299"/>
      <c r="J41" s="300"/>
      <c r="K41" s="222"/>
      <c r="L41" s="229"/>
      <c r="M41" s="229"/>
      <c r="N41" s="229"/>
      <c r="O41" s="229"/>
    </row>
    <row r="42" spans="1:15" ht="15" customHeight="1" x14ac:dyDescent="0.25">
      <c r="A42" s="249" t="s">
        <v>67</v>
      </c>
      <c r="B42" s="292" t="s">
        <v>274</v>
      </c>
      <c r="C42" s="293"/>
      <c r="D42" s="293"/>
      <c r="E42" s="293"/>
      <c r="F42" s="293"/>
      <c r="G42" s="293"/>
      <c r="H42" s="293"/>
      <c r="I42" s="293"/>
      <c r="J42" s="294"/>
      <c r="K42" s="220">
        <v>10</v>
      </c>
      <c r="L42" s="228"/>
      <c r="M42" s="228"/>
      <c r="N42" s="228"/>
      <c r="O42" s="220" t="s">
        <v>225</v>
      </c>
    </row>
    <row r="43" spans="1:15" s="76" customFormat="1" ht="15" customHeight="1" x14ac:dyDescent="0.25">
      <c r="A43" s="250"/>
      <c r="B43" s="295"/>
      <c r="C43" s="296"/>
      <c r="D43" s="296"/>
      <c r="E43" s="296"/>
      <c r="F43" s="296"/>
      <c r="G43" s="296"/>
      <c r="H43" s="296"/>
      <c r="I43" s="296"/>
      <c r="J43" s="297"/>
      <c r="K43" s="221"/>
      <c r="L43" s="230"/>
      <c r="M43" s="230"/>
      <c r="N43" s="230"/>
      <c r="O43" s="221"/>
    </row>
    <row r="44" spans="1:15" ht="15" customHeight="1" x14ac:dyDescent="0.25">
      <c r="A44" s="254"/>
      <c r="B44" s="298"/>
      <c r="C44" s="299"/>
      <c r="D44" s="299"/>
      <c r="E44" s="299"/>
      <c r="F44" s="299"/>
      <c r="G44" s="299"/>
      <c r="H44" s="299"/>
      <c r="I44" s="299"/>
      <c r="J44" s="300"/>
      <c r="K44" s="222"/>
      <c r="L44" s="229"/>
      <c r="M44" s="229"/>
      <c r="N44" s="229"/>
      <c r="O44" s="222"/>
    </row>
    <row r="45" spans="1:15" ht="15" customHeight="1" x14ac:dyDescent="0.25">
      <c r="A45" s="249" t="s">
        <v>68</v>
      </c>
      <c r="B45" s="292" t="s">
        <v>275</v>
      </c>
      <c r="C45" s="293"/>
      <c r="D45" s="293"/>
      <c r="E45" s="293"/>
      <c r="F45" s="293"/>
      <c r="G45" s="293"/>
      <c r="H45" s="293"/>
      <c r="I45" s="293"/>
      <c r="J45" s="294"/>
      <c r="K45" s="220">
        <v>10</v>
      </c>
      <c r="L45" s="228"/>
      <c r="M45" s="228"/>
      <c r="N45" s="228"/>
      <c r="O45" s="220" t="s">
        <v>226</v>
      </c>
    </row>
    <row r="46" spans="1:15" s="83" customFormat="1" ht="13.8" x14ac:dyDescent="0.25">
      <c r="A46" s="250"/>
      <c r="B46" s="295"/>
      <c r="C46" s="296"/>
      <c r="D46" s="296"/>
      <c r="E46" s="296"/>
      <c r="F46" s="296"/>
      <c r="G46" s="296"/>
      <c r="H46" s="296"/>
      <c r="I46" s="296"/>
      <c r="J46" s="297"/>
      <c r="K46" s="221"/>
      <c r="L46" s="230"/>
      <c r="M46" s="230"/>
      <c r="N46" s="230"/>
      <c r="O46" s="221"/>
    </row>
    <row r="47" spans="1:15" ht="15" customHeight="1" x14ac:dyDescent="0.25">
      <c r="A47" s="254"/>
      <c r="B47" s="298"/>
      <c r="C47" s="299"/>
      <c r="D47" s="299"/>
      <c r="E47" s="299"/>
      <c r="F47" s="299"/>
      <c r="G47" s="299"/>
      <c r="H47" s="299"/>
      <c r="I47" s="299"/>
      <c r="J47" s="300"/>
      <c r="K47" s="222"/>
      <c r="L47" s="229"/>
      <c r="M47" s="229"/>
      <c r="N47" s="229"/>
      <c r="O47" s="222"/>
    </row>
    <row r="48" spans="1:15" ht="15" customHeight="1" x14ac:dyDescent="0.25">
      <c r="A48" s="249" t="s">
        <v>69</v>
      </c>
      <c r="B48" s="292" t="s">
        <v>276</v>
      </c>
      <c r="C48" s="293"/>
      <c r="D48" s="293"/>
      <c r="E48" s="293"/>
      <c r="F48" s="293"/>
      <c r="G48" s="293"/>
      <c r="H48" s="293"/>
      <c r="I48" s="293"/>
      <c r="J48" s="294"/>
      <c r="K48" s="221">
        <v>15</v>
      </c>
      <c r="L48" s="228"/>
      <c r="M48" s="228"/>
      <c r="N48" s="259"/>
      <c r="O48" s="220" t="s">
        <v>226</v>
      </c>
    </row>
    <row r="49" spans="1:15" ht="15" customHeight="1" x14ac:dyDescent="0.25">
      <c r="A49" s="324"/>
      <c r="B49" s="295"/>
      <c r="C49" s="296"/>
      <c r="D49" s="296"/>
      <c r="E49" s="296"/>
      <c r="F49" s="296"/>
      <c r="G49" s="296"/>
      <c r="H49" s="296"/>
      <c r="I49" s="296"/>
      <c r="J49" s="297"/>
      <c r="K49" s="221"/>
      <c r="L49" s="230"/>
      <c r="M49" s="230"/>
      <c r="N49" s="260"/>
      <c r="O49" s="221"/>
    </row>
    <row r="50" spans="1:15" s="76" customFormat="1" ht="15" customHeight="1" x14ac:dyDescent="0.25">
      <c r="A50" s="324"/>
      <c r="B50" s="295"/>
      <c r="C50" s="296"/>
      <c r="D50" s="296"/>
      <c r="E50" s="296"/>
      <c r="F50" s="296"/>
      <c r="G50" s="296"/>
      <c r="H50" s="296"/>
      <c r="I50" s="296"/>
      <c r="J50" s="297"/>
      <c r="K50" s="221"/>
      <c r="L50" s="230"/>
      <c r="M50" s="230"/>
      <c r="N50" s="260"/>
      <c r="O50" s="221"/>
    </row>
    <row r="51" spans="1:15" ht="15" customHeight="1" x14ac:dyDescent="0.25">
      <c r="A51" s="262"/>
      <c r="B51" s="298"/>
      <c r="C51" s="299"/>
      <c r="D51" s="299"/>
      <c r="E51" s="299"/>
      <c r="F51" s="299"/>
      <c r="G51" s="299"/>
      <c r="H51" s="299"/>
      <c r="I51" s="299"/>
      <c r="J51" s="300"/>
      <c r="K51" s="222"/>
      <c r="L51" s="229"/>
      <c r="M51" s="229"/>
      <c r="N51" s="238"/>
      <c r="O51" s="222"/>
    </row>
    <row r="52" spans="1:15" ht="15" customHeight="1" x14ac:dyDescent="0.25">
      <c r="A52" s="282" t="s">
        <v>70</v>
      </c>
      <c r="B52" s="292" t="s">
        <v>347</v>
      </c>
      <c r="C52" s="293"/>
      <c r="D52" s="293"/>
      <c r="E52" s="293"/>
      <c r="F52" s="293"/>
      <c r="G52" s="293"/>
      <c r="H52" s="293"/>
      <c r="I52" s="293"/>
      <c r="J52" s="294"/>
      <c r="K52" s="220">
        <v>15</v>
      </c>
      <c r="L52" s="228"/>
      <c r="M52" s="228"/>
      <c r="N52" s="277"/>
      <c r="O52" s="220" t="s">
        <v>226</v>
      </c>
    </row>
    <row r="53" spans="1:15" ht="15" customHeight="1" x14ac:dyDescent="0.25">
      <c r="A53" s="283"/>
      <c r="B53" s="295"/>
      <c r="C53" s="296"/>
      <c r="D53" s="296"/>
      <c r="E53" s="296"/>
      <c r="F53" s="296"/>
      <c r="G53" s="296"/>
      <c r="H53" s="296"/>
      <c r="I53" s="296"/>
      <c r="J53" s="297"/>
      <c r="K53" s="221"/>
      <c r="L53" s="230"/>
      <c r="M53" s="230"/>
      <c r="N53" s="278"/>
      <c r="O53" s="221"/>
    </row>
    <row r="54" spans="1:15" ht="15" customHeight="1" x14ac:dyDescent="0.25">
      <c r="A54" s="283"/>
      <c r="B54" s="295"/>
      <c r="C54" s="296"/>
      <c r="D54" s="296"/>
      <c r="E54" s="296"/>
      <c r="F54" s="296"/>
      <c r="G54" s="296"/>
      <c r="H54" s="296"/>
      <c r="I54" s="296"/>
      <c r="J54" s="297"/>
      <c r="K54" s="221"/>
      <c r="L54" s="230"/>
      <c r="M54" s="230"/>
      <c r="N54" s="278"/>
      <c r="O54" s="221"/>
    </row>
    <row r="55" spans="1:15" s="76" customFormat="1" ht="15" customHeight="1" x14ac:dyDescent="0.25">
      <c r="A55" s="283"/>
      <c r="B55" s="295"/>
      <c r="C55" s="296"/>
      <c r="D55" s="296"/>
      <c r="E55" s="296"/>
      <c r="F55" s="296"/>
      <c r="G55" s="296"/>
      <c r="H55" s="296"/>
      <c r="I55" s="296"/>
      <c r="J55" s="297"/>
      <c r="K55" s="221"/>
      <c r="L55" s="230"/>
      <c r="M55" s="230"/>
      <c r="N55" s="278"/>
      <c r="O55" s="221"/>
    </row>
    <row r="56" spans="1:15" s="76" customFormat="1" ht="15" customHeight="1" x14ac:dyDescent="0.25">
      <c r="A56" s="283"/>
      <c r="B56" s="295"/>
      <c r="C56" s="296"/>
      <c r="D56" s="296"/>
      <c r="E56" s="296"/>
      <c r="F56" s="296"/>
      <c r="G56" s="296"/>
      <c r="H56" s="296"/>
      <c r="I56" s="296"/>
      <c r="J56" s="297"/>
      <c r="K56" s="221"/>
      <c r="L56" s="230"/>
      <c r="M56" s="230"/>
      <c r="N56" s="278"/>
      <c r="O56" s="221"/>
    </row>
    <row r="57" spans="1:15" ht="15" customHeight="1" x14ac:dyDescent="0.25">
      <c r="A57" s="284"/>
      <c r="B57" s="298"/>
      <c r="C57" s="299"/>
      <c r="D57" s="299"/>
      <c r="E57" s="299"/>
      <c r="F57" s="299"/>
      <c r="G57" s="299"/>
      <c r="H57" s="299"/>
      <c r="I57" s="299"/>
      <c r="J57" s="300"/>
      <c r="K57" s="222"/>
      <c r="L57" s="229"/>
      <c r="M57" s="229"/>
      <c r="N57" s="279"/>
      <c r="O57" s="222"/>
    </row>
    <row r="58" spans="1:15" ht="15" customHeight="1" x14ac:dyDescent="0.25">
      <c r="A58" s="282" t="s">
        <v>71</v>
      </c>
      <c r="B58" s="292" t="s">
        <v>348</v>
      </c>
      <c r="C58" s="293"/>
      <c r="D58" s="293"/>
      <c r="E58" s="293"/>
      <c r="F58" s="293"/>
      <c r="G58" s="293"/>
      <c r="H58" s="293"/>
      <c r="I58" s="293"/>
      <c r="J58" s="294"/>
      <c r="K58" s="220">
        <v>5</v>
      </c>
      <c r="L58" s="228"/>
      <c r="M58" s="228"/>
      <c r="N58" s="277"/>
      <c r="O58" s="220" t="s">
        <v>226</v>
      </c>
    </row>
    <row r="59" spans="1:15" ht="15" customHeight="1" x14ac:dyDescent="0.25">
      <c r="A59" s="283"/>
      <c r="B59" s="295"/>
      <c r="C59" s="296"/>
      <c r="D59" s="296"/>
      <c r="E59" s="296"/>
      <c r="F59" s="296"/>
      <c r="G59" s="296"/>
      <c r="H59" s="296"/>
      <c r="I59" s="296"/>
      <c r="J59" s="297"/>
      <c r="K59" s="221"/>
      <c r="L59" s="230"/>
      <c r="M59" s="230"/>
      <c r="N59" s="278"/>
      <c r="O59" s="221"/>
    </row>
    <row r="60" spans="1:15" s="76" customFormat="1" ht="15" customHeight="1" x14ac:dyDescent="0.25">
      <c r="A60" s="283"/>
      <c r="B60" s="295"/>
      <c r="C60" s="296"/>
      <c r="D60" s="296"/>
      <c r="E60" s="296"/>
      <c r="F60" s="296"/>
      <c r="G60" s="296"/>
      <c r="H60" s="296"/>
      <c r="I60" s="296"/>
      <c r="J60" s="297"/>
      <c r="K60" s="221"/>
      <c r="L60" s="230"/>
      <c r="M60" s="230"/>
      <c r="N60" s="278"/>
      <c r="O60" s="221"/>
    </row>
    <row r="61" spans="1:15" ht="15" customHeight="1" x14ac:dyDescent="0.25">
      <c r="A61" s="284"/>
      <c r="B61" s="298"/>
      <c r="C61" s="299"/>
      <c r="D61" s="299"/>
      <c r="E61" s="299"/>
      <c r="F61" s="299"/>
      <c r="G61" s="299"/>
      <c r="H61" s="299"/>
      <c r="I61" s="299"/>
      <c r="J61" s="300"/>
      <c r="K61" s="222"/>
      <c r="L61" s="229"/>
      <c r="M61" s="229"/>
      <c r="N61" s="279"/>
      <c r="O61" s="222"/>
    </row>
    <row r="62" spans="1:15" ht="15" customHeight="1" x14ac:dyDescent="0.25">
      <c r="A62" s="282" t="s">
        <v>72</v>
      </c>
      <c r="B62" s="292" t="s">
        <v>277</v>
      </c>
      <c r="C62" s="293"/>
      <c r="D62" s="293"/>
      <c r="E62" s="293"/>
      <c r="F62" s="293"/>
      <c r="G62" s="293"/>
      <c r="H62" s="293"/>
      <c r="I62" s="293"/>
      <c r="J62" s="294"/>
      <c r="K62" s="220">
        <v>10</v>
      </c>
      <c r="L62" s="228"/>
      <c r="M62" s="228"/>
      <c r="N62" s="228"/>
      <c r="O62" s="220" t="s">
        <v>225</v>
      </c>
    </row>
    <row r="63" spans="1:15" ht="15" customHeight="1" x14ac:dyDescent="0.25">
      <c r="A63" s="290"/>
      <c r="B63" s="295"/>
      <c r="C63" s="296"/>
      <c r="D63" s="296"/>
      <c r="E63" s="296"/>
      <c r="F63" s="296"/>
      <c r="G63" s="296"/>
      <c r="H63" s="296"/>
      <c r="I63" s="296"/>
      <c r="J63" s="297"/>
      <c r="K63" s="221"/>
      <c r="L63" s="230"/>
      <c r="M63" s="230"/>
      <c r="N63" s="230"/>
      <c r="O63" s="221"/>
    </row>
    <row r="64" spans="1:15" ht="15" customHeight="1" x14ac:dyDescent="0.25">
      <c r="A64" s="290"/>
      <c r="B64" s="295"/>
      <c r="C64" s="296"/>
      <c r="D64" s="296"/>
      <c r="E64" s="296"/>
      <c r="F64" s="296"/>
      <c r="G64" s="296"/>
      <c r="H64" s="296"/>
      <c r="I64" s="296"/>
      <c r="J64" s="297"/>
      <c r="K64" s="221"/>
      <c r="L64" s="230"/>
      <c r="M64" s="230"/>
      <c r="N64" s="230"/>
      <c r="O64" s="221"/>
    </row>
    <row r="65" spans="1:15" s="76" customFormat="1" ht="15" customHeight="1" x14ac:dyDescent="0.25">
      <c r="A65" s="290"/>
      <c r="B65" s="295"/>
      <c r="C65" s="296"/>
      <c r="D65" s="296"/>
      <c r="E65" s="296"/>
      <c r="F65" s="296"/>
      <c r="G65" s="296"/>
      <c r="H65" s="296"/>
      <c r="I65" s="296"/>
      <c r="J65" s="297"/>
      <c r="K65" s="221"/>
      <c r="L65" s="230"/>
      <c r="M65" s="230"/>
      <c r="N65" s="230"/>
      <c r="O65" s="221"/>
    </row>
    <row r="66" spans="1:15" ht="15" customHeight="1" x14ac:dyDescent="0.25">
      <c r="A66" s="290"/>
      <c r="B66" s="295"/>
      <c r="C66" s="296"/>
      <c r="D66" s="296"/>
      <c r="E66" s="296"/>
      <c r="F66" s="296"/>
      <c r="G66" s="296"/>
      <c r="H66" s="296"/>
      <c r="I66" s="296"/>
      <c r="J66" s="297"/>
      <c r="K66" s="221"/>
      <c r="L66" s="230"/>
      <c r="M66" s="230"/>
      <c r="N66" s="230"/>
      <c r="O66" s="221"/>
    </row>
    <row r="67" spans="1:15" ht="15" customHeight="1" x14ac:dyDescent="0.25">
      <c r="A67" s="290"/>
      <c r="B67" s="295"/>
      <c r="C67" s="296"/>
      <c r="D67" s="296"/>
      <c r="E67" s="296"/>
      <c r="F67" s="296"/>
      <c r="G67" s="296"/>
      <c r="H67" s="296"/>
      <c r="I67" s="296"/>
      <c r="J67" s="297"/>
      <c r="K67" s="221"/>
      <c r="L67" s="230"/>
      <c r="M67" s="230"/>
      <c r="N67" s="230"/>
      <c r="O67" s="221"/>
    </row>
    <row r="68" spans="1:15" ht="15" customHeight="1" x14ac:dyDescent="0.25">
      <c r="A68" s="291"/>
      <c r="B68" s="298"/>
      <c r="C68" s="299"/>
      <c r="D68" s="299"/>
      <c r="E68" s="299"/>
      <c r="F68" s="299"/>
      <c r="G68" s="299"/>
      <c r="H68" s="299"/>
      <c r="I68" s="299"/>
      <c r="J68" s="300"/>
      <c r="K68" s="222"/>
      <c r="L68" s="229"/>
      <c r="M68" s="229"/>
      <c r="N68" s="229"/>
      <c r="O68" s="264"/>
    </row>
    <row r="69" spans="1:15" ht="15" customHeight="1" x14ac:dyDescent="0.25">
      <c r="A69" s="286" t="s">
        <v>73</v>
      </c>
      <c r="B69" s="287"/>
      <c r="C69" s="287"/>
      <c r="D69" s="82"/>
      <c r="E69" s="288"/>
      <c r="F69" s="288"/>
      <c r="G69" s="288"/>
      <c r="H69" s="288"/>
      <c r="I69" s="288"/>
      <c r="J69" s="288"/>
      <c r="K69" s="288"/>
      <c r="L69" s="288"/>
      <c r="M69" s="288"/>
      <c r="N69" s="288"/>
      <c r="O69" s="289"/>
    </row>
    <row r="70" spans="1:15" ht="27" customHeight="1" x14ac:dyDescent="0.25">
      <c r="A70" s="280"/>
      <c r="B70" s="280"/>
      <c r="C70" s="280"/>
      <c r="D70" s="280"/>
      <c r="E70" s="280"/>
      <c r="F70" s="280"/>
      <c r="G70" s="280"/>
      <c r="H70" s="280"/>
      <c r="I70" s="280"/>
      <c r="J70" s="280"/>
      <c r="K70" s="280"/>
      <c r="L70" s="280"/>
      <c r="M70" s="280"/>
      <c r="N70" s="280"/>
      <c r="O70" s="280"/>
    </row>
    <row r="71" spans="1:15" ht="27" customHeight="1" x14ac:dyDescent="0.25">
      <c r="A71" s="280"/>
      <c r="B71" s="280"/>
      <c r="C71" s="280"/>
      <c r="D71" s="280"/>
      <c r="E71" s="280"/>
      <c r="F71" s="280"/>
      <c r="G71" s="280"/>
      <c r="H71" s="280"/>
      <c r="I71" s="280"/>
      <c r="J71" s="280"/>
      <c r="K71" s="280"/>
      <c r="L71" s="280"/>
      <c r="M71" s="280"/>
      <c r="N71" s="280"/>
      <c r="O71" s="280"/>
    </row>
    <row r="72" spans="1:15" ht="27" customHeight="1" x14ac:dyDescent="0.25">
      <c r="A72" s="280"/>
      <c r="B72" s="280"/>
      <c r="C72" s="280"/>
      <c r="D72" s="280"/>
      <c r="E72" s="280"/>
      <c r="F72" s="280"/>
      <c r="G72" s="280"/>
      <c r="H72" s="280"/>
      <c r="I72" s="280"/>
      <c r="J72" s="280"/>
      <c r="K72" s="280"/>
      <c r="L72" s="280"/>
      <c r="M72" s="280"/>
      <c r="N72" s="280"/>
      <c r="O72" s="280"/>
    </row>
    <row r="73" spans="1:15" ht="27" customHeight="1" x14ac:dyDescent="0.25">
      <c r="A73" s="280"/>
      <c r="B73" s="280"/>
      <c r="C73" s="280"/>
      <c r="D73" s="280"/>
      <c r="E73" s="280"/>
      <c r="F73" s="280"/>
      <c r="G73" s="280"/>
      <c r="H73" s="280"/>
      <c r="I73" s="280"/>
      <c r="J73" s="280"/>
      <c r="K73" s="280"/>
      <c r="L73" s="280"/>
      <c r="M73" s="280"/>
      <c r="N73" s="280"/>
      <c r="O73" s="280"/>
    </row>
    <row r="74" spans="1:15" ht="27" customHeight="1" x14ac:dyDescent="0.25">
      <c r="A74" s="280"/>
      <c r="B74" s="280"/>
      <c r="C74" s="280"/>
      <c r="D74" s="280"/>
      <c r="E74" s="280"/>
      <c r="F74" s="280"/>
      <c r="G74" s="280"/>
      <c r="H74" s="280"/>
      <c r="I74" s="280"/>
      <c r="J74" s="280"/>
      <c r="K74" s="280"/>
      <c r="L74" s="280"/>
      <c r="M74" s="280"/>
      <c r="N74" s="280"/>
      <c r="O74" s="280"/>
    </row>
    <row r="75" spans="1:15" ht="26.25" customHeight="1" x14ac:dyDescent="0.25">
      <c r="A75" s="280"/>
      <c r="B75" s="280"/>
      <c r="C75" s="280"/>
      <c r="D75" s="280"/>
      <c r="E75" s="280"/>
      <c r="F75" s="280"/>
      <c r="G75" s="280"/>
      <c r="H75" s="280"/>
      <c r="I75" s="280"/>
      <c r="J75" s="280"/>
      <c r="K75" s="280"/>
      <c r="L75" s="280"/>
      <c r="M75" s="280"/>
      <c r="N75" s="280"/>
      <c r="O75" s="280"/>
    </row>
    <row r="76" spans="1:15" ht="27" customHeight="1" x14ac:dyDescent="0.25">
      <c r="A76" s="280"/>
      <c r="B76" s="280"/>
      <c r="C76" s="280"/>
      <c r="D76" s="280"/>
      <c r="E76" s="280"/>
      <c r="F76" s="280"/>
      <c r="G76" s="280"/>
      <c r="H76" s="280"/>
      <c r="I76" s="280"/>
      <c r="J76" s="280"/>
      <c r="K76" s="280"/>
      <c r="L76" s="280"/>
      <c r="M76" s="280"/>
      <c r="N76" s="280"/>
      <c r="O76" s="280"/>
    </row>
    <row r="77" spans="1:15" ht="27" customHeight="1" x14ac:dyDescent="0.25">
      <c r="A77" s="280"/>
      <c r="B77" s="280"/>
      <c r="C77" s="280"/>
      <c r="D77" s="280"/>
      <c r="E77" s="280"/>
      <c r="F77" s="280"/>
      <c r="G77" s="280"/>
      <c r="H77" s="280"/>
      <c r="I77" s="280"/>
      <c r="J77" s="280"/>
      <c r="K77" s="280"/>
      <c r="L77" s="280"/>
      <c r="M77" s="280"/>
      <c r="N77" s="280"/>
      <c r="O77" s="280"/>
    </row>
    <row r="78" spans="1:15" s="76" customFormat="1" ht="26.25" customHeight="1" x14ac:dyDescent="0.25">
      <c r="A78" s="280"/>
      <c r="B78" s="280"/>
      <c r="C78" s="280"/>
      <c r="D78" s="280"/>
      <c r="E78" s="280"/>
      <c r="F78" s="280"/>
      <c r="G78" s="280"/>
      <c r="H78" s="280"/>
      <c r="I78" s="280"/>
      <c r="J78" s="280"/>
      <c r="K78" s="280"/>
      <c r="L78" s="280"/>
      <c r="M78" s="280"/>
      <c r="N78" s="280"/>
      <c r="O78" s="280"/>
    </row>
    <row r="79" spans="1:15" ht="26.25" customHeight="1" x14ac:dyDescent="0.25">
      <c r="A79" s="280"/>
      <c r="B79" s="280"/>
      <c r="C79" s="280"/>
      <c r="D79" s="280"/>
      <c r="E79" s="280"/>
      <c r="F79" s="280"/>
      <c r="G79" s="280"/>
      <c r="H79" s="280"/>
      <c r="I79" s="280"/>
      <c r="J79" s="280"/>
      <c r="K79" s="280"/>
      <c r="L79" s="280"/>
      <c r="M79" s="280"/>
      <c r="N79" s="280"/>
      <c r="O79" s="280"/>
    </row>
    <row r="80" spans="1:15" ht="27" customHeight="1" x14ac:dyDescent="0.25">
      <c r="A80" s="280"/>
      <c r="B80" s="280"/>
      <c r="C80" s="280"/>
      <c r="D80" s="280"/>
      <c r="E80" s="280"/>
      <c r="F80" s="280"/>
      <c r="G80" s="280"/>
      <c r="H80" s="280"/>
      <c r="I80" s="280"/>
      <c r="J80" s="280"/>
      <c r="K80" s="280"/>
      <c r="L80" s="280"/>
      <c r="M80" s="280"/>
      <c r="N80" s="280"/>
      <c r="O80" s="280"/>
    </row>
    <row r="81" spans="1:15" ht="27" customHeight="1" x14ac:dyDescent="0.25">
      <c r="A81" s="280"/>
      <c r="B81" s="280"/>
      <c r="C81" s="280"/>
      <c r="D81" s="280"/>
      <c r="E81" s="280"/>
      <c r="F81" s="280"/>
      <c r="G81" s="280"/>
      <c r="H81" s="280"/>
      <c r="I81" s="280"/>
      <c r="J81" s="280"/>
      <c r="K81" s="280"/>
      <c r="L81" s="280"/>
      <c r="M81" s="280"/>
      <c r="N81" s="280"/>
      <c r="O81" s="280"/>
    </row>
    <row r="82" spans="1:15" ht="27" customHeight="1" x14ac:dyDescent="0.25">
      <c r="A82" s="280"/>
      <c r="B82" s="280"/>
      <c r="C82" s="280"/>
      <c r="D82" s="280"/>
      <c r="E82" s="280"/>
      <c r="F82" s="280"/>
      <c r="G82" s="280"/>
      <c r="H82" s="280"/>
      <c r="I82" s="280"/>
      <c r="J82" s="280"/>
      <c r="K82" s="280"/>
      <c r="L82" s="280"/>
      <c r="M82" s="280"/>
      <c r="N82" s="280"/>
      <c r="O82" s="280"/>
    </row>
    <row r="83" spans="1:15" x14ac:dyDescent="0.25">
      <c r="A83" s="310"/>
      <c r="B83" s="310"/>
      <c r="C83" s="310"/>
      <c r="D83" s="310"/>
      <c r="E83" s="310"/>
      <c r="F83" s="310"/>
      <c r="G83" s="310"/>
      <c r="H83" s="310"/>
      <c r="I83" s="310"/>
      <c r="J83" s="310"/>
      <c r="K83" s="310"/>
      <c r="L83" s="310"/>
      <c r="M83" s="310"/>
      <c r="N83" s="310"/>
      <c r="O83" s="310"/>
    </row>
    <row r="84" spans="1:15" ht="27" customHeight="1" x14ac:dyDescent="0.3">
      <c r="A84" s="309" t="s">
        <v>238</v>
      </c>
      <c r="B84" s="309"/>
      <c r="C84" s="309"/>
      <c r="D84" s="309"/>
      <c r="E84" s="309"/>
      <c r="F84" s="309"/>
      <c r="G84" s="309"/>
      <c r="H84" s="309"/>
      <c r="I84" s="309"/>
      <c r="J84" s="309"/>
      <c r="K84" s="309"/>
      <c r="L84" s="91">
        <f>L14+L16+L21+L22+L25+L27+L29+L33+L37+L42+L45+L48+L52+L58+L62</f>
        <v>0</v>
      </c>
      <c r="M84" s="90"/>
      <c r="N84" s="90"/>
      <c r="O84" s="90"/>
    </row>
    <row r="85" spans="1:15" ht="27" customHeight="1" thickBot="1" x14ac:dyDescent="0.35">
      <c r="A85" s="256" t="s">
        <v>239</v>
      </c>
      <c r="B85" s="256"/>
      <c r="C85" s="256"/>
      <c r="D85" s="91" t="s">
        <v>236</v>
      </c>
      <c r="E85" s="77">
        <v>180</v>
      </c>
      <c r="F85" s="90"/>
      <c r="G85" s="276" t="s">
        <v>240</v>
      </c>
      <c r="H85" s="276"/>
      <c r="I85" s="305"/>
      <c r="J85" s="305"/>
      <c r="K85" s="305"/>
      <c r="L85" s="305"/>
      <c r="M85" s="305"/>
      <c r="N85" s="305"/>
      <c r="O85" s="305"/>
    </row>
    <row r="86" spans="1:15" ht="27" customHeight="1" thickBot="1" x14ac:dyDescent="0.35">
      <c r="A86" s="256" t="s">
        <v>237</v>
      </c>
      <c r="B86" s="256"/>
      <c r="C86" s="256"/>
      <c r="D86" s="91" t="s">
        <v>236</v>
      </c>
      <c r="E86" s="78">
        <f>N16+N29+N33+N37+N42+N45+N62</f>
        <v>0</v>
      </c>
      <c r="F86" s="90"/>
      <c r="G86" s="276" t="s">
        <v>244</v>
      </c>
      <c r="H86" s="276"/>
      <c r="I86" s="276"/>
      <c r="J86" s="276"/>
      <c r="K86" s="276"/>
      <c r="L86" s="276"/>
      <c r="M86" s="276"/>
      <c r="N86" s="276"/>
      <c r="O86" s="276"/>
    </row>
    <row r="87" spans="1:15" ht="27" customHeight="1" thickBot="1" x14ac:dyDescent="0.35">
      <c r="A87" s="256" t="s">
        <v>241</v>
      </c>
      <c r="B87" s="256"/>
      <c r="C87" s="256"/>
      <c r="D87" s="91" t="s">
        <v>236</v>
      </c>
      <c r="E87" s="78">
        <f>E85-E86</f>
        <v>180</v>
      </c>
      <c r="F87" s="90"/>
      <c r="G87" s="276" t="s">
        <v>245</v>
      </c>
      <c r="H87" s="276"/>
      <c r="I87" s="276"/>
      <c r="J87" s="276"/>
      <c r="K87" s="276"/>
      <c r="L87" s="276"/>
      <c r="M87" s="276"/>
      <c r="N87" s="276"/>
      <c r="O87" s="276"/>
    </row>
    <row r="88" spans="1:15" ht="36" customHeight="1" x14ac:dyDescent="0.3">
      <c r="A88" s="285" t="s">
        <v>242</v>
      </c>
      <c r="B88" s="285"/>
      <c r="C88" s="285"/>
      <c r="D88" s="311"/>
      <c r="E88" s="311"/>
      <c r="F88" s="311"/>
      <c r="G88" s="281" t="s">
        <v>246</v>
      </c>
      <c r="H88" s="281"/>
      <c r="I88" s="281"/>
      <c r="J88" s="281"/>
      <c r="K88" s="281"/>
      <c r="L88" s="281"/>
      <c r="M88" s="281"/>
      <c r="N88" s="281"/>
      <c r="O88" s="281"/>
    </row>
    <row r="89" spans="1:15" ht="27" customHeight="1" thickBot="1" x14ac:dyDescent="0.35">
      <c r="A89" s="256" t="s">
        <v>243</v>
      </c>
      <c r="B89" s="256"/>
      <c r="C89" s="256"/>
      <c r="D89" s="91" t="s">
        <v>236</v>
      </c>
      <c r="E89" s="77">
        <f>E87*0.8</f>
        <v>144</v>
      </c>
      <c r="F89" s="90"/>
      <c r="G89" s="276"/>
      <c r="H89" s="276"/>
      <c r="I89" s="276"/>
      <c r="J89" s="276"/>
      <c r="K89" s="276"/>
      <c r="L89" s="276"/>
      <c r="M89" s="276"/>
      <c r="N89" s="276"/>
      <c r="O89" s="276"/>
    </row>
    <row r="90" spans="1:15" ht="15" customHeight="1" x14ac:dyDescent="0.25">
      <c r="A90" s="310"/>
      <c r="B90" s="310"/>
      <c r="C90" s="310"/>
      <c r="D90" s="310"/>
      <c r="E90" s="310"/>
      <c r="F90" s="310"/>
      <c r="G90" s="310"/>
      <c r="H90" s="310"/>
      <c r="I90" s="310"/>
      <c r="J90" s="310"/>
      <c r="K90" s="310"/>
      <c r="L90" s="310"/>
      <c r="M90" s="310"/>
      <c r="N90" s="310"/>
      <c r="O90" s="310"/>
    </row>
    <row r="91" spans="1:15" ht="18" customHeight="1" x14ac:dyDescent="0.3">
      <c r="A91" s="310"/>
      <c r="B91" s="310"/>
      <c r="C91" s="312"/>
      <c r="D91" s="75"/>
      <c r="E91" s="306" t="s">
        <v>342</v>
      </c>
      <c r="F91" s="307"/>
      <c r="G91" s="308"/>
      <c r="H91" s="75"/>
      <c r="I91" s="135" t="s">
        <v>341</v>
      </c>
      <c r="J91" s="128"/>
      <c r="K91" s="128"/>
      <c r="L91" s="127"/>
      <c r="M91" s="127" t="s">
        <v>247</v>
      </c>
      <c r="N91" s="127"/>
      <c r="O91" s="127"/>
    </row>
    <row r="92" spans="1:15" x14ac:dyDescent="0.25">
      <c r="A92" s="303"/>
      <c r="B92" s="303"/>
      <c r="C92" s="303"/>
      <c r="D92" s="303"/>
      <c r="E92" s="303"/>
      <c r="F92" s="303"/>
      <c r="G92" s="303"/>
      <c r="H92" s="303"/>
      <c r="I92" s="303"/>
      <c r="J92" s="303"/>
      <c r="K92" s="303"/>
      <c r="L92" s="303"/>
      <c r="M92" s="303"/>
      <c r="N92" s="303"/>
      <c r="O92" s="303"/>
    </row>
    <row r="93" spans="1:15" x14ac:dyDescent="0.25">
      <c r="A93" s="313" t="s">
        <v>248</v>
      </c>
      <c r="B93" s="314"/>
      <c r="C93" s="314"/>
      <c r="D93" s="314"/>
      <c r="E93" s="314"/>
      <c r="F93" s="314"/>
      <c r="G93" s="314"/>
      <c r="H93" s="314"/>
      <c r="I93" s="314"/>
      <c r="J93" s="314"/>
      <c r="K93" s="314"/>
      <c r="L93" s="314"/>
      <c r="M93" s="314"/>
      <c r="N93" s="314"/>
      <c r="O93" s="315"/>
    </row>
    <row r="94" spans="1:15" x14ac:dyDescent="0.25">
      <c r="A94" s="316" t="s">
        <v>249</v>
      </c>
      <c r="B94" s="317"/>
      <c r="C94" s="317"/>
      <c r="D94" s="317"/>
      <c r="E94" s="317"/>
      <c r="F94" s="317"/>
      <c r="G94" s="317"/>
      <c r="H94" s="317"/>
      <c r="I94" s="317"/>
      <c r="J94" s="317"/>
      <c r="K94" s="317"/>
      <c r="L94" s="317"/>
      <c r="M94" s="317"/>
      <c r="N94" s="317"/>
      <c r="O94" s="318"/>
    </row>
    <row r="95" spans="1:15" x14ac:dyDescent="0.25">
      <c r="A95" s="316" t="s">
        <v>250</v>
      </c>
      <c r="B95" s="317"/>
      <c r="C95" s="317"/>
      <c r="D95" s="317"/>
      <c r="E95" s="317"/>
      <c r="F95" s="317"/>
      <c r="G95" s="317"/>
      <c r="H95" s="317"/>
      <c r="I95" s="317"/>
      <c r="J95" s="317"/>
      <c r="K95" s="317"/>
      <c r="L95" s="317"/>
      <c r="M95" s="317"/>
      <c r="N95" s="317"/>
      <c r="O95" s="318"/>
    </row>
    <row r="96" spans="1:15" x14ac:dyDescent="0.25">
      <c r="A96" s="302" t="s">
        <v>265</v>
      </c>
      <c r="B96" s="303"/>
      <c r="C96" s="303"/>
      <c r="D96" s="303"/>
      <c r="E96" s="303"/>
      <c r="F96" s="303"/>
      <c r="G96" s="303"/>
      <c r="H96" s="303"/>
      <c r="I96" s="303"/>
      <c r="J96" s="303"/>
      <c r="K96" s="303"/>
      <c r="L96" s="303"/>
      <c r="M96" s="303"/>
      <c r="N96" s="303"/>
      <c r="O96" s="304"/>
    </row>
  </sheetData>
  <sheetProtection password="D6D7" sheet="1" objects="1" scenarios="1"/>
  <protectedRanges>
    <protectedRange sqref="L48:M48 L45:N45 L7:M7 L21:M23 L29:N30 L4:M4 L25:N25 L35:M35 L37:N37 L42:N43 L27:N27" name="Range1"/>
  </protectedRanges>
  <dataConsolidate/>
  <mergeCells count="159">
    <mergeCell ref="B4:J6"/>
    <mergeCell ref="B7:J9"/>
    <mergeCell ref="B14:J15"/>
    <mergeCell ref="B16:J18"/>
    <mergeCell ref="B22:J24"/>
    <mergeCell ref="B25:J26"/>
    <mergeCell ref="A13:J13"/>
    <mergeCell ref="A32:J32"/>
    <mergeCell ref="A95:O95"/>
    <mergeCell ref="K14:K15"/>
    <mergeCell ref="L14:L15"/>
    <mergeCell ref="M14:M15"/>
    <mergeCell ref="N14:N15"/>
    <mergeCell ref="B42:J44"/>
    <mergeCell ref="A48:A51"/>
    <mergeCell ref="L45:L47"/>
    <mergeCell ref="M45:M47"/>
    <mergeCell ref="B21:J21"/>
    <mergeCell ref="A20:J20"/>
    <mergeCell ref="A29:A31"/>
    <mergeCell ref="A42:A44"/>
    <mergeCell ref="L48:L51"/>
    <mergeCell ref="K29:K31"/>
    <mergeCell ref="L29:L31"/>
    <mergeCell ref="A96:O96"/>
    <mergeCell ref="A81:O81"/>
    <mergeCell ref="A80:O80"/>
    <mergeCell ref="A92:O92"/>
    <mergeCell ref="A86:C86"/>
    <mergeCell ref="G85:O85"/>
    <mergeCell ref="B27:J28"/>
    <mergeCell ref="B29:J31"/>
    <mergeCell ref="B33:J36"/>
    <mergeCell ref="E91:G91"/>
    <mergeCell ref="A84:K84"/>
    <mergeCell ref="A83:O83"/>
    <mergeCell ref="A90:O90"/>
    <mergeCell ref="D88:F88"/>
    <mergeCell ref="A91:C91"/>
    <mergeCell ref="A93:O93"/>
    <mergeCell ref="A94:O94"/>
    <mergeCell ref="A70:O70"/>
    <mergeCell ref="L52:L57"/>
    <mergeCell ref="A52:A57"/>
    <mergeCell ref="B52:J57"/>
    <mergeCell ref="B37:J41"/>
    <mergeCell ref="A89:C89"/>
    <mergeCell ref="G87:O87"/>
    <mergeCell ref="A14:A15"/>
    <mergeCell ref="B58:J61"/>
    <mergeCell ref="N45:N47"/>
    <mergeCell ref="M48:M51"/>
    <mergeCell ref="N48:N51"/>
    <mergeCell ref="A45:A47"/>
    <mergeCell ref="K45:K47"/>
    <mergeCell ref="B45:J47"/>
    <mergeCell ref="B48:J51"/>
    <mergeCell ref="K16:K18"/>
    <mergeCell ref="A79:O79"/>
    <mergeCell ref="A77:O77"/>
    <mergeCell ref="A76:O76"/>
    <mergeCell ref="K62:K68"/>
    <mergeCell ref="N62:N68"/>
    <mergeCell ref="A69:C69"/>
    <mergeCell ref="E69:O69"/>
    <mergeCell ref="M62:M68"/>
    <mergeCell ref="L62:L68"/>
    <mergeCell ref="O62:O68"/>
    <mergeCell ref="A62:A68"/>
    <mergeCell ref="B62:J68"/>
    <mergeCell ref="G89:O89"/>
    <mergeCell ref="O48:O51"/>
    <mergeCell ref="K48:K51"/>
    <mergeCell ref="M52:M57"/>
    <mergeCell ref="N52:N57"/>
    <mergeCell ref="O52:O57"/>
    <mergeCell ref="K52:K57"/>
    <mergeCell ref="A75:O75"/>
    <mergeCell ref="A74:O74"/>
    <mergeCell ref="G88:O88"/>
    <mergeCell ref="A78:O78"/>
    <mergeCell ref="A82:O82"/>
    <mergeCell ref="O58:O61"/>
    <mergeCell ref="N58:N61"/>
    <mergeCell ref="M58:M61"/>
    <mergeCell ref="L58:L61"/>
    <mergeCell ref="K58:K61"/>
    <mergeCell ref="A58:A61"/>
    <mergeCell ref="G86:O86"/>
    <mergeCell ref="A87:C87"/>
    <mergeCell ref="A88:C88"/>
    <mergeCell ref="A71:O71"/>
    <mergeCell ref="A72:O72"/>
    <mergeCell ref="A73:O73"/>
    <mergeCell ref="A85:C85"/>
    <mergeCell ref="A1:O1"/>
    <mergeCell ref="M4:M6"/>
    <mergeCell ref="N4:N6"/>
    <mergeCell ref="O4:O6"/>
    <mergeCell ref="A37:A41"/>
    <mergeCell ref="L4:L6"/>
    <mergeCell ref="K27:K28"/>
    <mergeCell ref="A19:O19"/>
    <mergeCell ref="A22:A24"/>
    <mergeCell ref="A7:A11"/>
    <mergeCell ref="N29:N31"/>
    <mergeCell ref="O29:O31"/>
    <mergeCell ref="O14:O15"/>
    <mergeCell ref="A27:A28"/>
    <mergeCell ref="C10:J10"/>
    <mergeCell ref="B11:J11"/>
    <mergeCell ref="K7:K11"/>
    <mergeCell ref="N25:N26"/>
    <mergeCell ref="K22:K24"/>
    <mergeCell ref="L22:L24"/>
    <mergeCell ref="N33:N36"/>
    <mergeCell ref="A12:O12"/>
    <mergeCell ref="A16:A18"/>
    <mergeCell ref="A2:O2"/>
    <mergeCell ref="O22:O24"/>
    <mergeCell ref="L7:L11"/>
    <mergeCell ref="M7:M11"/>
    <mergeCell ref="N7:N11"/>
    <mergeCell ref="O7:O11"/>
    <mergeCell ref="O33:O36"/>
    <mergeCell ref="O27:O28"/>
    <mergeCell ref="M22:M24"/>
    <mergeCell ref="L16:L18"/>
    <mergeCell ref="M16:M18"/>
    <mergeCell ref="N16:N18"/>
    <mergeCell ref="O16:O18"/>
    <mergeCell ref="O25:O26"/>
    <mergeCell ref="A25:A26"/>
    <mergeCell ref="K4:K6"/>
    <mergeCell ref="A3:J3"/>
    <mergeCell ref="A33:A36"/>
    <mergeCell ref="K33:K36"/>
    <mergeCell ref="L33:L36"/>
    <mergeCell ref="M33:M36"/>
    <mergeCell ref="K25:K26"/>
    <mergeCell ref="M29:M31"/>
    <mergeCell ref="A4:A6"/>
    <mergeCell ref="O42:O44"/>
    <mergeCell ref="N22:N24"/>
    <mergeCell ref="N27:N28"/>
    <mergeCell ref="L27:L28"/>
    <mergeCell ref="M27:M28"/>
    <mergeCell ref="O45:O47"/>
    <mergeCell ref="K37:K41"/>
    <mergeCell ref="L37:L41"/>
    <mergeCell ref="N37:N41"/>
    <mergeCell ref="O37:O41"/>
    <mergeCell ref="K42:K44"/>
    <mergeCell ref="L25:L26"/>
    <mergeCell ref="M25:M26"/>
    <mergeCell ref="L42:L44"/>
    <mergeCell ref="M42:M44"/>
    <mergeCell ref="N42:N44"/>
    <mergeCell ref="M37:M41"/>
  </mergeCells>
  <dataValidations count="6">
    <dataValidation type="list" allowBlank="1" showInputMessage="1" showErrorMessage="1" sqref="D91 H91 L4:L11">
      <formula1>"✓, -----"</formula1>
    </dataValidation>
    <dataValidation type="list" allowBlank="1" showInputMessage="1" showErrorMessage="1" sqref="L58:M61">
      <formula1>"5, -----"</formula1>
    </dataValidation>
    <dataValidation type="list" allowBlank="1" showInputMessage="1" showErrorMessage="1" sqref="L62:N68 L33:N36 L42:N45 L47:N47 L21:M24 L16:N18">
      <formula1>"10, -----"</formula1>
    </dataValidation>
    <dataValidation type="list" allowBlank="1" showInputMessage="1" showErrorMessage="1" sqref="N29:N31 L37:N41 L29:L31 L48:M57 L25:M28 L14:M15">
      <formula1>"15, -----"</formula1>
    </dataValidation>
    <dataValidation type="whole" allowBlank="1" showInputMessage="1" showErrorMessage="1" sqref="M29:M30 N25:N28">
      <formula1>10</formula1>
      <formula2>10</formula2>
    </dataValidation>
    <dataValidation type="whole" allowBlank="1" showInputMessage="1" showErrorMessage="1" sqref="M4:M11">
      <formula1>15</formula1>
      <formula2>15</formula2>
    </dataValidation>
  </dataValidations>
  <pageMargins left="0.75" right="0.75" top="1" bottom="1" header="0" footer="0"/>
  <pageSetup firstPageNumber="4" orientation="portrait" r:id="rId1"/>
  <headerFooter>
    <oddFooter xml:space="preserve">&amp;LFor Official Government Use Only
USDA, AMS, FVP, Fresh Products Branch
&amp;RJanuary 26, 2012
Page &amp;P
</oddFooter>
  </headerFooter>
  <rowBreaks count="2" manualBreakCount="2">
    <brk id="31" max="16383" man="1"/>
    <brk id="6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2"/>
  </sheetPr>
  <dimension ref="A1:T210"/>
  <sheetViews>
    <sheetView view="pageLayout" topLeftCell="A184" zoomScaleNormal="115" workbookViewId="0">
      <selection activeCell="A189" sqref="A189:O189"/>
    </sheetView>
  </sheetViews>
  <sheetFormatPr defaultRowHeight="13.2" x14ac:dyDescent="0.25"/>
  <cols>
    <col min="1" max="1" width="5.5546875" customWidth="1"/>
    <col min="2" max="2" width="7" customWidth="1"/>
    <col min="3" max="3" width="7.44140625" style="31" customWidth="1"/>
    <col min="4" max="4" width="2.109375" style="31" customWidth="1"/>
    <col min="5" max="5" width="7" style="31" customWidth="1"/>
    <col min="6" max="6" width="2.5546875" customWidth="1"/>
    <col min="7" max="7" width="6.44140625" customWidth="1"/>
    <col min="8" max="8" width="2.5546875" customWidth="1"/>
    <col min="9" max="9" width="2" customWidth="1"/>
    <col min="10" max="10" width="3.88671875" customWidth="1"/>
    <col min="11" max="11" width="6.44140625" customWidth="1"/>
    <col min="12" max="12" width="10.109375" customWidth="1"/>
    <col min="13" max="13" width="11.109375" customWidth="1"/>
    <col min="14" max="14" width="5.109375" customWidth="1"/>
    <col min="15" max="15" width="5" customWidth="1"/>
  </cols>
  <sheetData>
    <row r="1" spans="1:16" ht="30" customHeight="1" x14ac:dyDescent="0.25">
      <c r="A1" s="363" t="s">
        <v>0</v>
      </c>
      <c r="B1" s="364"/>
      <c r="C1" s="364"/>
      <c r="D1" s="364"/>
      <c r="E1" s="364"/>
      <c r="F1" s="364"/>
      <c r="G1" s="364"/>
      <c r="H1" s="364"/>
      <c r="I1" s="364"/>
      <c r="J1" s="364"/>
      <c r="K1" s="364"/>
      <c r="L1" s="364"/>
      <c r="M1" s="364"/>
      <c r="N1" s="364"/>
      <c r="O1" s="364"/>
    </row>
    <row r="2" spans="1:16" ht="17.399999999999999" x14ac:dyDescent="0.3">
      <c r="A2" s="208" t="s">
        <v>74</v>
      </c>
      <c r="B2" s="365"/>
      <c r="C2" s="365"/>
      <c r="D2" s="365"/>
      <c r="E2" s="365"/>
      <c r="F2" s="365"/>
      <c r="G2" s="365"/>
      <c r="H2" s="365"/>
      <c r="I2" s="365"/>
      <c r="J2" s="365"/>
      <c r="K2" s="365"/>
      <c r="L2" s="365"/>
      <c r="M2" s="365"/>
      <c r="N2" s="365"/>
      <c r="O2" s="365"/>
    </row>
    <row r="3" spans="1:16" s="22" customFormat="1" ht="27.6" x14ac:dyDescent="0.25">
      <c r="A3" s="333" t="s">
        <v>54</v>
      </c>
      <c r="B3" s="334"/>
      <c r="C3" s="334"/>
      <c r="D3" s="334"/>
      <c r="E3" s="334"/>
      <c r="F3" s="334"/>
      <c r="G3" s="334"/>
      <c r="H3" s="334"/>
      <c r="I3" s="334"/>
      <c r="J3" s="335"/>
      <c r="K3" s="48" t="s">
        <v>53</v>
      </c>
      <c r="L3" s="61" t="s">
        <v>342</v>
      </c>
      <c r="M3" s="63" t="s">
        <v>341</v>
      </c>
      <c r="N3" s="61" t="s">
        <v>51</v>
      </c>
      <c r="O3" s="61" t="s">
        <v>50</v>
      </c>
      <c r="P3" s="21"/>
    </row>
    <row r="4" spans="1:16" s="41" customFormat="1" ht="15" customHeight="1" x14ac:dyDescent="0.25">
      <c r="A4" s="347" t="s">
        <v>77</v>
      </c>
      <c r="B4" s="337" t="s">
        <v>406</v>
      </c>
      <c r="C4" s="338"/>
      <c r="D4" s="338"/>
      <c r="E4" s="338"/>
      <c r="F4" s="338"/>
      <c r="G4" s="338"/>
      <c r="H4" s="338"/>
      <c r="I4" s="338"/>
      <c r="J4" s="339"/>
      <c r="K4" s="331">
        <v>15</v>
      </c>
      <c r="L4" s="329"/>
      <c r="M4" s="329"/>
      <c r="N4" s="360"/>
      <c r="O4" s="331" t="s">
        <v>58</v>
      </c>
    </row>
    <row r="5" spans="1:16" s="41" customFormat="1" ht="15" customHeight="1" x14ac:dyDescent="0.25">
      <c r="A5" s="348"/>
      <c r="B5" s="340"/>
      <c r="C5" s="341"/>
      <c r="D5" s="341"/>
      <c r="E5" s="341"/>
      <c r="F5" s="341"/>
      <c r="G5" s="341"/>
      <c r="H5" s="341"/>
      <c r="I5" s="341"/>
      <c r="J5" s="342"/>
      <c r="K5" s="350"/>
      <c r="L5" s="351"/>
      <c r="M5" s="351"/>
      <c r="N5" s="361"/>
      <c r="O5" s="350"/>
    </row>
    <row r="6" spans="1:16" s="41" customFormat="1" ht="15" customHeight="1" x14ac:dyDescent="0.25">
      <c r="A6" s="348"/>
      <c r="B6" s="340"/>
      <c r="C6" s="341"/>
      <c r="D6" s="341"/>
      <c r="E6" s="341"/>
      <c r="F6" s="341"/>
      <c r="G6" s="341"/>
      <c r="H6" s="341"/>
      <c r="I6" s="341"/>
      <c r="J6" s="342"/>
      <c r="K6" s="371"/>
      <c r="L6" s="367"/>
      <c r="M6" s="367"/>
      <c r="N6" s="369"/>
      <c r="O6" s="371"/>
    </row>
    <row r="7" spans="1:16" s="41" customFormat="1" ht="31.5" customHeight="1" x14ac:dyDescent="0.25">
      <c r="A7" s="366"/>
      <c r="B7" s="343"/>
      <c r="C7" s="344"/>
      <c r="D7" s="344"/>
      <c r="E7" s="344"/>
      <c r="F7" s="344"/>
      <c r="G7" s="344"/>
      <c r="H7" s="344"/>
      <c r="I7" s="344"/>
      <c r="J7" s="345"/>
      <c r="K7" s="372"/>
      <c r="L7" s="368"/>
      <c r="M7" s="368"/>
      <c r="N7" s="370"/>
      <c r="O7" s="372"/>
    </row>
    <row r="8" spans="1:16" s="41" customFormat="1" ht="15" customHeight="1" x14ac:dyDescent="0.25">
      <c r="A8" s="347" t="s">
        <v>78</v>
      </c>
      <c r="B8" s="337" t="s">
        <v>278</v>
      </c>
      <c r="C8" s="338"/>
      <c r="D8" s="338"/>
      <c r="E8" s="338"/>
      <c r="F8" s="338"/>
      <c r="G8" s="338"/>
      <c r="H8" s="338"/>
      <c r="I8" s="338"/>
      <c r="J8" s="339"/>
      <c r="K8" s="331">
        <v>10</v>
      </c>
      <c r="L8" s="329"/>
      <c r="M8" s="329"/>
      <c r="N8" s="354"/>
      <c r="O8" s="331" t="s">
        <v>226</v>
      </c>
    </row>
    <row r="9" spans="1:16" s="41" customFormat="1" ht="15" customHeight="1" x14ac:dyDescent="0.25">
      <c r="A9" s="348"/>
      <c r="B9" s="340"/>
      <c r="C9" s="341"/>
      <c r="D9" s="341"/>
      <c r="E9" s="341"/>
      <c r="F9" s="341"/>
      <c r="G9" s="341"/>
      <c r="H9" s="341"/>
      <c r="I9" s="341"/>
      <c r="J9" s="342"/>
      <c r="K9" s="350"/>
      <c r="L9" s="351"/>
      <c r="M9" s="351"/>
      <c r="N9" s="355"/>
      <c r="O9" s="350"/>
    </row>
    <row r="10" spans="1:16" s="41" customFormat="1" ht="15" customHeight="1" x14ac:dyDescent="0.25">
      <c r="A10" s="348"/>
      <c r="B10" s="340"/>
      <c r="C10" s="341"/>
      <c r="D10" s="341"/>
      <c r="E10" s="341"/>
      <c r="F10" s="341"/>
      <c r="G10" s="341"/>
      <c r="H10" s="341"/>
      <c r="I10" s="341"/>
      <c r="J10" s="342"/>
      <c r="K10" s="371"/>
      <c r="L10" s="367"/>
      <c r="M10" s="367"/>
      <c r="N10" s="373"/>
      <c r="O10" s="371"/>
    </row>
    <row r="11" spans="1:16" s="41" customFormat="1" ht="15" customHeight="1" x14ac:dyDescent="0.25">
      <c r="A11" s="348"/>
      <c r="B11" s="340"/>
      <c r="C11" s="341"/>
      <c r="D11" s="341"/>
      <c r="E11" s="341"/>
      <c r="F11" s="341"/>
      <c r="G11" s="341"/>
      <c r="H11" s="341"/>
      <c r="I11" s="341"/>
      <c r="J11" s="342"/>
      <c r="K11" s="371"/>
      <c r="L11" s="367"/>
      <c r="M11" s="367"/>
      <c r="N11" s="373"/>
      <c r="O11" s="371"/>
    </row>
    <row r="12" spans="1:16" s="41" customFormat="1" ht="15" customHeight="1" x14ac:dyDescent="0.25">
      <c r="A12" s="366"/>
      <c r="B12" s="343"/>
      <c r="C12" s="344"/>
      <c r="D12" s="344"/>
      <c r="E12" s="344"/>
      <c r="F12" s="344"/>
      <c r="G12" s="344"/>
      <c r="H12" s="344"/>
      <c r="I12" s="344"/>
      <c r="J12" s="345"/>
      <c r="K12" s="372"/>
      <c r="L12" s="368"/>
      <c r="M12" s="368"/>
      <c r="N12" s="374"/>
      <c r="O12" s="372"/>
    </row>
    <row r="13" spans="1:16" s="41" customFormat="1" ht="15" customHeight="1" x14ac:dyDescent="0.25">
      <c r="A13" s="347" t="s">
        <v>79</v>
      </c>
      <c r="B13" s="337" t="s">
        <v>279</v>
      </c>
      <c r="C13" s="338"/>
      <c r="D13" s="338"/>
      <c r="E13" s="338"/>
      <c r="F13" s="338"/>
      <c r="G13" s="338"/>
      <c r="H13" s="338"/>
      <c r="I13" s="338"/>
      <c r="J13" s="339"/>
      <c r="K13" s="331">
        <v>10</v>
      </c>
      <c r="L13" s="329"/>
      <c r="M13" s="329"/>
      <c r="N13" s="329"/>
      <c r="O13" s="331" t="s">
        <v>226</v>
      </c>
    </row>
    <row r="14" spans="1:16" s="41" customFormat="1" ht="15" customHeight="1" x14ac:dyDescent="0.25">
      <c r="A14" s="348"/>
      <c r="B14" s="340"/>
      <c r="C14" s="341"/>
      <c r="D14" s="341"/>
      <c r="E14" s="341"/>
      <c r="F14" s="341"/>
      <c r="G14" s="341"/>
      <c r="H14" s="341"/>
      <c r="I14" s="341"/>
      <c r="J14" s="342"/>
      <c r="K14" s="371"/>
      <c r="L14" s="367"/>
      <c r="M14" s="367"/>
      <c r="N14" s="367"/>
      <c r="O14" s="371"/>
    </row>
    <row r="15" spans="1:16" s="41" customFormat="1" ht="15" customHeight="1" x14ac:dyDescent="0.25">
      <c r="A15" s="366"/>
      <c r="B15" s="343"/>
      <c r="C15" s="344"/>
      <c r="D15" s="344"/>
      <c r="E15" s="344"/>
      <c r="F15" s="344"/>
      <c r="G15" s="344"/>
      <c r="H15" s="344"/>
      <c r="I15" s="344"/>
      <c r="J15" s="345"/>
      <c r="K15" s="372"/>
      <c r="L15" s="368"/>
      <c r="M15" s="368"/>
      <c r="N15" s="368"/>
      <c r="O15" s="372"/>
    </row>
    <row r="16" spans="1:16" s="41" customFormat="1" ht="15" customHeight="1" x14ac:dyDescent="0.25">
      <c r="A16" s="347" t="s">
        <v>80</v>
      </c>
      <c r="B16" s="337" t="s">
        <v>280</v>
      </c>
      <c r="C16" s="338"/>
      <c r="D16" s="338"/>
      <c r="E16" s="338"/>
      <c r="F16" s="338"/>
      <c r="G16" s="338"/>
      <c r="H16" s="338"/>
      <c r="I16" s="338"/>
      <c r="J16" s="339"/>
      <c r="K16" s="331">
        <v>5</v>
      </c>
      <c r="L16" s="329"/>
      <c r="M16" s="329"/>
      <c r="N16" s="329"/>
      <c r="O16" s="331" t="s">
        <v>225</v>
      </c>
    </row>
    <row r="17" spans="1:16" s="41" customFormat="1" ht="15" customHeight="1" x14ac:dyDescent="0.25">
      <c r="A17" s="348"/>
      <c r="B17" s="340"/>
      <c r="C17" s="341"/>
      <c r="D17" s="341"/>
      <c r="E17" s="341"/>
      <c r="F17" s="341"/>
      <c r="G17" s="341"/>
      <c r="H17" s="341"/>
      <c r="I17" s="341"/>
      <c r="J17" s="342"/>
      <c r="K17" s="350"/>
      <c r="L17" s="351"/>
      <c r="M17" s="351"/>
      <c r="N17" s="351"/>
      <c r="O17" s="350"/>
    </row>
    <row r="18" spans="1:16" s="41" customFormat="1" ht="15" customHeight="1" x14ac:dyDescent="0.25">
      <c r="A18" s="366"/>
      <c r="B18" s="343"/>
      <c r="C18" s="344"/>
      <c r="D18" s="344"/>
      <c r="E18" s="344"/>
      <c r="F18" s="344"/>
      <c r="G18" s="344"/>
      <c r="H18" s="344"/>
      <c r="I18" s="344"/>
      <c r="J18" s="345"/>
      <c r="K18" s="372"/>
      <c r="L18" s="368"/>
      <c r="M18" s="368"/>
      <c r="N18" s="368"/>
      <c r="O18" s="372"/>
    </row>
    <row r="19" spans="1:16" s="41" customFormat="1" ht="15" customHeight="1" x14ac:dyDescent="0.25">
      <c r="A19" s="375" t="s">
        <v>82</v>
      </c>
      <c r="B19" s="337" t="s">
        <v>281</v>
      </c>
      <c r="C19" s="338"/>
      <c r="D19" s="338"/>
      <c r="E19" s="338"/>
      <c r="F19" s="338"/>
      <c r="G19" s="338"/>
      <c r="H19" s="338"/>
      <c r="I19" s="338"/>
      <c r="J19" s="339"/>
      <c r="K19" s="382">
        <v>5</v>
      </c>
      <c r="L19" s="329"/>
      <c r="M19" s="329"/>
      <c r="N19" s="329"/>
      <c r="O19" s="331" t="s">
        <v>226</v>
      </c>
    </row>
    <row r="20" spans="1:16" s="41" customFormat="1" ht="15" customHeight="1" x14ac:dyDescent="0.25">
      <c r="A20" s="376"/>
      <c r="B20" s="340"/>
      <c r="C20" s="341"/>
      <c r="D20" s="341"/>
      <c r="E20" s="341"/>
      <c r="F20" s="341"/>
      <c r="G20" s="341"/>
      <c r="H20" s="341"/>
      <c r="I20" s="341"/>
      <c r="J20" s="342"/>
      <c r="K20" s="383"/>
      <c r="L20" s="351"/>
      <c r="M20" s="351"/>
      <c r="N20" s="351"/>
      <c r="O20" s="350"/>
    </row>
    <row r="21" spans="1:16" s="41" customFormat="1" ht="15" customHeight="1" x14ac:dyDescent="0.25">
      <c r="A21" s="376"/>
      <c r="B21" s="340"/>
      <c r="C21" s="341"/>
      <c r="D21" s="341"/>
      <c r="E21" s="341"/>
      <c r="F21" s="341"/>
      <c r="G21" s="341"/>
      <c r="H21" s="341"/>
      <c r="I21" s="341"/>
      <c r="J21" s="342"/>
      <c r="K21" s="383"/>
      <c r="L21" s="351"/>
      <c r="M21" s="351"/>
      <c r="N21" s="351"/>
      <c r="O21" s="350"/>
    </row>
    <row r="22" spans="1:16" s="41" customFormat="1" ht="15" customHeight="1" x14ac:dyDescent="0.25">
      <c r="A22" s="376"/>
      <c r="B22" s="340"/>
      <c r="C22" s="341"/>
      <c r="D22" s="341"/>
      <c r="E22" s="341"/>
      <c r="F22" s="341"/>
      <c r="G22" s="341"/>
      <c r="H22" s="341"/>
      <c r="I22" s="341"/>
      <c r="J22" s="342"/>
      <c r="K22" s="383"/>
      <c r="L22" s="351"/>
      <c r="M22" s="351"/>
      <c r="N22" s="351"/>
      <c r="O22" s="350"/>
    </row>
    <row r="23" spans="1:16" s="41" customFormat="1" ht="15" customHeight="1" x14ac:dyDescent="0.25">
      <c r="A23" s="377"/>
      <c r="B23" s="343"/>
      <c r="C23" s="344"/>
      <c r="D23" s="344"/>
      <c r="E23" s="344"/>
      <c r="F23" s="344"/>
      <c r="G23" s="344"/>
      <c r="H23" s="344"/>
      <c r="I23" s="344"/>
      <c r="J23" s="345"/>
      <c r="K23" s="384"/>
      <c r="L23" s="368"/>
      <c r="M23" s="368"/>
      <c r="N23" s="368"/>
      <c r="O23" s="372"/>
    </row>
    <row r="24" spans="1:16" ht="30" customHeight="1" x14ac:dyDescent="0.25">
      <c r="A24" s="346" t="s">
        <v>81</v>
      </c>
      <c r="B24" s="378"/>
      <c r="C24" s="378"/>
      <c r="D24" s="378"/>
      <c r="E24" s="378"/>
      <c r="F24" s="378"/>
      <c r="G24" s="378"/>
      <c r="H24" s="378"/>
      <c r="I24" s="378"/>
      <c r="J24" s="378"/>
      <c r="K24" s="346"/>
      <c r="L24" s="346"/>
      <c r="M24" s="346"/>
      <c r="N24" s="346"/>
      <c r="O24" s="346"/>
    </row>
    <row r="25" spans="1:16" s="22" customFormat="1" ht="27.6" x14ac:dyDescent="0.25">
      <c r="A25" s="333" t="s">
        <v>54</v>
      </c>
      <c r="B25" s="334"/>
      <c r="C25" s="334"/>
      <c r="D25" s="334"/>
      <c r="E25" s="334"/>
      <c r="F25" s="334"/>
      <c r="G25" s="334"/>
      <c r="H25" s="334"/>
      <c r="I25" s="334"/>
      <c r="J25" s="335"/>
      <c r="K25" s="48" t="s">
        <v>53</v>
      </c>
      <c r="L25" s="61" t="s">
        <v>342</v>
      </c>
      <c r="M25" s="63" t="s">
        <v>341</v>
      </c>
      <c r="N25" s="61" t="s">
        <v>51</v>
      </c>
      <c r="O25" s="61" t="s">
        <v>50</v>
      </c>
      <c r="P25" s="21"/>
    </row>
    <row r="26" spans="1:16" s="41" customFormat="1" ht="15" customHeight="1" x14ac:dyDescent="0.25">
      <c r="A26" s="379" t="s">
        <v>83</v>
      </c>
      <c r="B26" s="337" t="s">
        <v>282</v>
      </c>
      <c r="C26" s="338"/>
      <c r="D26" s="338"/>
      <c r="E26" s="338"/>
      <c r="F26" s="338"/>
      <c r="G26" s="338"/>
      <c r="H26" s="338"/>
      <c r="I26" s="338"/>
      <c r="J26" s="339"/>
      <c r="K26" s="331">
        <v>5</v>
      </c>
      <c r="L26" s="329"/>
      <c r="M26" s="329"/>
      <c r="N26" s="360"/>
      <c r="O26" s="331"/>
    </row>
    <row r="27" spans="1:16" s="41" customFormat="1" ht="15" customHeight="1" x14ac:dyDescent="0.25">
      <c r="A27" s="380"/>
      <c r="B27" s="343"/>
      <c r="C27" s="344"/>
      <c r="D27" s="344"/>
      <c r="E27" s="344"/>
      <c r="F27" s="344"/>
      <c r="G27" s="344"/>
      <c r="H27" s="344"/>
      <c r="I27" s="344"/>
      <c r="J27" s="345"/>
      <c r="K27" s="371"/>
      <c r="L27" s="367"/>
      <c r="M27" s="367"/>
      <c r="N27" s="369"/>
      <c r="O27" s="371"/>
    </row>
    <row r="28" spans="1:16" s="41" customFormat="1" ht="15" customHeight="1" x14ac:dyDescent="0.25">
      <c r="A28" s="379" t="s">
        <v>84</v>
      </c>
      <c r="B28" s="337" t="s">
        <v>283</v>
      </c>
      <c r="C28" s="338"/>
      <c r="D28" s="338"/>
      <c r="E28" s="338"/>
      <c r="F28" s="338"/>
      <c r="G28" s="338"/>
      <c r="H28" s="338"/>
      <c r="I28" s="338"/>
      <c r="J28" s="339"/>
      <c r="K28" s="331">
        <v>5</v>
      </c>
      <c r="L28" s="329"/>
      <c r="M28" s="329"/>
      <c r="N28" s="329"/>
      <c r="O28" s="331" t="s">
        <v>58</v>
      </c>
    </row>
    <row r="29" spans="1:16" s="41" customFormat="1" ht="15" customHeight="1" x14ac:dyDescent="0.25">
      <c r="A29" s="380"/>
      <c r="B29" s="343"/>
      <c r="C29" s="344"/>
      <c r="D29" s="344"/>
      <c r="E29" s="344"/>
      <c r="F29" s="344"/>
      <c r="G29" s="344"/>
      <c r="H29" s="344"/>
      <c r="I29" s="344"/>
      <c r="J29" s="345"/>
      <c r="K29" s="372"/>
      <c r="L29" s="368"/>
      <c r="M29" s="368"/>
      <c r="N29" s="368"/>
      <c r="O29" s="372"/>
    </row>
    <row r="30" spans="1:16" s="41" customFormat="1" ht="15" customHeight="1" x14ac:dyDescent="0.25">
      <c r="A30" s="379" t="s">
        <v>85</v>
      </c>
      <c r="B30" s="337" t="s">
        <v>284</v>
      </c>
      <c r="C30" s="338"/>
      <c r="D30" s="338"/>
      <c r="E30" s="338"/>
      <c r="F30" s="338"/>
      <c r="G30" s="338"/>
      <c r="H30" s="338"/>
      <c r="I30" s="338"/>
      <c r="J30" s="339"/>
      <c r="K30" s="331">
        <v>5</v>
      </c>
      <c r="L30" s="329"/>
      <c r="M30" s="329"/>
      <c r="N30" s="329"/>
      <c r="O30" s="331" t="s">
        <v>58</v>
      </c>
    </row>
    <row r="31" spans="1:16" s="41" customFormat="1" ht="15" customHeight="1" x14ac:dyDescent="0.25">
      <c r="A31" s="380"/>
      <c r="B31" s="343"/>
      <c r="C31" s="344"/>
      <c r="D31" s="344"/>
      <c r="E31" s="344"/>
      <c r="F31" s="344"/>
      <c r="G31" s="344"/>
      <c r="H31" s="344"/>
      <c r="I31" s="344"/>
      <c r="J31" s="345"/>
      <c r="K31" s="372"/>
      <c r="L31" s="368"/>
      <c r="M31" s="368"/>
      <c r="N31" s="368"/>
      <c r="O31" s="372"/>
    </row>
    <row r="32" spans="1:16" s="41" customFormat="1" ht="15" customHeight="1" x14ac:dyDescent="0.25">
      <c r="A32" s="379" t="s">
        <v>86</v>
      </c>
      <c r="B32" s="337" t="s">
        <v>285</v>
      </c>
      <c r="C32" s="338"/>
      <c r="D32" s="338"/>
      <c r="E32" s="338"/>
      <c r="F32" s="338"/>
      <c r="G32" s="338"/>
      <c r="H32" s="338"/>
      <c r="I32" s="338"/>
      <c r="J32" s="339"/>
      <c r="K32" s="331">
        <v>10</v>
      </c>
      <c r="L32" s="329"/>
      <c r="M32" s="329"/>
      <c r="N32" s="329"/>
      <c r="O32" s="331"/>
    </row>
    <row r="33" spans="1:16" s="41" customFormat="1" ht="15" customHeight="1" x14ac:dyDescent="0.25">
      <c r="A33" s="380"/>
      <c r="B33" s="343"/>
      <c r="C33" s="344"/>
      <c r="D33" s="344"/>
      <c r="E33" s="344"/>
      <c r="F33" s="344"/>
      <c r="G33" s="344"/>
      <c r="H33" s="344"/>
      <c r="I33" s="344"/>
      <c r="J33" s="345"/>
      <c r="K33" s="372"/>
      <c r="L33" s="368"/>
      <c r="M33" s="368"/>
      <c r="N33" s="368"/>
      <c r="O33" s="372"/>
    </row>
    <row r="34" spans="1:16" s="41" customFormat="1" ht="15" customHeight="1" x14ac:dyDescent="0.25">
      <c r="A34" s="379" t="s">
        <v>87</v>
      </c>
      <c r="B34" s="337" t="s">
        <v>286</v>
      </c>
      <c r="C34" s="338"/>
      <c r="D34" s="338"/>
      <c r="E34" s="338"/>
      <c r="F34" s="338"/>
      <c r="G34" s="338"/>
      <c r="H34" s="338"/>
      <c r="I34" s="338"/>
      <c r="J34" s="339"/>
      <c r="K34" s="331">
        <v>10</v>
      </c>
      <c r="L34" s="329"/>
      <c r="M34" s="329"/>
      <c r="N34" s="329"/>
      <c r="O34" s="331" t="s">
        <v>58</v>
      </c>
    </row>
    <row r="35" spans="1:16" s="41" customFormat="1" ht="15" customHeight="1" x14ac:dyDescent="0.25">
      <c r="A35" s="381"/>
      <c r="B35" s="340"/>
      <c r="C35" s="341"/>
      <c r="D35" s="341"/>
      <c r="E35" s="341"/>
      <c r="F35" s="341"/>
      <c r="G35" s="341"/>
      <c r="H35" s="341"/>
      <c r="I35" s="341"/>
      <c r="J35" s="342"/>
      <c r="K35" s="350"/>
      <c r="L35" s="351"/>
      <c r="M35" s="351"/>
      <c r="N35" s="351"/>
      <c r="O35" s="350"/>
    </row>
    <row r="36" spans="1:16" s="41" customFormat="1" ht="15" customHeight="1" x14ac:dyDescent="0.25">
      <c r="A36" s="380"/>
      <c r="B36" s="343"/>
      <c r="C36" s="344"/>
      <c r="D36" s="344"/>
      <c r="E36" s="344"/>
      <c r="F36" s="344"/>
      <c r="G36" s="344"/>
      <c r="H36" s="344"/>
      <c r="I36" s="344"/>
      <c r="J36" s="345"/>
      <c r="K36" s="372"/>
      <c r="L36" s="368"/>
      <c r="M36" s="368"/>
      <c r="N36" s="368"/>
      <c r="O36" s="372"/>
    </row>
    <row r="37" spans="1:16" s="22" customFormat="1" ht="27.6" x14ac:dyDescent="0.25">
      <c r="A37" s="407" t="s">
        <v>54</v>
      </c>
      <c r="B37" s="408"/>
      <c r="C37" s="408"/>
      <c r="D37" s="408"/>
      <c r="E37" s="408"/>
      <c r="F37" s="408"/>
      <c r="G37" s="408"/>
      <c r="H37" s="408"/>
      <c r="I37" s="408"/>
      <c r="J37" s="409"/>
      <c r="K37" s="48" t="s">
        <v>53</v>
      </c>
      <c r="L37" s="68" t="s">
        <v>342</v>
      </c>
      <c r="M37" s="63" t="s">
        <v>341</v>
      </c>
      <c r="N37" s="68" t="s">
        <v>51</v>
      </c>
      <c r="O37" s="68" t="s">
        <v>50</v>
      </c>
      <c r="P37" s="21"/>
    </row>
    <row r="38" spans="1:16" s="41" customFormat="1" ht="15" customHeight="1" x14ac:dyDescent="0.25">
      <c r="A38" s="379" t="s">
        <v>88</v>
      </c>
      <c r="B38" s="337" t="s">
        <v>287</v>
      </c>
      <c r="C38" s="338"/>
      <c r="D38" s="338"/>
      <c r="E38" s="338"/>
      <c r="F38" s="338"/>
      <c r="G38" s="338"/>
      <c r="H38" s="338"/>
      <c r="I38" s="338"/>
      <c r="J38" s="339"/>
      <c r="K38" s="331">
        <v>10</v>
      </c>
      <c r="L38" s="329"/>
      <c r="M38" s="329"/>
      <c r="N38" s="329"/>
      <c r="O38" s="331"/>
    </row>
    <row r="39" spans="1:16" s="41" customFormat="1" ht="15" customHeight="1" x14ac:dyDescent="0.25">
      <c r="A39" s="380"/>
      <c r="B39" s="343"/>
      <c r="C39" s="344"/>
      <c r="D39" s="344"/>
      <c r="E39" s="344"/>
      <c r="F39" s="344"/>
      <c r="G39" s="344"/>
      <c r="H39" s="344"/>
      <c r="I39" s="344"/>
      <c r="J39" s="345"/>
      <c r="K39" s="372"/>
      <c r="L39" s="368"/>
      <c r="M39" s="368"/>
      <c r="N39" s="368"/>
      <c r="O39" s="372"/>
    </row>
    <row r="40" spans="1:16" s="41" customFormat="1" ht="15" customHeight="1" x14ac:dyDescent="0.25">
      <c r="A40" s="379" t="s">
        <v>89</v>
      </c>
      <c r="B40" s="337" t="s">
        <v>288</v>
      </c>
      <c r="C40" s="338"/>
      <c r="D40" s="338"/>
      <c r="E40" s="338"/>
      <c r="F40" s="338"/>
      <c r="G40" s="338"/>
      <c r="H40" s="338"/>
      <c r="I40" s="338"/>
      <c r="J40" s="339"/>
      <c r="K40" s="331">
        <v>10</v>
      </c>
      <c r="L40" s="329"/>
      <c r="M40" s="329"/>
      <c r="N40" s="329"/>
      <c r="O40" s="331" t="s">
        <v>225</v>
      </c>
    </row>
    <row r="41" spans="1:16" s="41" customFormat="1" ht="15" customHeight="1" x14ac:dyDescent="0.25">
      <c r="A41" s="385"/>
      <c r="B41" s="343"/>
      <c r="C41" s="344"/>
      <c r="D41" s="344"/>
      <c r="E41" s="344"/>
      <c r="F41" s="344"/>
      <c r="G41" s="344"/>
      <c r="H41" s="344"/>
      <c r="I41" s="344"/>
      <c r="J41" s="345"/>
      <c r="K41" s="332"/>
      <c r="L41" s="330"/>
      <c r="M41" s="330"/>
      <c r="N41" s="330"/>
      <c r="O41" s="332"/>
    </row>
    <row r="42" spans="1:16" s="41" customFormat="1" ht="15" customHeight="1" x14ac:dyDescent="0.25">
      <c r="A42" s="379" t="s">
        <v>90</v>
      </c>
      <c r="B42" s="337" t="s">
        <v>289</v>
      </c>
      <c r="C42" s="338"/>
      <c r="D42" s="338"/>
      <c r="E42" s="338"/>
      <c r="F42" s="338"/>
      <c r="G42" s="338"/>
      <c r="H42" s="338"/>
      <c r="I42" s="338"/>
      <c r="J42" s="339"/>
      <c r="K42" s="331">
        <v>10</v>
      </c>
      <c r="L42" s="329"/>
      <c r="M42" s="329"/>
      <c r="N42" s="329"/>
      <c r="O42" s="331" t="s">
        <v>58</v>
      </c>
    </row>
    <row r="43" spans="1:16" s="41" customFormat="1" ht="15" customHeight="1" x14ac:dyDescent="0.25">
      <c r="A43" s="381"/>
      <c r="B43" s="340"/>
      <c r="C43" s="341"/>
      <c r="D43" s="341"/>
      <c r="E43" s="341"/>
      <c r="F43" s="341"/>
      <c r="G43" s="341"/>
      <c r="H43" s="341"/>
      <c r="I43" s="341"/>
      <c r="J43" s="342"/>
      <c r="K43" s="350"/>
      <c r="L43" s="351"/>
      <c r="M43" s="351"/>
      <c r="N43" s="351"/>
      <c r="O43" s="350"/>
    </row>
    <row r="44" spans="1:16" s="41" customFormat="1" ht="15" customHeight="1" x14ac:dyDescent="0.25">
      <c r="A44" s="381"/>
      <c r="B44" s="340"/>
      <c r="C44" s="341"/>
      <c r="D44" s="341"/>
      <c r="E44" s="341"/>
      <c r="F44" s="341"/>
      <c r="G44" s="341"/>
      <c r="H44" s="341"/>
      <c r="I44" s="341"/>
      <c r="J44" s="342"/>
      <c r="K44" s="350"/>
      <c r="L44" s="351"/>
      <c r="M44" s="351"/>
      <c r="N44" s="351"/>
      <c r="O44" s="350"/>
    </row>
    <row r="45" spans="1:16" s="41" customFormat="1" ht="15" customHeight="1" x14ac:dyDescent="0.25">
      <c r="A45" s="381"/>
      <c r="B45" s="340"/>
      <c r="C45" s="341"/>
      <c r="D45" s="341"/>
      <c r="E45" s="341"/>
      <c r="F45" s="341"/>
      <c r="G45" s="341"/>
      <c r="H45" s="341"/>
      <c r="I45" s="341"/>
      <c r="J45" s="342"/>
      <c r="K45" s="350"/>
      <c r="L45" s="351"/>
      <c r="M45" s="351"/>
      <c r="N45" s="351"/>
      <c r="O45" s="350"/>
    </row>
    <row r="46" spans="1:16" s="41" customFormat="1" ht="15" customHeight="1" x14ac:dyDescent="0.25">
      <c r="A46" s="381"/>
      <c r="B46" s="343"/>
      <c r="C46" s="344"/>
      <c r="D46" s="344"/>
      <c r="E46" s="344"/>
      <c r="F46" s="344"/>
      <c r="G46" s="344"/>
      <c r="H46" s="344"/>
      <c r="I46" s="344"/>
      <c r="J46" s="345"/>
      <c r="K46" s="350"/>
      <c r="L46" s="351"/>
      <c r="M46" s="351"/>
      <c r="N46" s="351"/>
      <c r="O46" s="350"/>
    </row>
    <row r="47" spans="1:16" s="41" customFormat="1" ht="15" customHeight="1" x14ac:dyDescent="0.25">
      <c r="A47" s="404" t="s">
        <v>91</v>
      </c>
      <c r="B47" s="337" t="s">
        <v>290</v>
      </c>
      <c r="C47" s="338"/>
      <c r="D47" s="338"/>
      <c r="E47" s="338"/>
      <c r="F47" s="338"/>
      <c r="G47" s="338"/>
      <c r="H47" s="338"/>
      <c r="I47" s="338"/>
      <c r="J47" s="339"/>
      <c r="K47" s="331">
        <v>15</v>
      </c>
      <c r="L47" s="329"/>
      <c r="M47" s="329"/>
      <c r="N47" s="354"/>
      <c r="O47" s="331" t="s">
        <v>226</v>
      </c>
    </row>
    <row r="48" spans="1:16" s="41" customFormat="1" ht="15" customHeight="1" x14ac:dyDescent="0.25">
      <c r="A48" s="405"/>
      <c r="B48" s="340"/>
      <c r="C48" s="341"/>
      <c r="D48" s="341"/>
      <c r="E48" s="341"/>
      <c r="F48" s="341"/>
      <c r="G48" s="341"/>
      <c r="H48" s="341"/>
      <c r="I48" s="341"/>
      <c r="J48" s="342"/>
      <c r="K48" s="350"/>
      <c r="L48" s="351"/>
      <c r="M48" s="351"/>
      <c r="N48" s="355"/>
      <c r="O48" s="350"/>
    </row>
    <row r="49" spans="1:15" s="41" customFormat="1" ht="15" customHeight="1" x14ac:dyDescent="0.25">
      <c r="A49" s="405"/>
      <c r="B49" s="340"/>
      <c r="C49" s="341"/>
      <c r="D49" s="341"/>
      <c r="E49" s="341"/>
      <c r="F49" s="341"/>
      <c r="G49" s="341"/>
      <c r="H49" s="341"/>
      <c r="I49" s="341"/>
      <c r="J49" s="342"/>
      <c r="K49" s="350"/>
      <c r="L49" s="351"/>
      <c r="M49" s="351"/>
      <c r="N49" s="355"/>
      <c r="O49" s="350"/>
    </row>
    <row r="50" spans="1:15" s="41" customFormat="1" ht="15" customHeight="1" x14ac:dyDescent="0.25">
      <c r="A50" s="405"/>
      <c r="B50" s="340"/>
      <c r="C50" s="341"/>
      <c r="D50" s="341"/>
      <c r="E50" s="341"/>
      <c r="F50" s="341"/>
      <c r="G50" s="341"/>
      <c r="H50" s="341"/>
      <c r="I50" s="341"/>
      <c r="J50" s="342"/>
      <c r="K50" s="350"/>
      <c r="L50" s="351"/>
      <c r="M50" s="351"/>
      <c r="N50" s="355"/>
      <c r="O50" s="350"/>
    </row>
    <row r="51" spans="1:15" s="41" customFormat="1" ht="15" customHeight="1" x14ac:dyDescent="0.25">
      <c r="A51" s="406"/>
      <c r="B51" s="343"/>
      <c r="C51" s="344"/>
      <c r="D51" s="344"/>
      <c r="E51" s="344"/>
      <c r="F51" s="344"/>
      <c r="G51" s="344"/>
      <c r="H51" s="344"/>
      <c r="I51" s="344"/>
      <c r="J51" s="345"/>
      <c r="K51" s="332"/>
      <c r="L51" s="330"/>
      <c r="M51" s="330"/>
      <c r="N51" s="356"/>
      <c r="O51" s="332"/>
    </row>
    <row r="52" spans="1:15" s="41" customFormat="1" ht="15" customHeight="1" x14ac:dyDescent="0.25">
      <c r="A52" s="379" t="s">
        <v>92</v>
      </c>
      <c r="B52" s="337" t="s">
        <v>350</v>
      </c>
      <c r="C52" s="338"/>
      <c r="D52" s="338"/>
      <c r="E52" s="338"/>
      <c r="F52" s="338"/>
      <c r="G52" s="338"/>
      <c r="H52" s="338"/>
      <c r="I52" s="338"/>
      <c r="J52" s="339"/>
      <c r="K52" s="331">
        <v>10</v>
      </c>
      <c r="L52" s="329"/>
      <c r="M52" s="329"/>
      <c r="N52" s="354"/>
      <c r="O52" s="331"/>
    </row>
    <row r="53" spans="1:15" s="41" customFormat="1" ht="15" customHeight="1" x14ac:dyDescent="0.25">
      <c r="A53" s="385"/>
      <c r="B53" s="343"/>
      <c r="C53" s="344"/>
      <c r="D53" s="344"/>
      <c r="E53" s="344"/>
      <c r="F53" s="344"/>
      <c r="G53" s="344"/>
      <c r="H53" s="344"/>
      <c r="I53" s="344"/>
      <c r="J53" s="345"/>
      <c r="K53" s="332"/>
      <c r="L53" s="330"/>
      <c r="M53" s="330"/>
      <c r="N53" s="356"/>
      <c r="O53" s="332"/>
    </row>
    <row r="54" spans="1:15" s="41" customFormat="1" ht="15" customHeight="1" x14ac:dyDescent="0.25">
      <c r="A54" s="379" t="s">
        <v>93</v>
      </c>
      <c r="B54" s="337" t="s">
        <v>291</v>
      </c>
      <c r="C54" s="338"/>
      <c r="D54" s="338"/>
      <c r="E54" s="338"/>
      <c r="F54" s="338"/>
      <c r="G54" s="338"/>
      <c r="H54" s="338"/>
      <c r="I54" s="338"/>
      <c r="J54" s="339"/>
      <c r="K54" s="331">
        <v>10</v>
      </c>
      <c r="L54" s="329"/>
      <c r="M54" s="329"/>
      <c r="N54" s="352"/>
      <c r="O54" s="331"/>
    </row>
    <row r="55" spans="1:15" s="41" customFormat="1" ht="15" customHeight="1" x14ac:dyDescent="0.25">
      <c r="A55" s="385"/>
      <c r="B55" s="343"/>
      <c r="C55" s="344"/>
      <c r="D55" s="344"/>
      <c r="E55" s="344"/>
      <c r="F55" s="344"/>
      <c r="G55" s="344"/>
      <c r="H55" s="344"/>
      <c r="I55" s="344"/>
      <c r="J55" s="345"/>
      <c r="K55" s="332"/>
      <c r="L55" s="330"/>
      <c r="M55" s="330"/>
      <c r="N55" s="353"/>
      <c r="O55" s="332"/>
    </row>
    <row r="56" spans="1:15" s="41" customFormat="1" ht="15" customHeight="1" x14ac:dyDescent="0.25">
      <c r="A56" s="379" t="s">
        <v>94</v>
      </c>
      <c r="B56" s="337" t="s">
        <v>292</v>
      </c>
      <c r="C56" s="338"/>
      <c r="D56" s="338"/>
      <c r="E56" s="338"/>
      <c r="F56" s="338"/>
      <c r="G56" s="338"/>
      <c r="H56" s="338"/>
      <c r="I56" s="338"/>
      <c r="J56" s="339"/>
      <c r="K56" s="331">
        <v>5</v>
      </c>
      <c r="L56" s="329"/>
      <c r="M56" s="329"/>
      <c r="N56" s="354"/>
      <c r="O56" s="331"/>
    </row>
    <row r="57" spans="1:15" s="41" customFormat="1" ht="15" customHeight="1" x14ac:dyDescent="0.25">
      <c r="A57" s="385"/>
      <c r="B57" s="343"/>
      <c r="C57" s="344"/>
      <c r="D57" s="344"/>
      <c r="E57" s="344"/>
      <c r="F57" s="344"/>
      <c r="G57" s="344"/>
      <c r="H57" s="344"/>
      <c r="I57" s="344"/>
      <c r="J57" s="345"/>
      <c r="K57" s="332"/>
      <c r="L57" s="330"/>
      <c r="M57" s="330"/>
      <c r="N57" s="356"/>
      <c r="O57" s="332"/>
    </row>
    <row r="58" spans="1:15" s="41" customFormat="1" ht="15" customHeight="1" x14ac:dyDescent="0.25">
      <c r="A58" s="379" t="s">
        <v>95</v>
      </c>
      <c r="B58" s="337" t="s">
        <v>293</v>
      </c>
      <c r="C58" s="338"/>
      <c r="D58" s="338"/>
      <c r="E58" s="338"/>
      <c r="F58" s="338"/>
      <c r="G58" s="338"/>
      <c r="H58" s="338"/>
      <c r="I58" s="338"/>
      <c r="J58" s="339"/>
      <c r="K58" s="331">
        <v>5</v>
      </c>
      <c r="L58" s="329"/>
      <c r="M58" s="329"/>
      <c r="N58" s="354"/>
      <c r="O58" s="331"/>
    </row>
    <row r="59" spans="1:15" s="41" customFormat="1" ht="15" customHeight="1" x14ac:dyDescent="0.25">
      <c r="A59" s="385"/>
      <c r="B59" s="343"/>
      <c r="C59" s="344"/>
      <c r="D59" s="344"/>
      <c r="E59" s="344"/>
      <c r="F59" s="344"/>
      <c r="G59" s="344"/>
      <c r="H59" s="344"/>
      <c r="I59" s="344"/>
      <c r="J59" s="345"/>
      <c r="K59" s="332"/>
      <c r="L59" s="330"/>
      <c r="M59" s="330"/>
      <c r="N59" s="356"/>
      <c r="O59" s="332"/>
    </row>
    <row r="60" spans="1:15" s="41" customFormat="1" ht="15" customHeight="1" x14ac:dyDescent="0.25">
      <c r="A60" s="379" t="s">
        <v>96</v>
      </c>
      <c r="B60" s="337" t="s">
        <v>351</v>
      </c>
      <c r="C60" s="338"/>
      <c r="D60" s="338"/>
      <c r="E60" s="338"/>
      <c r="F60" s="338"/>
      <c r="G60" s="338"/>
      <c r="H60" s="338"/>
      <c r="I60" s="338"/>
      <c r="J60" s="339"/>
      <c r="K60" s="331">
        <v>5</v>
      </c>
      <c r="L60" s="329"/>
      <c r="M60" s="329"/>
      <c r="N60" s="329"/>
      <c r="O60" s="331"/>
    </row>
    <row r="61" spans="1:15" s="41" customFormat="1" ht="15" customHeight="1" x14ac:dyDescent="0.25">
      <c r="A61" s="381"/>
      <c r="B61" s="340"/>
      <c r="C61" s="341"/>
      <c r="D61" s="341"/>
      <c r="E61" s="341"/>
      <c r="F61" s="341"/>
      <c r="G61" s="341"/>
      <c r="H61" s="341"/>
      <c r="I61" s="341"/>
      <c r="J61" s="342"/>
      <c r="K61" s="350"/>
      <c r="L61" s="351"/>
      <c r="M61" s="351"/>
      <c r="N61" s="351"/>
      <c r="O61" s="350"/>
    </row>
    <row r="62" spans="1:15" s="41" customFormat="1" ht="15" customHeight="1" x14ac:dyDescent="0.25">
      <c r="A62" s="381"/>
      <c r="B62" s="340"/>
      <c r="C62" s="341"/>
      <c r="D62" s="341"/>
      <c r="E62" s="341"/>
      <c r="F62" s="341"/>
      <c r="G62" s="341"/>
      <c r="H62" s="341"/>
      <c r="I62" s="341"/>
      <c r="J62" s="342"/>
      <c r="K62" s="350"/>
      <c r="L62" s="351"/>
      <c r="M62" s="351"/>
      <c r="N62" s="351"/>
      <c r="O62" s="350"/>
    </row>
    <row r="63" spans="1:15" s="41" customFormat="1" ht="15" customHeight="1" x14ac:dyDescent="0.25">
      <c r="A63" s="385"/>
      <c r="B63" s="343"/>
      <c r="C63" s="344"/>
      <c r="D63" s="344"/>
      <c r="E63" s="344"/>
      <c r="F63" s="344"/>
      <c r="G63" s="344"/>
      <c r="H63" s="344"/>
      <c r="I63" s="344"/>
      <c r="J63" s="345"/>
      <c r="K63" s="332"/>
      <c r="L63" s="330"/>
      <c r="M63" s="330"/>
      <c r="N63" s="330"/>
      <c r="O63" s="332"/>
    </row>
    <row r="64" spans="1:15" s="41" customFormat="1" ht="15" customHeight="1" x14ac:dyDescent="0.25">
      <c r="A64" s="62" t="s">
        <v>97</v>
      </c>
      <c r="B64" s="389" t="s">
        <v>294</v>
      </c>
      <c r="C64" s="390"/>
      <c r="D64" s="390"/>
      <c r="E64" s="390"/>
      <c r="F64" s="391"/>
      <c r="G64" s="391"/>
      <c r="H64" s="391"/>
      <c r="I64" s="391"/>
      <c r="J64" s="392"/>
      <c r="K64" s="32">
        <v>5</v>
      </c>
      <c r="L64" s="33"/>
      <c r="M64" s="33"/>
      <c r="N64" s="44"/>
      <c r="O64" s="32"/>
    </row>
    <row r="65" spans="1:16" s="41" customFormat="1" ht="15" customHeight="1" x14ac:dyDescent="0.25">
      <c r="A65" s="62" t="s">
        <v>98</v>
      </c>
      <c r="B65" s="337" t="s">
        <v>295</v>
      </c>
      <c r="C65" s="338"/>
      <c r="D65" s="338"/>
      <c r="E65" s="338"/>
      <c r="F65" s="386"/>
      <c r="G65" s="386"/>
      <c r="H65" s="386"/>
      <c r="I65" s="386"/>
      <c r="J65" s="387"/>
      <c r="K65" s="32">
        <v>5</v>
      </c>
      <c r="L65" s="33"/>
      <c r="M65" s="33"/>
      <c r="N65" s="33"/>
      <c r="O65" s="32"/>
    </row>
    <row r="66" spans="1:16" s="41" customFormat="1" ht="15" customHeight="1" x14ac:dyDescent="0.25">
      <c r="A66" s="379" t="s">
        <v>99</v>
      </c>
      <c r="B66" s="337" t="s">
        <v>296</v>
      </c>
      <c r="C66" s="338"/>
      <c r="D66" s="338"/>
      <c r="E66" s="338"/>
      <c r="F66" s="338"/>
      <c r="G66" s="338"/>
      <c r="H66" s="338"/>
      <c r="I66" s="338"/>
      <c r="J66" s="339"/>
      <c r="K66" s="331">
        <v>5</v>
      </c>
      <c r="L66" s="329"/>
      <c r="M66" s="329"/>
      <c r="N66" s="354"/>
      <c r="O66" s="331"/>
    </row>
    <row r="67" spans="1:16" s="41" customFormat="1" ht="15" customHeight="1" x14ac:dyDescent="0.25">
      <c r="A67" s="385"/>
      <c r="B67" s="343"/>
      <c r="C67" s="344"/>
      <c r="D67" s="344"/>
      <c r="E67" s="344"/>
      <c r="F67" s="344"/>
      <c r="G67" s="344"/>
      <c r="H67" s="344"/>
      <c r="I67" s="344"/>
      <c r="J67" s="345"/>
      <c r="K67" s="332"/>
      <c r="L67" s="330"/>
      <c r="M67" s="330"/>
      <c r="N67" s="356"/>
      <c r="O67" s="332"/>
    </row>
    <row r="68" spans="1:16" s="41" customFormat="1" ht="15" customHeight="1" x14ac:dyDescent="0.25">
      <c r="A68" s="379" t="s">
        <v>100</v>
      </c>
      <c r="B68" s="337" t="s">
        <v>297</v>
      </c>
      <c r="C68" s="338"/>
      <c r="D68" s="338"/>
      <c r="E68" s="338"/>
      <c r="F68" s="338"/>
      <c r="G68" s="338"/>
      <c r="H68" s="338"/>
      <c r="I68" s="338"/>
      <c r="J68" s="339"/>
      <c r="K68" s="331">
        <v>10</v>
      </c>
      <c r="L68" s="329"/>
      <c r="M68" s="329"/>
      <c r="N68" s="354"/>
      <c r="O68" s="331"/>
    </row>
    <row r="69" spans="1:16" s="41" customFormat="1" ht="15" customHeight="1" x14ac:dyDescent="0.25">
      <c r="A69" s="381"/>
      <c r="B69" s="340"/>
      <c r="C69" s="341"/>
      <c r="D69" s="341"/>
      <c r="E69" s="341"/>
      <c r="F69" s="341"/>
      <c r="G69" s="341"/>
      <c r="H69" s="341"/>
      <c r="I69" s="341"/>
      <c r="J69" s="342"/>
      <c r="K69" s="350"/>
      <c r="L69" s="351"/>
      <c r="M69" s="351"/>
      <c r="N69" s="355"/>
      <c r="O69" s="350"/>
    </row>
    <row r="70" spans="1:16" s="41" customFormat="1" ht="15" customHeight="1" x14ac:dyDescent="0.25">
      <c r="A70" s="381"/>
      <c r="B70" s="340"/>
      <c r="C70" s="341"/>
      <c r="D70" s="341"/>
      <c r="E70" s="341"/>
      <c r="F70" s="341"/>
      <c r="G70" s="341"/>
      <c r="H70" s="341"/>
      <c r="I70" s="341"/>
      <c r="J70" s="342"/>
      <c r="K70" s="350"/>
      <c r="L70" s="351"/>
      <c r="M70" s="351"/>
      <c r="N70" s="355"/>
      <c r="O70" s="350"/>
    </row>
    <row r="71" spans="1:16" s="41" customFormat="1" ht="15" customHeight="1" x14ac:dyDescent="0.25">
      <c r="A71" s="385"/>
      <c r="B71" s="343"/>
      <c r="C71" s="344"/>
      <c r="D71" s="344"/>
      <c r="E71" s="344"/>
      <c r="F71" s="344"/>
      <c r="G71" s="344"/>
      <c r="H71" s="344"/>
      <c r="I71" s="344"/>
      <c r="J71" s="345"/>
      <c r="K71" s="332"/>
      <c r="L71" s="330"/>
      <c r="M71" s="330"/>
      <c r="N71" s="356"/>
      <c r="O71" s="332"/>
    </row>
    <row r="72" spans="1:16" s="41" customFormat="1" ht="15" customHeight="1" x14ac:dyDescent="0.25">
      <c r="A72" s="379" t="s">
        <v>101</v>
      </c>
      <c r="B72" s="337" t="s">
        <v>298</v>
      </c>
      <c r="C72" s="338"/>
      <c r="D72" s="338"/>
      <c r="E72" s="338"/>
      <c r="F72" s="338"/>
      <c r="G72" s="338"/>
      <c r="H72" s="338"/>
      <c r="I72" s="338"/>
      <c r="J72" s="339"/>
      <c r="K72" s="331">
        <v>10</v>
      </c>
      <c r="L72" s="329"/>
      <c r="M72" s="329"/>
      <c r="N72" s="354"/>
      <c r="O72" s="331"/>
    </row>
    <row r="73" spans="1:16" s="41" customFormat="1" ht="15" customHeight="1" x14ac:dyDescent="0.25">
      <c r="A73" s="381"/>
      <c r="B73" s="340"/>
      <c r="C73" s="341"/>
      <c r="D73" s="341"/>
      <c r="E73" s="341"/>
      <c r="F73" s="341"/>
      <c r="G73" s="341"/>
      <c r="H73" s="341"/>
      <c r="I73" s="341"/>
      <c r="J73" s="342"/>
      <c r="K73" s="350"/>
      <c r="L73" s="351"/>
      <c r="M73" s="351"/>
      <c r="N73" s="355"/>
      <c r="O73" s="350"/>
    </row>
    <row r="74" spans="1:16" s="41" customFormat="1" ht="15" customHeight="1" x14ac:dyDescent="0.25">
      <c r="A74" s="381"/>
      <c r="B74" s="340"/>
      <c r="C74" s="341"/>
      <c r="D74" s="341"/>
      <c r="E74" s="341"/>
      <c r="F74" s="341"/>
      <c r="G74" s="341"/>
      <c r="H74" s="341"/>
      <c r="I74" s="341"/>
      <c r="J74" s="342"/>
      <c r="K74" s="350"/>
      <c r="L74" s="351"/>
      <c r="M74" s="351"/>
      <c r="N74" s="355"/>
      <c r="O74" s="350"/>
    </row>
    <row r="75" spans="1:16" s="41" customFormat="1" ht="15" customHeight="1" x14ac:dyDescent="0.25">
      <c r="A75" s="385"/>
      <c r="B75" s="343"/>
      <c r="C75" s="344"/>
      <c r="D75" s="344"/>
      <c r="E75" s="344"/>
      <c r="F75" s="344"/>
      <c r="G75" s="344"/>
      <c r="H75" s="344"/>
      <c r="I75" s="344"/>
      <c r="J75" s="345"/>
      <c r="K75" s="332"/>
      <c r="L75" s="330"/>
      <c r="M75" s="330"/>
      <c r="N75" s="356"/>
      <c r="O75" s="332"/>
    </row>
    <row r="76" spans="1:16" ht="30" customHeight="1" x14ac:dyDescent="0.25">
      <c r="A76" s="388" t="s">
        <v>75</v>
      </c>
      <c r="B76" s="388"/>
      <c r="C76" s="388"/>
      <c r="D76" s="388"/>
      <c r="E76" s="388"/>
      <c r="F76" s="388"/>
      <c r="G76" s="388"/>
      <c r="H76" s="388"/>
      <c r="I76" s="388"/>
      <c r="J76" s="388"/>
      <c r="K76" s="388"/>
      <c r="L76" s="388"/>
      <c r="M76" s="388"/>
      <c r="N76" s="388"/>
      <c r="O76" s="388"/>
    </row>
    <row r="77" spans="1:16" s="22" customFormat="1" ht="27.6" x14ac:dyDescent="0.25">
      <c r="A77" s="333" t="s">
        <v>54</v>
      </c>
      <c r="B77" s="334"/>
      <c r="C77" s="334"/>
      <c r="D77" s="334"/>
      <c r="E77" s="334"/>
      <c r="F77" s="334"/>
      <c r="G77" s="334"/>
      <c r="H77" s="334"/>
      <c r="I77" s="334"/>
      <c r="J77" s="335"/>
      <c r="K77" s="48" t="s">
        <v>53</v>
      </c>
      <c r="L77" s="61" t="s">
        <v>342</v>
      </c>
      <c r="M77" s="63" t="s">
        <v>341</v>
      </c>
      <c r="N77" s="61" t="s">
        <v>51</v>
      </c>
      <c r="O77" s="61" t="s">
        <v>50</v>
      </c>
      <c r="P77" s="21"/>
    </row>
    <row r="78" spans="1:16" s="41" customFormat="1" ht="15" customHeight="1" x14ac:dyDescent="0.25">
      <c r="A78" s="347" t="s">
        <v>102</v>
      </c>
      <c r="B78" s="337" t="s">
        <v>299</v>
      </c>
      <c r="C78" s="338"/>
      <c r="D78" s="338"/>
      <c r="E78" s="338"/>
      <c r="F78" s="338"/>
      <c r="G78" s="338"/>
      <c r="H78" s="338"/>
      <c r="I78" s="338"/>
      <c r="J78" s="339"/>
      <c r="K78" s="331">
        <v>10</v>
      </c>
      <c r="L78" s="329"/>
      <c r="M78" s="329"/>
      <c r="N78" s="354"/>
      <c r="O78" s="331" t="s">
        <v>58</v>
      </c>
    </row>
    <row r="79" spans="1:16" s="41" customFormat="1" ht="15" customHeight="1" x14ac:dyDescent="0.25">
      <c r="A79" s="349"/>
      <c r="B79" s="343"/>
      <c r="C79" s="344"/>
      <c r="D79" s="344"/>
      <c r="E79" s="344"/>
      <c r="F79" s="344"/>
      <c r="G79" s="344"/>
      <c r="H79" s="344"/>
      <c r="I79" s="344"/>
      <c r="J79" s="345"/>
      <c r="K79" s="332"/>
      <c r="L79" s="330"/>
      <c r="M79" s="330"/>
      <c r="N79" s="356"/>
      <c r="O79" s="332"/>
    </row>
    <row r="80" spans="1:16" s="41" customFormat="1" ht="15" customHeight="1" x14ac:dyDescent="0.25">
      <c r="A80" s="347" t="s">
        <v>103</v>
      </c>
      <c r="B80" s="337" t="s">
        <v>300</v>
      </c>
      <c r="C80" s="338"/>
      <c r="D80" s="338"/>
      <c r="E80" s="338"/>
      <c r="F80" s="338"/>
      <c r="G80" s="338"/>
      <c r="H80" s="338"/>
      <c r="I80" s="338"/>
      <c r="J80" s="339"/>
      <c r="K80" s="331">
        <v>10</v>
      </c>
      <c r="L80" s="329"/>
      <c r="M80" s="329"/>
      <c r="N80" s="354"/>
      <c r="O80" s="331" t="s">
        <v>58</v>
      </c>
    </row>
    <row r="81" spans="1:16" s="41" customFormat="1" ht="15" customHeight="1" x14ac:dyDescent="0.25">
      <c r="A81" s="349"/>
      <c r="B81" s="343"/>
      <c r="C81" s="344"/>
      <c r="D81" s="344"/>
      <c r="E81" s="344"/>
      <c r="F81" s="344"/>
      <c r="G81" s="344"/>
      <c r="H81" s="344"/>
      <c r="I81" s="344"/>
      <c r="J81" s="345"/>
      <c r="K81" s="332"/>
      <c r="L81" s="330"/>
      <c r="M81" s="330"/>
      <c r="N81" s="356"/>
      <c r="O81" s="332"/>
    </row>
    <row r="82" spans="1:16" s="41" customFormat="1" ht="15" customHeight="1" x14ac:dyDescent="0.25">
      <c r="A82" s="347" t="s">
        <v>104</v>
      </c>
      <c r="B82" s="337" t="s">
        <v>372</v>
      </c>
      <c r="C82" s="338"/>
      <c r="D82" s="338"/>
      <c r="E82" s="338"/>
      <c r="F82" s="338"/>
      <c r="G82" s="338"/>
      <c r="H82" s="338"/>
      <c r="I82" s="338"/>
      <c r="J82" s="339"/>
      <c r="K82" s="331">
        <v>5</v>
      </c>
      <c r="L82" s="329"/>
      <c r="M82" s="329"/>
      <c r="N82" s="329"/>
      <c r="O82" s="331" t="s">
        <v>225</v>
      </c>
    </row>
    <row r="83" spans="1:16" s="41" customFormat="1" ht="15" customHeight="1" x14ac:dyDescent="0.25">
      <c r="A83" s="349"/>
      <c r="B83" s="343"/>
      <c r="C83" s="344"/>
      <c r="D83" s="344"/>
      <c r="E83" s="344"/>
      <c r="F83" s="344"/>
      <c r="G83" s="344"/>
      <c r="H83" s="344"/>
      <c r="I83" s="344"/>
      <c r="J83" s="345"/>
      <c r="K83" s="332"/>
      <c r="L83" s="330"/>
      <c r="M83" s="330"/>
      <c r="N83" s="330"/>
      <c r="O83" s="332"/>
    </row>
    <row r="84" spans="1:16" s="41" customFormat="1" ht="15" customHeight="1" x14ac:dyDescent="0.25">
      <c r="A84" s="347" t="s">
        <v>229</v>
      </c>
      <c r="B84" s="337" t="s">
        <v>373</v>
      </c>
      <c r="C84" s="338"/>
      <c r="D84" s="338"/>
      <c r="E84" s="338"/>
      <c r="F84" s="338"/>
      <c r="G84" s="338"/>
      <c r="H84" s="338"/>
      <c r="I84" s="338"/>
      <c r="J84" s="339"/>
      <c r="K84" s="331">
        <v>5</v>
      </c>
      <c r="L84" s="329"/>
      <c r="M84" s="329"/>
      <c r="N84" s="354"/>
      <c r="O84" s="331"/>
    </row>
    <row r="85" spans="1:16" s="41" customFormat="1" ht="15" customHeight="1" x14ac:dyDescent="0.25">
      <c r="A85" s="348"/>
      <c r="B85" s="340"/>
      <c r="C85" s="341"/>
      <c r="D85" s="341"/>
      <c r="E85" s="341"/>
      <c r="F85" s="341"/>
      <c r="G85" s="341"/>
      <c r="H85" s="341"/>
      <c r="I85" s="341"/>
      <c r="J85" s="342"/>
      <c r="K85" s="350"/>
      <c r="L85" s="351"/>
      <c r="M85" s="351"/>
      <c r="N85" s="355"/>
      <c r="O85" s="350"/>
    </row>
    <row r="86" spans="1:16" s="41" customFormat="1" ht="15" customHeight="1" x14ac:dyDescent="0.25">
      <c r="A86" s="349"/>
      <c r="B86" s="343"/>
      <c r="C86" s="344"/>
      <c r="D86" s="344"/>
      <c r="E86" s="344"/>
      <c r="F86" s="344"/>
      <c r="G86" s="344"/>
      <c r="H86" s="344"/>
      <c r="I86" s="344"/>
      <c r="J86" s="345"/>
      <c r="K86" s="332"/>
      <c r="L86" s="330"/>
      <c r="M86" s="330"/>
      <c r="N86" s="356"/>
      <c r="O86" s="332"/>
    </row>
    <row r="87" spans="1:16" s="45" customFormat="1" ht="30" customHeight="1" x14ac:dyDescent="0.3">
      <c r="A87" s="346" t="s">
        <v>105</v>
      </c>
      <c r="B87" s="346"/>
      <c r="C87" s="346"/>
      <c r="D87" s="346"/>
      <c r="E87" s="346"/>
      <c r="F87" s="346"/>
      <c r="G87" s="346"/>
      <c r="H87" s="346"/>
      <c r="I87" s="346"/>
      <c r="J87" s="346"/>
      <c r="K87" s="346"/>
      <c r="L87" s="346"/>
      <c r="M87" s="346"/>
      <c r="N87" s="346"/>
      <c r="O87" s="346"/>
    </row>
    <row r="88" spans="1:16" s="41" customFormat="1" ht="15" customHeight="1" x14ac:dyDescent="0.25">
      <c r="A88" s="144" t="s">
        <v>251</v>
      </c>
      <c r="B88" s="144"/>
      <c r="C88" s="144"/>
      <c r="D88" s="144"/>
      <c r="E88" s="144"/>
      <c r="F88" s="144"/>
      <c r="G88" s="144"/>
      <c r="H88" s="144"/>
      <c r="I88" s="144"/>
      <c r="J88" s="144"/>
      <c r="K88" s="144"/>
      <c r="L88" s="144"/>
      <c r="M88" s="144"/>
      <c r="N88" s="144"/>
      <c r="O88" s="144"/>
    </row>
    <row r="89" spans="1:16" s="41" customFormat="1" ht="15.75" customHeight="1" x14ac:dyDescent="0.25">
      <c r="A89" s="410"/>
      <c r="B89" s="410"/>
      <c r="C89" s="411"/>
      <c r="D89" s="49"/>
      <c r="E89" s="52" t="s">
        <v>76</v>
      </c>
      <c r="F89" s="412"/>
      <c r="G89" s="413"/>
      <c r="H89" s="49"/>
      <c r="I89" s="144" t="s">
        <v>52</v>
      </c>
      <c r="J89" s="414"/>
      <c r="K89" s="415" t="s">
        <v>247</v>
      </c>
      <c r="L89" s="415"/>
      <c r="M89" s="415"/>
      <c r="N89" s="415"/>
      <c r="O89" s="415"/>
    </row>
    <row r="90" spans="1:16" s="41" customFormat="1" ht="15" customHeight="1" x14ac:dyDescent="0.25">
      <c r="A90" s="144" t="s">
        <v>252</v>
      </c>
      <c r="B90" s="144"/>
      <c r="C90" s="144"/>
      <c r="D90" s="144"/>
      <c r="E90" s="144"/>
      <c r="F90" s="144"/>
      <c r="G90" s="144"/>
      <c r="H90" s="144"/>
      <c r="I90" s="144"/>
      <c r="J90" s="144"/>
      <c r="K90" s="144"/>
      <c r="L90" s="144"/>
      <c r="M90" s="144"/>
      <c r="N90" s="144"/>
      <c r="O90" s="144"/>
    </row>
    <row r="91" spans="1:16" s="41" customFormat="1" ht="15" customHeight="1" x14ac:dyDescent="0.25">
      <c r="A91" s="172" t="s">
        <v>374</v>
      </c>
      <c r="B91" s="172"/>
      <c r="C91" s="172"/>
      <c r="D91" s="172"/>
      <c r="E91" s="172"/>
      <c r="F91" s="172"/>
      <c r="G91" s="172"/>
      <c r="H91" s="172"/>
      <c r="I91" s="172"/>
      <c r="J91" s="172"/>
      <c r="K91" s="172"/>
      <c r="L91" s="172"/>
      <c r="M91" s="172"/>
      <c r="N91" s="172"/>
      <c r="O91" s="172"/>
    </row>
    <row r="92" spans="1:16" s="43" customFormat="1" ht="6" customHeight="1" x14ac:dyDescent="0.25">
      <c r="A92" s="357"/>
      <c r="B92" s="357"/>
      <c r="C92" s="357"/>
      <c r="D92" s="357"/>
      <c r="E92" s="357"/>
      <c r="F92" s="357"/>
      <c r="G92" s="357"/>
      <c r="H92" s="357"/>
      <c r="I92" s="357"/>
      <c r="J92" s="357"/>
      <c r="K92" s="357"/>
      <c r="L92" s="357"/>
      <c r="M92" s="357"/>
      <c r="N92" s="357"/>
      <c r="O92" s="357"/>
      <c r="P92" s="46"/>
    </row>
    <row r="93" spans="1:16" s="22" customFormat="1" ht="27.6" x14ac:dyDescent="0.25">
      <c r="A93" s="333" t="s">
        <v>54</v>
      </c>
      <c r="B93" s="334"/>
      <c r="C93" s="334"/>
      <c r="D93" s="334"/>
      <c r="E93" s="334"/>
      <c r="F93" s="334"/>
      <c r="G93" s="334"/>
      <c r="H93" s="334"/>
      <c r="I93" s="334"/>
      <c r="J93" s="335"/>
      <c r="K93" s="48" t="s">
        <v>53</v>
      </c>
      <c r="L93" s="61" t="s">
        <v>342</v>
      </c>
      <c r="M93" s="63" t="s">
        <v>341</v>
      </c>
      <c r="N93" s="61" t="s">
        <v>51</v>
      </c>
      <c r="O93" s="61" t="s">
        <v>50</v>
      </c>
      <c r="P93" s="21"/>
    </row>
    <row r="94" spans="1:16" s="41" customFormat="1" ht="15" customHeight="1" x14ac:dyDescent="0.25">
      <c r="A94" s="347" t="s">
        <v>106</v>
      </c>
      <c r="B94" s="337" t="s">
        <v>301</v>
      </c>
      <c r="C94" s="338"/>
      <c r="D94" s="338"/>
      <c r="E94" s="338"/>
      <c r="F94" s="338"/>
      <c r="G94" s="338"/>
      <c r="H94" s="338"/>
      <c r="I94" s="338"/>
      <c r="J94" s="339"/>
      <c r="K94" s="331">
        <v>5</v>
      </c>
      <c r="L94" s="329"/>
      <c r="M94" s="329"/>
      <c r="N94" s="352"/>
      <c r="O94" s="331" t="s">
        <v>226</v>
      </c>
    </row>
    <row r="95" spans="1:16" s="41" customFormat="1" ht="15" customHeight="1" x14ac:dyDescent="0.25">
      <c r="A95" s="348"/>
      <c r="B95" s="340"/>
      <c r="C95" s="341"/>
      <c r="D95" s="341"/>
      <c r="E95" s="341"/>
      <c r="F95" s="341"/>
      <c r="G95" s="341"/>
      <c r="H95" s="341"/>
      <c r="I95" s="341"/>
      <c r="J95" s="342"/>
      <c r="K95" s="350"/>
      <c r="L95" s="351"/>
      <c r="M95" s="351"/>
      <c r="N95" s="358"/>
      <c r="O95" s="350"/>
    </row>
    <row r="96" spans="1:16" s="41" customFormat="1" ht="15" customHeight="1" x14ac:dyDescent="0.25">
      <c r="A96" s="349"/>
      <c r="B96" s="343"/>
      <c r="C96" s="344"/>
      <c r="D96" s="344"/>
      <c r="E96" s="344"/>
      <c r="F96" s="344"/>
      <c r="G96" s="344"/>
      <c r="H96" s="344"/>
      <c r="I96" s="344"/>
      <c r="J96" s="345"/>
      <c r="K96" s="332"/>
      <c r="L96" s="330"/>
      <c r="M96" s="330"/>
      <c r="N96" s="353"/>
      <c r="O96" s="332"/>
    </row>
    <row r="97" spans="1:15" s="41" customFormat="1" ht="15" customHeight="1" x14ac:dyDescent="0.25">
      <c r="A97" s="347" t="s">
        <v>107</v>
      </c>
      <c r="B97" s="337" t="s">
        <v>302</v>
      </c>
      <c r="C97" s="338"/>
      <c r="D97" s="338"/>
      <c r="E97" s="338"/>
      <c r="F97" s="338"/>
      <c r="G97" s="338"/>
      <c r="H97" s="338"/>
      <c r="I97" s="338"/>
      <c r="J97" s="339"/>
      <c r="K97" s="331">
        <v>15</v>
      </c>
      <c r="L97" s="329"/>
      <c r="M97" s="329"/>
      <c r="N97" s="352"/>
      <c r="O97" s="331" t="s">
        <v>58</v>
      </c>
    </row>
    <row r="98" spans="1:15" s="41" customFormat="1" ht="15" customHeight="1" x14ac:dyDescent="0.25">
      <c r="A98" s="348"/>
      <c r="B98" s="340"/>
      <c r="C98" s="341"/>
      <c r="D98" s="341"/>
      <c r="E98" s="341"/>
      <c r="F98" s="341"/>
      <c r="G98" s="341"/>
      <c r="H98" s="341"/>
      <c r="I98" s="341"/>
      <c r="J98" s="342"/>
      <c r="K98" s="350"/>
      <c r="L98" s="351"/>
      <c r="M98" s="351"/>
      <c r="N98" s="358"/>
      <c r="O98" s="350"/>
    </row>
    <row r="99" spans="1:15" s="41" customFormat="1" ht="15" customHeight="1" x14ac:dyDescent="0.25">
      <c r="A99" s="349"/>
      <c r="B99" s="343"/>
      <c r="C99" s="344"/>
      <c r="D99" s="344"/>
      <c r="E99" s="344"/>
      <c r="F99" s="344"/>
      <c r="G99" s="344"/>
      <c r="H99" s="344"/>
      <c r="I99" s="344"/>
      <c r="J99" s="345"/>
      <c r="K99" s="332"/>
      <c r="L99" s="330"/>
      <c r="M99" s="330"/>
      <c r="N99" s="353"/>
      <c r="O99" s="332"/>
    </row>
    <row r="100" spans="1:15" s="41" customFormat="1" ht="15" customHeight="1" x14ac:dyDescent="0.25">
      <c r="A100" s="347" t="s">
        <v>108</v>
      </c>
      <c r="B100" s="337" t="s">
        <v>303</v>
      </c>
      <c r="C100" s="338"/>
      <c r="D100" s="338"/>
      <c r="E100" s="338"/>
      <c r="F100" s="338"/>
      <c r="G100" s="338"/>
      <c r="H100" s="338"/>
      <c r="I100" s="338"/>
      <c r="J100" s="339"/>
      <c r="K100" s="331">
        <v>15</v>
      </c>
      <c r="L100" s="329"/>
      <c r="M100" s="329"/>
      <c r="N100" s="329"/>
      <c r="O100" s="331" t="s">
        <v>225</v>
      </c>
    </row>
    <row r="101" spans="1:15" s="41" customFormat="1" ht="15" customHeight="1" x14ac:dyDescent="0.25">
      <c r="A101" s="349"/>
      <c r="B101" s="343"/>
      <c r="C101" s="344"/>
      <c r="D101" s="344"/>
      <c r="E101" s="344"/>
      <c r="F101" s="344"/>
      <c r="G101" s="344"/>
      <c r="H101" s="344"/>
      <c r="I101" s="344"/>
      <c r="J101" s="345"/>
      <c r="K101" s="332"/>
      <c r="L101" s="330"/>
      <c r="M101" s="330"/>
      <c r="N101" s="330"/>
      <c r="O101" s="332"/>
    </row>
    <row r="102" spans="1:15" s="41" customFormat="1" ht="15" customHeight="1" x14ac:dyDescent="0.25">
      <c r="A102" s="347" t="s">
        <v>109</v>
      </c>
      <c r="B102" s="337" t="s">
        <v>304</v>
      </c>
      <c r="C102" s="338"/>
      <c r="D102" s="338"/>
      <c r="E102" s="338"/>
      <c r="F102" s="338"/>
      <c r="G102" s="338"/>
      <c r="H102" s="338"/>
      <c r="I102" s="338"/>
      <c r="J102" s="339"/>
      <c r="K102" s="331">
        <v>10</v>
      </c>
      <c r="L102" s="329"/>
      <c r="M102" s="329"/>
      <c r="N102" s="329"/>
      <c r="O102" s="331" t="s">
        <v>58</v>
      </c>
    </row>
    <row r="103" spans="1:15" s="41" customFormat="1" ht="15" customHeight="1" x14ac:dyDescent="0.25">
      <c r="A103" s="348"/>
      <c r="B103" s="340"/>
      <c r="C103" s="341"/>
      <c r="D103" s="341"/>
      <c r="E103" s="341"/>
      <c r="F103" s="341"/>
      <c r="G103" s="341"/>
      <c r="H103" s="341"/>
      <c r="I103" s="341"/>
      <c r="J103" s="342"/>
      <c r="K103" s="350"/>
      <c r="L103" s="351"/>
      <c r="M103" s="351"/>
      <c r="N103" s="351"/>
      <c r="O103" s="350"/>
    </row>
    <row r="104" spans="1:15" s="41" customFormat="1" ht="15" customHeight="1" x14ac:dyDescent="0.25">
      <c r="A104" s="349"/>
      <c r="B104" s="343"/>
      <c r="C104" s="344"/>
      <c r="D104" s="344"/>
      <c r="E104" s="344"/>
      <c r="F104" s="344"/>
      <c r="G104" s="344"/>
      <c r="H104" s="344"/>
      <c r="I104" s="344"/>
      <c r="J104" s="345"/>
      <c r="K104" s="332"/>
      <c r="L104" s="330"/>
      <c r="M104" s="330"/>
      <c r="N104" s="330"/>
      <c r="O104" s="332"/>
    </row>
    <row r="105" spans="1:15" s="41" customFormat="1" ht="15" customHeight="1" x14ac:dyDescent="0.25">
      <c r="A105" s="347" t="s">
        <v>110</v>
      </c>
      <c r="B105" s="337" t="s">
        <v>305</v>
      </c>
      <c r="C105" s="338"/>
      <c r="D105" s="338"/>
      <c r="E105" s="338"/>
      <c r="F105" s="338"/>
      <c r="G105" s="338"/>
      <c r="H105" s="338"/>
      <c r="I105" s="338"/>
      <c r="J105" s="339"/>
      <c r="K105" s="331">
        <v>10</v>
      </c>
      <c r="L105" s="329"/>
      <c r="M105" s="329"/>
      <c r="N105" s="329"/>
      <c r="O105" s="331" t="s">
        <v>58</v>
      </c>
    </row>
    <row r="106" spans="1:15" s="41" customFormat="1" ht="15" customHeight="1" x14ac:dyDescent="0.25">
      <c r="A106" s="348"/>
      <c r="B106" s="340"/>
      <c r="C106" s="341"/>
      <c r="D106" s="341"/>
      <c r="E106" s="341"/>
      <c r="F106" s="341"/>
      <c r="G106" s="341"/>
      <c r="H106" s="341"/>
      <c r="I106" s="341"/>
      <c r="J106" s="342"/>
      <c r="K106" s="350"/>
      <c r="L106" s="351"/>
      <c r="M106" s="351"/>
      <c r="N106" s="351"/>
      <c r="O106" s="350"/>
    </row>
    <row r="107" spans="1:15" s="41" customFormat="1" ht="15" customHeight="1" x14ac:dyDescent="0.25">
      <c r="A107" s="349"/>
      <c r="B107" s="343"/>
      <c r="C107" s="344"/>
      <c r="D107" s="344"/>
      <c r="E107" s="344"/>
      <c r="F107" s="344"/>
      <c r="G107" s="344"/>
      <c r="H107" s="344"/>
      <c r="I107" s="344"/>
      <c r="J107" s="345"/>
      <c r="K107" s="332"/>
      <c r="L107" s="330"/>
      <c r="M107" s="330"/>
      <c r="N107" s="330"/>
      <c r="O107" s="332"/>
    </row>
    <row r="108" spans="1:15" s="41" customFormat="1" ht="15" customHeight="1" x14ac:dyDescent="0.25">
      <c r="A108" s="347" t="s">
        <v>111</v>
      </c>
      <c r="B108" s="337" t="s">
        <v>306</v>
      </c>
      <c r="C108" s="338"/>
      <c r="D108" s="338"/>
      <c r="E108" s="338"/>
      <c r="F108" s="338"/>
      <c r="G108" s="338"/>
      <c r="H108" s="338"/>
      <c r="I108" s="338"/>
      <c r="J108" s="339"/>
      <c r="K108" s="331">
        <v>10</v>
      </c>
      <c r="L108" s="329"/>
      <c r="M108" s="329"/>
      <c r="N108" s="329"/>
      <c r="O108" s="331" t="s">
        <v>58</v>
      </c>
    </row>
    <row r="109" spans="1:15" s="41" customFormat="1" ht="15" customHeight="1" x14ac:dyDescent="0.25">
      <c r="A109" s="348"/>
      <c r="B109" s="340"/>
      <c r="C109" s="341"/>
      <c r="D109" s="341"/>
      <c r="E109" s="341"/>
      <c r="F109" s="341"/>
      <c r="G109" s="341"/>
      <c r="H109" s="341"/>
      <c r="I109" s="341"/>
      <c r="J109" s="342"/>
      <c r="K109" s="350"/>
      <c r="L109" s="351"/>
      <c r="M109" s="351"/>
      <c r="N109" s="351"/>
      <c r="O109" s="350"/>
    </row>
    <row r="110" spans="1:15" s="41" customFormat="1" ht="15" customHeight="1" x14ac:dyDescent="0.25">
      <c r="A110" s="348"/>
      <c r="B110" s="340"/>
      <c r="C110" s="341"/>
      <c r="D110" s="341"/>
      <c r="E110" s="341"/>
      <c r="F110" s="341"/>
      <c r="G110" s="341"/>
      <c r="H110" s="341"/>
      <c r="I110" s="341"/>
      <c r="J110" s="342"/>
      <c r="K110" s="350"/>
      <c r="L110" s="351"/>
      <c r="M110" s="351"/>
      <c r="N110" s="351"/>
      <c r="O110" s="350"/>
    </row>
    <row r="111" spans="1:15" s="41" customFormat="1" ht="15" customHeight="1" x14ac:dyDescent="0.25">
      <c r="A111" s="348"/>
      <c r="B111" s="340"/>
      <c r="C111" s="341"/>
      <c r="D111" s="341"/>
      <c r="E111" s="341"/>
      <c r="F111" s="341"/>
      <c r="G111" s="341"/>
      <c r="H111" s="341"/>
      <c r="I111" s="341"/>
      <c r="J111" s="342"/>
      <c r="K111" s="350"/>
      <c r="L111" s="351"/>
      <c r="M111" s="351"/>
      <c r="N111" s="351"/>
      <c r="O111" s="350"/>
    </row>
    <row r="112" spans="1:15" s="41" customFormat="1" ht="15" customHeight="1" x14ac:dyDescent="0.25">
      <c r="A112" s="349"/>
      <c r="B112" s="343"/>
      <c r="C112" s="344"/>
      <c r="D112" s="344"/>
      <c r="E112" s="344"/>
      <c r="F112" s="344"/>
      <c r="G112" s="344"/>
      <c r="H112" s="344"/>
      <c r="I112" s="344"/>
      <c r="J112" s="345"/>
      <c r="K112" s="332"/>
      <c r="L112" s="330"/>
      <c r="M112" s="330"/>
      <c r="N112" s="330"/>
      <c r="O112" s="332"/>
    </row>
    <row r="113" spans="1:16" s="41" customFormat="1" ht="15" customHeight="1" x14ac:dyDescent="0.25">
      <c r="A113" s="347" t="s">
        <v>112</v>
      </c>
      <c r="B113" s="337" t="s">
        <v>307</v>
      </c>
      <c r="C113" s="338"/>
      <c r="D113" s="338"/>
      <c r="E113" s="338"/>
      <c r="F113" s="338"/>
      <c r="G113" s="338"/>
      <c r="H113" s="338"/>
      <c r="I113" s="338"/>
      <c r="J113" s="339"/>
      <c r="K113" s="331">
        <v>10</v>
      </c>
      <c r="L113" s="329"/>
      <c r="M113" s="329"/>
      <c r="N113" s="329"/>
      <c r="O113" s="331" t="s">
        <v>225</v>
      </c>
    </row>
    <row r="114" spans="1:16" s="41" customFormat="1" ht="15" customHeight="1" x14ac:dyDescent="0.25">
      <c r="A114" s="348"/>
      <c r="B114" s="340"/>
      <c r="C114" s="341"/>
      <c r="D114" s="341"/>
      <c r="E114" s="341"/>
      <c r="F114" s="341"/>
      <c r="G114" s="341"/>
      <c r="H114" s="341"/>
      <c r="I114" s="341"/>
      <c r="J114" s="342"/>
      <c r="K114" s="350"/>
      <c r="L114" s="351"/>
      <c r="M114" s="351"/>
      <c r="N114" s="351"/>
      <c r="O114" s="350"/>
    </row>
    <row r="115" spans="1:16" s="41" customFormat="1" ht="15" customHeight="1" x14ac:dyDescent="0.25">
      <c r="A115" s="349"/>
      <c r="B115" s="343"/>
      <c r="C115" s="344"/>
      <c r="D115" s="344"/>
      <c r="E115" s="344"/>
      <c r="F115" s="344"/>
      <c r="G115" s="344"/>
      <c r="H115" s="344"/>
      <c r="I115" s="344"/>
      <c r="J115" s="345"/>
      <c r="K115" s="332"/>
      <c r="L115" s="330"/>
      <c r="M115" s="330"/>
      <c r="N115" s="330"/>
      <c r="O115" s="332"/>
    </row>
    <row r="116" spans="1:16" s="22" customFormat="1" ht="27.6" x14ac:dyDescent="0.25">
      <c r="A116" s="333" t="s">
        <v>54</v>
      </c>
      <c r="B116" s="334"/>
      <c r="C116" s="334"/>
      <c r="D116" s="334"/>
      <c r="E116" s="334"/>
      <c r="F116" s="334"/>
      <c r="G116" s="334"/>
      <c r="H116" s="334"/>
      <c r="I116" s="334"/>
      <c r="J116" s="335"/>
      <c r="K116" s="48" t="s">
        <v>53</v>
      </c>
      <c r="L116" s="68" t="s">
        <v>342</v>
      </c>
      <c r="M116" s="63" t="s">
        <v>341</v>
      </c>
      <c r="N116" s="68" t="s">
        <v>51</v>
      </c>
      <c r="O116" s="68" t="s">
        <v>50</v>
      </c>
      <c r="P116" s="21"/>
    </row>
    <row r="117" spans="1:16" s="41" customFormat="1" ht="15" customHeight="1" x14ac:dyDescent="0.25">
      <c r="A117" s="347" t="s">
        <v>113</v>
      </c>
      <c r="B117" s="337" t="s">
        <v>308</v>
      </c>
      <c r="C117" s="338"/>
      <c r="D117" s="338"/>
      <c r="E117" s="338"/>
      <c r="F117" s="338"/>
      <c r="G117" s="338"/>
      <c r="H117" s="338"/>
      <c r="I117" s="338"/>
      <c r="J117" s="339"/>
      <c r="K117" s="331">
        <v>15</v>
      </c>
      <c r="L117" s="329"/>
      <c r="M117" s="329"/>
      <c r="N117" s="329"/>
      <c r="O117" s="331" t="s">
        <v>225</v>
      </c>
    </row>
    <row r="118" spans="1:16" s="41" customFormat="1" ht="15" customHeight="1" x14ac:dyDescent="0.25">
      <c r="A118" s="349"/>
      <c r="B118" s="343"/>
      <c r="C118" s="344"/>
      <c r="D118" s="344"/>
      <c r="E118" s="344"/>
      <c r="F118" s="344"/>
      <c r="G118" s="344"/>
      <c r="H118" s="344"/>
      <c r="I118" s="344"/>
      <c r="J118" s="345"/>
      <c r="K118" s="332"/>
      <c r="L118" s="330"/>
      <c r="M118" s="330"/>
      <c r="N118" s="330"/>
      <c r="O118" s="332"/>
    </row>
    <row r="119" spans="1:16" s="41" customFormat="1" ht="15" customHeight="1" x14ac:dyDescent="0.25">
      <c r="A119" s="347" t="s">
        <v>114</v>
      </c>
      <c r="B119" s="337" t="s">
        <v>309</v>
      </c>
      <c r="C119" s="338"/>
      <c r="D119" s="338"/>
      <c r="E119" s="338"/>
      <c r="F119" s="338"/>
      <c r="G119" s="338"/>
      <c r="H119" s="338"/>
      <c r="I119" s="338"/>
      <c r="J119" s="339"/>
      <c r="K119" s="331">
        <v>10</v>
      </c>
      <c r="L119" s="329"/>
      <c r="M119" s="329"/>
      <c r="N119" s="329"/>
      <c r="O119" s="331" t="s">
        <v>58</v>
      </c>
    </row>
    <row r="120" spans="1:16" s="41" customFormat="1" ht="15" customHeight="1" x14ac:dyDescent="0.25">
      <c r="A120" s="348"/>
      <c r="B120" s="340"/>
      <c r="C120" s="341"/>
      <c r="D120" s="341"/>
      <c r="E120" s="341"/>
      <c r="F120" s="341"/>
      <c r="G120" s="341"/>
      <c r="H120" s="341"/>
      <c r="I120" s="341"/>
      <c r="J120" s="342"/>
      <c r="K120" s="350"/>
      <c r="L120" s="351"/>
      <c r="M120" s="351"/>
      <c r="N120" s="351"/>
      <c r="O120" s="350"/>
    </row>
    <row r="121" spans="1:16" s="41" customFormat="1" ht="15" customHeight="1" x14ac:dyDescent="0.25">
      <c r="A121" s="349"/>
      <c r="B121" s="343"/>
      <c r="C121" s="344"/>
      <c r="D121" s="344"/>
      <c r="E121" s="344"/>
      <c r="F121" s="344"/>
      <c r="G121" s="344"/>
      <c r="H121" s="344"/>
      <c r="I121" s="344"/>
      <c r="J121" s="345"/>
      <c r="K121" s="332"/>
      <c r="L121" s="330"/>
      <c r="M121" s="330"/>
      <c r="N121" s="330"/>
      <c r="O121" s="332"/>
    </row>
    <row r="122" spans="1:16" s="41" customFormat="1" ht="15" customHeight="1" x14ac:dyDescent="0.25">
      <c r="A122" s="347" t="s">
        <v>115</v>
      </c>
      <c r="B122" s="337" t="s">
        <v>310</v>
      </c>
      <c r="C122" s="338"/>
      <c r="D122" s="338"/>
      <c r="E122" s="338"/>
      <c r="F122" s="338"/>
      <c r="G122" s="338"/>
      <c r="H122" s="338"/>
      <c r="I122" s="338"/>
      <c r="J122" s="339"/>
      <c r="K122" s="331">
        <v>10</v>
      </c>
      <c r="L122" s="329"/>
      <c r="M122" s="329"/>
      <c r="N122" s="352"/>
      <c r="O122" s="331" t="s">
        <v>226</v>
      </c>
    </row>
    <row r="123" spans="1:16" s="41" customFormat="1" ht="15" customHeight="1" x14ac:dyDescent="0.25">
      <c r="A123" s="349"/>
      <c r="B123" s="343"/>
      <c r="C123" s="344"/>
      <c r="D123" s="344"/>
      <c r="E123" s="344"/>
      <c r="F123" s="344"/>
      <c r="G123" s="344"/>
      <c r="H123" s="344"/>
      <c r="I123" s="344"/>
      <c r="J123" s="345"/>
      <c r="K123" s="332"/>
      <c r="L123" s="330"/>
      <c r="M123" s="330"/>
      <c r="N123" s="353"/>
      <c r="O123" s="332"/>
    </row>
    <row r="124" spans="1:16" s="41" customFormat="1" ht="15" customHeight="1" x14ac:dyDescent="0.25">
      <c r="A124" s="347" t="s">
        <v>116</v>
      </c>
      <c r="B124" s="337" t="s">
        <v>311</v>
      </c>
      <c r="C124" s="338"/>
      <c r="D124" s="338"/>
      <c r="E124" s="338"/>
      <c r="F124" s="338"/>
      <c r="G124" s="338"/>
      <c r="H124" s="338"/>
      <c r="I124" s="338"/>
      <c r="J124" s="339"/>
      <c r="K124" s="331">
        <v>5</v>
      </c>
      <c r="L124" s="329"/>
      <c r="M124" s="329"/>
      <c r="N124" s="352"/>
      <c r="O124" s="331"/>
    </row>
    <row r="125" spans="1:16" s="41" customFormat="1" ht="15" customHeight="1" x14ac:dyDescent="0.25">
      <c r="A125" s="349"/>
      <c r="B125" s="343"/>
      <c r="C125" s="344"/>
      <c r="D125" s="344"/>
      <c r="E125" s="344"/>
      <c r="F125" s="344"/>
      <c r="G125" s="344"/>
      <c r="H125" s="344"/>
      <c r="I125" s="344"/>
      <c r="J125" s="345"/>
      <c r="K125" s="332"/>
      <c r="L125" s="330"/>
      <c r="M125" s="330"/>
      <c r="N125" s="353"/>
      <c r="O125" s="332"/>
    </row>
    <row r="126" spans="1:16" s="41" customFormat="1" ht="15" customHeight="1" x14ac:dyDescent="0.25">
      <c r="A126" s="347" t="s">
        <v>117</v>
      </c>
      <c r="B126" s="337" t="s">
        <v>312</v>
      </c>
      <c r="C126" s="338"/>
      <c r="D126" s="338"/>
      <c r="E126" s="338"/>
      <c r="F126" s="338"/>
      <c r="G126" s="338"/>
      <c r="H126" s="338"/>
      <c r="I126" s="338"/>
      <c r="J126" s="339"/>
      <c r="K126" s="331">
        <v>10</v>
      </c>
      <c r="L126" s="329"/>
      <c r="M126" s="329"/>
      <c r="N126" s="329"/>
      <c r="O126" s="331"/>
    </row>
    <row r="127" spans="1:16" s="41" customFormat="1" ht="15" customHeight="1" x14ac:dyDescent="0.25">
      <c r="A127" s="348"/>
      <c r="B127" s="340"/>
      <c r="C127" s="341"/>
      <c r="D127" s="341"/>
      <c r="E127" s="341"/>
      <c r="F127" s="341"/>
      <c r="G127" s="341"/>
      <c r="H127" s="341"/>
      <c r="I127" s="341"/>
      <c r="J127" s="342"/>
      <c r="K127" s="350"/>
      <c r="L127" s="351"/>
      <c r="M127" s="351"/>
      <c r="N127" s="351"/>
      <c r="O127" s="350"/>
    </row>
    <row r="128" spans="1:16" s="41" customFormat="1" ht="15" customHeight="1" x14ac:dyDescent="0.25">
      <c r="A128" s="349"/>
      <c r="B128" s="343"/>
      <c r="C128" s="344"/>
      <c r="D128" s="344"/>
      <c r="E128" s="344"/>
      <c r="F128" s="344"/>
      <c r="G128" s="344"/>
      <c r="H128" s="344"/>
      <c r="I128" s="344"/>
      <c r="J128" s="345"/>
      <c r="K128" s="332"/>
      <c r="L128" s="330"/>
      <c r="M128" s="330"/>
      <c r="N128" s="330"/>
      <c r="O128" s="332"/>
    </row>
    <row r="129" spans="1:16" s="45" customFormat="1" ht="30" customHeight="1" x14ac:dyDescent="0.3">
      <c r="A129" s="346" t="s">
        <v>228</v>
      </c>
      <c r="B129" s="346"/>
      <c r="C129" s="346"/>
      <c r="D129" s="346"/>
      <c r="E129" s="346"/>
      <c r="F129" s="346"/>
      <c r="G129" s="346"/>
      <c r="H129" s="346"/>
      <c r="I129" s="346"/>
      <c r="J129" s="346"/>
      <c r="K129" s="346"/>
      <c r="L129" s="346"/>
      <c r="M129" s="346"/>
      <c r="N129" s="346"/>
      <c r="O129" s="346"/>
    </row>
    <row r="130" spans="1:16" s="22" customFormat="1" ht="27.6" x14ac:dyDescent="0.25">
      <c r="A130" s="333" t="s">
        <v>54</v>
      </c>
      <c r="B130" s="334"/>
      <c r="C130" s="334"/>
      <c r="D130" s="334"/>
      <c r="E130" s="334"/>
      <c r="F130" s="334"/>
      <c r="G130" s="334"/>
      <c r="H130" s="334"/>
      <c r="I130" s="334"/>
      <c r="J130" s="335"/>
      <c r="K130" s="48" t="s">
        <v>53</v>
      </c>
      <c r="L130" s="61" t="s">
        <v>342</v>
      </c>
      <c r="M130" s="63" t="s">
        <v>341</v>
      </c>
      <c r="N130" s="61" t="s">
        <v>51</v>
      </c>
      <c r="O130" s="61" t="s">
        <v>50</v>
      </c>
      <c r="P130" s="21"/>
    </row>
    <row r="131" spans="1:16" s="41" customFormat="1" ht="15" customHeight="1" x14ac:dyDescent="0.25">
      <c r="A131" s="347" t="s">
        <v>118</v>
      </c>
      <c r="B131" s="337" t="s">
        <v>313</v>
      </c>
      <c r="C131" s="338"/>
      <c r="D131" s="338"/>
      <c r="E131" s="338"/>
      <c r="F131" s="338"/>
      <c r="G131" s="338"/>
      <c r="H131" s="338"/>
      <c r="I131" s="338"/>
      <c r="J131" s="339"/>
      <c r="K131" s="331">
        <v>10</v>
      </c>
      <c r="L131" s="329"/>
      <c r="M131" s="329"/>
      <c r="N131" s="360"/>
      <c r="O131" s="331"/>
    </row>
    <row r="132" spans="1:16" s="41" customFormat="1" ht="15" customHeight="1" x14ac:dyDescent="0.25">
      <c r="A132" s="348"/>
      <c r="B132" s="340"/>
      <c r="C132" s="341"/>
      <c r="D132" s="341"/>
      <c r="E132" s="341"/>
      <c r="F132" s="341"/>
      <c r="G132" s="341"/>
      <c r="H132" s="341"/>
      <c r="I132" s="341"/>
      <c r="J132" s="342"/>
      <c r="K132" s="350"/>
      <c r="L132" s="351"/>
      <c r="M132" s="351"/>
      <c r="N132" s="361"/>
      <c r="O132" s="350"/>
    </row>
    <row r="133" spans="1:16" s="41" customFormat="1" ht="15" customHeight="1" x14ac:dyDescent="0.25">
      <c r="A133" s="348"/>
      <c r="B133" s="340"/>
      <c r="C133" s="341"/>
      <c r="D133" s="341"/>
      <c r="E133" s="341"/>
      <c r="F133" s="341"/>
      <c r="G133" s="341"/>
      <c r="H133" s="341"/>
      <c r="I133" s="341"/>
      <c r="J133" s="342"/>
      <c r="K133" s="350"/>
      <c r="L133" s="351"/>
      <c r="M133" s="351"/>
      <c r="N133" s="361"/>
      <c r="O133" s="350"/>
    </row>
    <row r="134" spans="1:16" s="41" customFormat="1" ht="15" customHeight="1" x14ac:dyDescent="0.25">
      <c r="A134" s="349"/>
      <c r="B134" s="343"/>
      <c r="C134" s="344"/>
      <c r="D134" s="344"/>
      <c r="E134" s="344"/>
      <c r="F134" s="344"/>
      <c r="G134" s="344"/>
      <c r="H134" s="344"/>
      <c r="I134" s="344"/>
      <c r="J134" s="345"/>
      <c r="K134" s="332"/>
      <c r="L134" s="330"/>
      <c r="M134" s="330"/>
      <c r="N134" s="362"/>
      <c r="O134" s="332"/>
    </row>
    <row r="135" spans="1:16" s="41" customFormat="1" ht="15" customHeight="1" x14ac:dyDescent="0.25">
      <c r="A135" s="347" t="s">
        <v>119</v>
      </c>
      <c r="B135" s="337" t="s">
        <v>314</v>
      </c>
      <c r="C135" s="338"/>
      <c r="D135" s="338"/>
      <c r="E135" s="338"/>
      <c r="F135" s="338"/>
      <c r="G135" s="338"/>
      <c r="H135" s="338"/>
      <c r="I135" s="338"/>
      <c r="J135" s="339"/>
      <c r="K135" s="331">
        <v>5</v>
      </c>
      <c r="L135" s="329"/>
      <c r="M135" s="329"/>
      <c r="N135" s="329"/>
      <c r="O135" s="331" t="s">
        <v>226</v>
      </c>
    </row>
    <row r="136" spans="1:16" s="41" customFormat="1" ht="15" customHeight="1" x14ac:dyDescent="0.25">
      <c r="A136" s="348"/>
      <c r="B136" s="340"/>
      <c r="C136" s="341"/>
      <c r="D136" s="341"/>
      <c r="E136" s="341"/>
      <c r="F136" s="341"/>
      <c r="G136" s="341"/>
      <c r="H136" s="341"/>
      <c r="I136" s="341"/>
      <c r="J136" s="342"/>
      <c r="K136" s="350"/>
      <c r="L136" s="351"/>
      <c r="M136" s="351"/>
      <c r="N136" s="351"/>
      <c r="O136" s="350"/>
    </row>
    <row r="137" spans="1:16" s="41" customFormat="1" ht="15" customHeight="1" x14ac:dyDescent="0.25">
      <c r="A137" s="348"/>
      <c r="B137" s="340"/>
      <c r="C137" s="341"/>
      <c r="D137" s="341"/>
      <c r="E137" s="341"/>
      <c r="F137" s="341"/>
      <c r="G137" s="341"/>
      <c r="H137" s="341"/>
      <c r="I137" s="341"/>
      <c r="J137" s="342"/>
      <c r="K137" s="350"/>
      <c r="L137" s="351"/>
      <c r="M137" s="351"/>
      <c r="N137" s="351"/>
      <c r="O137" s="350"/>
    </row>
    <row r="138" spans="1:16" s="41" customFormat="1" ht="15" customHeight="1" x14ac:dyDescent="0.25">
      <c r="A138" s="349"/>
      <c r="B138" s="343"/>
      <c r="C138" s="344"/>
      <c r="D138" s="344"/>
      <c r="E138" s="344"/>
      <c r="F138" s="344"/>
      <c r="G138" s="344"/>
      <c r="H138" s="344"/>
      <c r="I138" s="344"/>
      <c r="J138" s="345"/>
      <c r="K138" s="332"/>
      <c r="L138" s="330"/>
      <c r="M138" s="330"/>
      <c r="N138" s="330"/>
      <c r="O138" s="332"/>
    </row>
    <row r="139" spans="1:16" s="41" customFormat="1" ht="15" customHeight="1" x14ac:dyDescent="0.25">
      <c r="A139" s="347" t="s">
        <v>121</v>
      </c>
      <c r="B139" s="337" t="s">
        <v>375</v>
      </c>
      <c r="C139" s="338"/>
      <c r="D139" s="338"/>
      <c r="E139" s="338"/>
      <c r="F139" s="338"/>
      <c r="G139" s="338"/>
      <c r="H139" s="338"/>
      <c r="I139" s="338"/>
      <c r="J139" s="339"/>
      <c r="K139" s="331">
        <v>5</v>
      </c>
      <c r="L139" s="329"/>
      <c r="M139" s="329"/>
      <c r="N139" s="329"/>
      <c r="O139" s="331" t="s">
        <v>226</v>
      </c>
    </row>
    <row r="140" spans="1:16" s="41" customFormat="1" ht="15" customHeight="1" x14ac:dyDescent="0.25">
      <c r="A140" s="348"/>
      <c r="B140" s="340"/>
      <c r="C140" s="341"/>
      <c r="D140" s="341"/>
      <c r="E140" s="341"/>
      <c r="F140" s="341"/>
      <c r="G140" s="341"/>
      <c r="H140" s="341"/>
      <c r="I140" s="341"/>
      <c r="J140" s="342"/>
      <c r="K140" s="350"/>
      <c r="L140" s="351"/>
      <c r="M140" s="351"/>
      <c r="N140" s="351"/>
      <c r="O140" s="350"/>
    </row>
    <row r="141" spans="1:16" s="41" customFormat="1" ht="15" customHeight="1" x14ac:dyDescent="0.25">
      <c r="A141" s="348"/>
      <c r="B141" s="340"/>
      <c r="C141" s="341"/>
      <c r="D141" s="341"/>
      <c r="E141" s="341"/>
      <c r="F141" s="341"/>
      <c r="G141" s="341"/>
      <c r="H141" s="341"/>
      <c r="I141" s="341"/>
      <c r="J141" s="342"/>
      <c r="K141" s="350"/>
      <c r="L141" s="351"/>
      <c r="M141" s="351"/>
      <c r="N141" s="351"/>
      <c r="O141" s="350"/>
    </row>
    <row r="142" spans="1:16" s="41" customFormat="1" ht="15" customHeight="1" x14ac:dyDescent="0.25">
      <c r="A142" s="349"/>
      <c r="B142" s="343"/>
      <c r="C142" s="344"/>
      <c r="D142" s="344"/>
      <c r="E142" s="344"/>
      <c r="F142" s="344"/>
      <c r="G142" s="344"/>
      <c r="H142" s="344"/>
      <c r="I142" s="344"/>
      <c r="J142" s="345"/>
      <c r="K142" s="332"/>
      <c r="L142" s="330"/>
      <c r="M142" s="330"/>
      <c r="N142" s="330"/>
      <c r="O142" s="332"/>
    </row>
    <row r="143" spans="1:16" s="47" customFormat="1" ht="30" customHeight="1" x14ac:dyDescent="0.25">
      <c r="A143" s="346" t="s">
        <v>120</v>
      </c>
      <c r="B143" s="346"/>
      <c r="C143" s="346"/>
      <c r="D143" s="346"/>
      <c r="E143" s="346"/>
      <c r="F143" s="346"/>
      <c r="G143" s="346"/>
      <c r="H143" s="346"/>
      <c r="I143" s="346"/>
      <c r="J143" s="346"/>
      <c r="K143" s="346"/>
      <c r="L143" s="346"/>
      <c r="M143" s="346"/>
      <c r="N143" s="346"/>
      <c r="O143" s="346"/>
    </row>
    <row r="144" spans="1:16" s="22" customFormat="1" ht="27.6" x14ac:dyDescent="0.25">
      <c r="A144" s="333" t="s">
        <v>54</v>
      </c>
      <c r="B144" s="334"/>
      <c r="C144" s="334"/>
      <c r="D144" s="334"/>
      <c r="E144" s="334"/>
      <c r="F144" s="334"/>
      <c r="G144" s="334"/>
      <c r="H144" s="334"/>
      <c r="I144" s="334"/>
      <c r="J144" s="335"/>
      <c r="K144" s="48" t="s">
        <v>53</v>
      </c>
      <c r="L144" s="61" t="s">
        <v>342</v>
      </c>
      <c r="M144" s="63" t="s">
        <v>341</v>
      </c>
      <c r="N144" s="61" t="s">
        <v>51</v>
      </c>
      <c r="O144" s="61" t="s">
        <v>50</v>
      </c>
      <c r="P144" s="21"/>
    </row>
    <row r="145" spans="1:16" s="41" customFormat="1" ht="15" customHeight="1" x14ac:dyDescent="0.25">
      <c r="A145" s="347" t="s">
        <v>122</v>
      </c>
      <c r="B145" s="399" t="s">
        <v>408</v>
      </c>
      <c r="C145" s="400"/>
      <c r="D145" s="400"/>
      <c r="E145" s="400"/>
      <c r="F145" s="400"/>
      <c r="G145" s="400"/>
      <c r="H145" s="400"/>
      <c r="I145" s="400"/>
      <c r="J145" s="401"/>
      <c r="K145" s="331">
        <v>10</v>
      </c>
      <c r="L145" s="329"/>
      <c r="M145" s="329"/>
      <c r="N145" s="360"/>
      <c r="O145" s="331" t="s">
        <v>226</v>
      </c>
    </row>
    <row r="146" spans="1:16" s="41" customFormat="1" ht="15" customHeight="1" x14ac:dyDescent="0.25">
      <c r="A146" s="402"/>
      <c r="B146" s="419" t="s">
        <v>410</v>
      </c>
      <c r="C146" s="420"/>
      <c r="D146" s="420"/>
      <c r="E146" s="420"/>
      <c r="F146" s="420"/>
      <c r="G146" s="420"/>
      <c r="H146" s="420"/>
      <c r="I146" s="420"/>
      <c r="J146" s="421"/>
      <c r="K146" s="350"/>
      <c r="L146" s="351"/>
      <c r="M146" s="351"/>
      <c r="N146" s="361"/>
      <c r="O146" s="350"/>
    </row>
    <row r="147" spans="1:16" s="41" customFormat="1" ht="15" customHeight="1" x14ac:dyDescent="0.25">
      <c r="A147" s="402"/>
      <c r="B147" s="419" t="s">
        <v>407</v>
      </c>
      <c r="C147" s="420"/>
      <c r="D147" s="420"/>
      <c r="E147" s="420"/>
      <c r="F147" s="420"/>
      <c r="G147" s="420"/>
      <c r="H147" s="420"/>
      <c r="I147" s="420"/>
      <c r="J147" s="421"/>
      <c r="K147" s="350"/>
      <c r="L147" s="351"/>
      <c r="M147" s="351"/>
      <c r="N147" s="361"/>
      <c r="O147" s="350"/>
    </row>
    <row r="148" spans="1:16" s="41" customFormat="1" ht="15" customHeight="1" x14ac:dyDescent="0.25">
      <c r="A148" s="403"/>
      <c r="B148" s="422" t="s">
        <v>409</v>
      </c>
      <c r="C148" s="423"/>
      <c r="D148" s="423"/>
      <c r="E148" s="423"/>
      <c r="F148" s="423"/>
      <c r="G148" s="423"/>
      <c r="H148" s="423"/>
      <c r="I148" s="423"/>
      <c r="J148" s="424"/>
      <c r="K148" s="332"/>
      <c r="L148" s="330"/>
      <c r="M148" s="330"/>
      <c r="N148" s="362"/>
      <c r="O148" s="332"/>
    </row>
    <row r="149" spans="1:16" s="41" customFormat="1" ht="15" customHeight="1" x14ac:dyDescent="0.25">
      <c r="A149" s="347" t="s">
        <v>123</v>
      </c>
      <c r="B149" s="337" t="s">
        <v>315</v>
      </c>
      <c r="C149" s="338"/>
      <c r="D149" s="338"/>
      <c r="E149" s="338"/>
      <c r="F149" s="338"/>
      <c r="G149" s="338"/>
      <c r="H149" s="338"/>
      <c r="I149" s="338"/>
      <c r="J149" s="339"/>
      <c r="K149" s="331">
        <v>10</v>
      </c>
      <c r="L149" s="329"/>
      <c r="M149" s="329"/>
      <c r="N149" s="360"/>
      <c r="O149" s="331" t="s">
        <v>226</v>
      </c>
    </row>
    <row r="150" spans="1:16" s="41" customFormat="1" ht="15" customHeight="1" x14ac:dyDescent="0.25">
      <c r="A150" s="349"/>
      <c r="B150" s="343"/>
      <c r="C150" s="344"/>
      <c r="D150" s="344"/>
      <c r="E150" s="344"/>
      <c r="F150" s="344"/>
      <c r="G150" s="344"/>
      <c r="H150" s="344"/>
      <c r="I150" s="344"/>
      <c r="J150" s="345"/>
      <c r="K150" s="332"/>
      <c r="L150" s="330"/>
      <c r="M150" s="330"/>
      <c r="N150" s="362"/>
      <c r="O150" s="332"/>
    </row>
    <row r="151" spans="1:16" s="22" customFormat="1" ht="27.6" x14ac:dyDescent="0.25">
      <c r="A151" s="333" t="s">
        <v>54</v>
      </c>
      <c r="B151" s="334"/>
      <c r="C151" s="334"/>
      <c r="D151" s="334"/>
      <c r="E151" s="334"/>
      <c r="F151" s="334"/>
      <c r="G151" s="334"/>
      <c r="H151" s="334"/>
      <c r="I151" s="334"/>
      <c r="J151" s="335"/>
      <c r="K151" s="48" t="s">
        <v>53</v>
      </c>
      <c r="L151" s="68" t="s">
        <v>342</v>
      </c>
      <c r="M151" s="63" t="s">
        <v>341</v>
      </c>
      <c r="N151" s="68" t="s">
        <v>51</v>
      </c>
      <c r="O151" s="68" t="s">
        <v>50</v>
      </c>
      <c r="P151" s="21"/>
    </row>
    <row r="152" spans="1:16" s="41" customFormat="1" ht="15" customHeight="1" x14ac:dyDescent="0.25">
      <c r="A152" s="347" t="s">
        <v>230</v>
      </c>
      <c r="B152" s="337" t="s">
        <v>376</v>
      </c>
      <c r="C152" s="338"/>
      <c r="D152" s="338"/>
      <c r="E152" s="338"/>
      <c r="F152" s="338"/>
      <c r="G152" s="338"/>
      <c r="H152" s="338"/>
      <c r="I152" s="338"/>
      <c r="J152" s="339"/>
      <c r="K152" s="331">
        <v>10</v>
      </c>
      <c r="L152" s="329"/>
      <c r="M152" s="329"/>
      <c r="N152" s="329"/>
      <c r="O152" s="331" t="s">
        <v>226</v>
      </c>
    </row>
    <row r="153" spans="1:16" s="41" customFormat="1" ht="15" customHeight="1" x14ac:dyDescent="0.25">
      <c r="A153" s="348"/>
      <c r="B153" s="340"/>
      <c r="C153" s="341"/>
      <c r="D153" s="341"/>
      <c r="E153" s="341"/>
      <c r="F153" s="341"/>
      <c r="G153" s="341"/>
      <c r="H153" s="341"/>
      <c r="I153" s="341"/>
      <c r="J153" s="342"/>
      <c r="K153" s="350"/>
      <c r="L153" s="351"/>
      <c r="M153" s="351"/>
      <c r="N153" s="351"/>
      <c r="O153" s="350"/>
    </row>
    <row r="154" spans="1:16" s="41" customFormat="1" ht="15" customHeight="1" x14ac:dyDescent="0.25">
      <c r="A154" s="348"/>
      <c r="B154" s="340"/>
      <c r="C154" s="341"/>
      <c r="D154" s="341"/>
      <c r="E154" s="341"/>
      <c r="F154" s="341"/>
      <c r="G154" s="341"/>
      <c r="H154" s="341"/>
      <c r="I154" s="341"/>
      <c r="J154" s="342"/>
      <c r="K154" s="350"/>
      <c r="L154" s="351"/>
      <c r="M154" s="351"/>
      <c r="N154" s="351"/>
      <c r="O154" s="350"/>
    </row>
    <row r="155" spans="1:16" s="41" customFormat="1" ht="15" customHeight="1" x14ac:dyDescent="0.25">
      <c r="A155" s="349"/>
      <c r="B155" s="343"/>
      <c r="C155" s="344"/>
      <c r="D155" s="344"/>
      <c r="E155" s="344"/>
      <c r="F155" s="344"/>
      <c r="G155" s="344"/>
      <c r="H155" s="344"/>
      <c r="I155" s="344"/>
      <c r="J155" s="345"/>
      <c r="K155" s="332"/>
      <c r="L155" s="330"/>
      <c r="M155" s="330"/>
      <c r="N155" s="330"/>
      <c r="O155" s="332"/>
    </row>
    <row r="156" spans="1:16" s="23" customFormat="1" ht="30" customHeight="1" x14ac:dyDescent="0.25">
      <c r="A156" s="359" t="s">
        <v>227</v>
      </c>
      <c r="B156" s="359"/>
      <c r="C156" s="359"/>
      <c r="D156" s="359"/>
      <c r="E156" s="359"/>
      <c r="F156" s="359"/>
      <c r="G156" s="359"/>
      <c r="H156" s="359"/>
      <c r="I156" s="359"/>
      <c r="J156" s="359"/>
      <c r="K156" s="359"/>
      <c r="L156" s="359"/>
      <c r="M156" s="359"/>
      <c r="N156" s="359"/>
      <c r="O156" s="359"/>
    </row>
    <row r="157" spans="1:16" s="22" customFormat="1" ht="27.6" x14ac:dyDescent="0.25">
      <c r="A157" s="333" t="s">
        <v>54</v>
      </c>
      <c r="B157" s="334"/>
      <c r="C157" s="334"/>
      <c r="D157" s="334"/>
      <c r="E157" s="334"/>
      <c r="F157" s="334"/>
      <c r="G157" s="334"/>
      <c r="H157" s="334"/>
      <c r="I157" s="334"/>
      <c r="J157" s="335"/>
      <c r="K157" s="48" t="s">
        <v>53</v>
      </c>
      <c r="L157" s="61" t="s">
        <v>342</v>
      </c>
      <c r="M157" s="63" t="s">
        <v>341</v>
      </c>
      <c r="N157" s="61" t="s">
        <v>51</v>
      </c>
      <c r="O157" s="61" t="s">
        <v>50</v>
      </c>
      <c r="P157" s="21"/>
    </row>
    <row r="158" spans="1:16" s="41" customFormat="1" ht="15" customHeight="1" x14ac:dyDescent="0.25">
      <c r="A158" s="347" t="s">
        <v>231</v>
      </c>
      <c r="B158" s="337" t="s">
        <v>316</v>
      </c>
      <c r="C158" s="338"/>
      <c r="D158" s="338"/>
      <c r="E158" s="338"/>
      <c r="F158" s="338"/>
      <c r="G158" s="338"/>
      <c r="H158" s="338"/>
      <c r="I158" s="338"/>
      <c r="J158" s="339"/>
      <c r="K158" s="331">
        <v>10</v>
      </c>
      <c r="L158" s="329"/>
      <c r="M158" s="329"/>
      <c r="N158" s="360"/>
      <c r="O158" s="331" t="s">
        <v>58</v>
      </c>
    </row>
    <row r="159" spans="1:16" s="41" customFormat="1" ht="15" customHeight="1" x14ac:dyDescent="0.25">
      <c r="A159" s="348"/>
      <c r="B159" s="340"/>
      <c r="C159" s="341"/>
      <c r="D159" s="341"/>
      <c r="E159" s="341"/>
      <c r="F159" s="341"/>
      <c r="G159" s="341"/>
      <c r="H159" s="341"/>
      <c r="I159" s="341"/>
      <c r="J159" s="342"/>
      <c r="K159" s="350"/>
      <c r="L159" s="351"/>
      <c r="M159" s="351"/>
      <c r="N159" s="361"/>
      <c r="O159" s="350"/>
    </row>
    <row r="160" spans="1:16" s="41" customFormat="1" ht="15" customHeight="1" x14ac:dyDescent="0.25">
      <c r="A160" s="348"/>
      <c r="B160" s="340"/>
      <c r="C160" s="341"/>
      <c r="D160" s="341"/>
      <c r="E160" s="341"/>
      <c r="F160" s="341"/>
      <c r="G160" s="341"/>
      <c r="H160" s="341"/>
      <c r="I160" s="341"/>
      <c r="J160" s="342"/>
      <c r="K160" s="350"/>
      <c r="L160" s="351"/>
      <c r="M160" s="351"/>
      <c r="N160" s="361"/>
      <c r="O160" s="350"/>
    </row>
    <row r="161" spans="1:20" s="41" customFormat="1" ht="15" customHeight="1" x14ac:dyDescent="0.25">
      <c r="A161" s="349"/>
      <c r="B161" s="343"/>
      <c r="C161" s="344"/>
      <c r="D161" s="344"/>
      <c r="E161" s="344"/>
      <c r="F161" s="344"/>
      <c r="G161" s="344"/>
      <c r="H161" s="344"/>
      <c r="I161" s="344"/>
      <c r="J161" s="345"/>
      <c r="K161" s="332"/>
      <c r="L161" s="330"/>
      <c r="M161" s="330"/>
      <c r="N161" s="362"/>
      <c r="O161" s="332"/>
    </row>
    <row r="162" spans="1:20" s="31" customFormat="1" ht="6" customHeight="1" x14ac:dyDescent="0.25">
      <c r="A162" s="393"/>
      <c r="B162" s="393"/>
      <c r="C162" s="393"/>
      <c r="D162" s="393"/>
      <c r="E162" s="393"/>
      <c r="F162" s="393"/>
      <c r="G162" s="393"/>
      <c r="H162" s="393"/>
      <c r="I162" s="393"/>
      <c r="J162" s="393"/>
      <c r="K162" s="393"/>
      <c r="L162" s="393"/>
      <c r="M162" s="393"/>
      <c r="N162" s="393"/>
      <c r="O162" s="393"/>
      <c r="P162" s="36"/>
    </row>
    <row r="163" spans="1:20" s="31" customFormat="1" ht="15" customHeight="1" x14ac:dyDescent="0.25">
      <c r="A163" s="394" t="s">
        <v>73</v>
      </c>
      <c r="B163" s="395"/>
      <c r="C163" s="395"/>
      <c r="D163" s="50"/>
      <c r="E163" s="396"/>
      <c r="F163" s="396"/>
      <c r="G163" s="396"/>
      <c r="H163" s="396"/>
      <c r="I163" s="396"/>
      <c r="J163" s="396"/>
      <c r="K163" s="396"/>
      <c r="L163" s="396"/>
      <c r="M163" s="396"/>
      <c r="N163" s="396"/>
      <c r="O163" s="397"/>
      <c r="P163" s="36"/>
    </row>
    <row r="164" spans="1:20" s="31" customFormat="1" ht="27" customHeight="1" x14ac:dyDescent="0.25">
      <c r="A164" s="398"/>
      <c r="B164" s="398"/>
      <c r="C164" s="398"/>
      <c r="D164" s="398"/>
      <c r="E164" s="398"/>
      <c r="F164" s="398"/>
      <c r="G164" s="398"/>
      <c r="H164" s="398"/>
      <c r="I164" s="398"/>
      <c r="J164" s="398"/>
      <c r="K164" s="398"/>
      <c r="L164" s="398"/>
      <c r="M164" s="398"/>
      <c r="N164" s="398"/>
      <c r="O164" s="398"/>
      <c r="P164" s="36"/>
    </row>
    <row r="165" spans="1:20" s="31" customFormat="1" ht="27" customHeight="1" x14ac:dyDescent="0.25">
      <c r="A165" s="398"/>
      <c r="B165" s="398"/>
      <c r="C165" s="398"/>
      <c r="D165" s="398"/>
      <c r="E165" s="398"/>
      <c r="F165" s="398"/>
      <c r="G165" s="398"/>
      <c r="H165" s="398"/>
      <c r="I165" s="398"/>
      <c r="J165" s="398"/>
      <c r="K165" s="398"/>
      <c r="L165" s="398"/>
      <c r="M165" s="398"/>
      <c r="N165" s="398"/>
      <c r="O165" s="398"/>
      <c r="P165" s="36"/>
    </row>
    <row r="166" spans="1:20" s="31" customFormat="1" ht="27" customHeight="1" x14ac:dyDescent="0.25">
      <c r="A166" s="398"/>
      <c r="B166" s="398"/>
      <c r="C166" s="398"/>
      <c r="D166" s="398"/>
      <c r="E166" s="398"/>
      <c r="F166" s="398"/>
      <c r="G166" s="398"/>
      <c r="H166" s="398"/>
      <c r="I166" s="398"/>
      <c r="J166" s="398"/>
      <c r="K166" s="398"/>
      <c r="L166" s="398"/>
      <c r="M166" s="398"/>
      <c r="N166" s="398"/>
      <c r="O166" s="398"/>
      <c r="P166" s="36"/>
    </row>
    <row r="167" spans="1:20" s="31" customFormat="1" ht="27" customHeight="1" x14ac:dyDescent="0.25">
      <c r="A167" s="398"/>
      <c r="B167" s="398"/>
      <c r="C167" s="398"/>
      <c r="D167" s="398"/>
      <c r="E167" s="398"/>
      <c r="F167" s="398"/>
      <c r="G167" s="398"/>
      <c r="H167" s="398"/>
      <c r="I167" s="398"/>
      <c r="J167" s="398"/>
      <c r="K167" s="398"/>
      <c r="L167" s="398"/>
      <c r="M167" s="398"/>
      <c r="N167" s="398"/>
      <c r="O167" s="398"/>
      <c r="P167" s="36"/>
    </row>
    <row r="168" spans="1:20" s="31" customFormat="1" ht="27" customHeight="1" x14ac:dyDescent="0.25">
      <c r="A168" s="398"/>
      <c r="B168" s="398"/>
      <c r="C168" s="398"/>
      <c r="D168" s="398"/>
      <c r="E168" s="398"/>
      <c r="F168" s="398"/>
      <c r="G168" s="398"/>
      <c r="H168" s="398"/>
      <c r="I168" s="398"/>
      <c r="J168" s="398"/>
      <c r="K168" s="398"/>
      <c r="L168" s="398"/>
      <c r="M168" s="398"/>
      <c r="N168" s="398"/>
      <c r="O168" s="398"/>
      <c r="P168" s="36"/>
    </row>
    <row r="169" spans="1:20" s="31" customFormat="1" ht="27" customHeight="1" x14ac:dyDescent="0.25">
      <c r="A169" s="398"/>
      <c r="B169" s="398"/>
      <c r="C169" s="398"/>
      <c r="D169" s="398"/>
      <c r="E169" s="398"/>
      <c r="F169" s="398"/>
      <c r="G169" s="398"/>
      <c r="H169" s="398"/>
      <c r="I169" s="398"/>
      <c r="J169" s="398"/>
      <c r="K169" s="398"/>
      <c r="L169" s="398"/>
      <c r="M169" s="398"/>
      <c r="N169" s="398"/>
      <c r="O169" s="398"/>
      <c r="Q169" s="20"/>
      <c r="R169" s="34"/>
      <c r="S169" s="34"/>
      <c r="T169" s="34"/>
    </row>
    <row r="170" spans="1:20" s="31" customFormat="1" ht="27" customHeight="1" x14ac:dyDescent="0.25">
      <c r="A170" s="398"/>
      <c r="B170" s="398"/>
      <c r="C170" s="398"/>
      <c r="D170" s="398"/>
      <c r="E170" s="398"/>
      <c r="F170" s="398"/>
      <c r="G170" s="398"/>
      <c r="H170" s="398"/>
      <c r="I170" s="398"/>
      <c r="J170" s="398"/>
      <c r="K170" s="398"/>
      <c r="L170" s="398"/>
      <c r="M170" s="398"/>
      <c r="N170" s="398"/>
      <c r="O170" s="398"/>
      <c r="P170" s="36"/>
    </row>
    <row r="171" spans="1:20" s="31" customFormat="1" ht="27" customHeight="1" x14ac:dyDescent="0.25">
      <c r="A171" s="398"/>
      <c r="B171" s="398"/>
      <c r="C171" s="398"/>
      <c r="D171" s="398"/>
      <c r="E171" s="398"/>
      <c r="F171" s="398"/>
      <c r="G171" s="398"/>
      <c r="H171" s="398"/>
      <c r="I171" s="398"/>
      <c r="J171" s="398"/>
      <c r="K171" s="398"/>
      <c r="L171" s="398"/>
      <c r="M171" s="398"/>
      <c r="N171" s="398"/>
      <c r="O171" s="398"/>
      <c r="P171" s="36"/>
    </row>
    <row r="172" spans="1:20" s="31" customFormat="1" ht="27" customHeight="1" x14ac:dyDescent="0.25">
      <c r="A172" s="398"/>
      <c r="B172" s="398"/>
      <c r="C172" s="398"/>
      <c r="D172" s="398"/>
      <c r="E172" s="398"/>
      <c r="F172" s="398"/>
      <c r="G172" s="398"/>
      <c r="H172" s="398"/>
      <c r="I172" s="398"/>
      <c r="J172" s="398"/>
      <c r="K172" s="398"/>
      <c r="L172" s="398"/>
      <c r="M172" s="398"/>
      <c r="N172" s="398"/>
      <c r="O172" s="398"/>
      <c r="P172" s="36"/>
    </row>
    <row r="173" spans="1:20" s="31" customFormat="1" ht="27" customHeight="1" x14ac:dyDescent="0.25">
      <c r="A173" s="398"/>
      <c r="B173" s="398"/>
      <c r="C173" s="398"/>
      <c r="D173" s="398"/>
      <c r="E173" s="398"/>
      <c r="F173" s="398"/>
      <c r="G173" s="398"/>
      <c r="H173" s="398"/>
      <c r="I173" s="398"/>
      <c r="J173" s="398"/>
      <c r="K173" s="398"/>
      <c r="L173" s="398"/>
      <c r="M173" s="398"/>
      <c r="N173" s="398"/>
      <c r="O173" s="398"/>
      <c r="P173" s="36"/>
    </row>
    <row r="174" spans="1:20" s="31" customFormat="1" ht="27" customHeight="1" x14ac:dyDescent="0.25">
      <c r="A174" s="398"/>
      <c r="B174" s="398"/>
      <c r="C174" s="398"/>
      <c r="D174" s="398"/>
      <c r="E174" s="398"/>
      <c r="F174" s="398"/>
      <c r="G174" s="398"/>
      <c r="H174" s="398"/>
      <c r="I174" s="398"/>
      <c r="J174" s="398"/>
      <c r="K174" s="398"/>
      <c r="L174" s="398"/>
      <c r="M174" s="398"/>
      <c r="N174" s="398"/>
      <c r="O174" s="398"/>
      <c r="Q174" s="20"/>
      <c r="R174" s="34"/>
      <c r="S174" s="34"/>
      <c r="T174" s="34"/>
    </row>
    <row r="175" spans="1:20" s="31" customFormat="1" ht="27" customHeight="1" x14ac:dyDescent="0.25">
      <c r="A175" s="336"/>
      <c r="B175" s="336"/>
      <c r="C175" s="336"/>
      <c r="D175" s="336"/>
      <c r="E175" s="336"/>
      <c r="F175" s="336"/>
      <c r="G175" s="336"/>
      <c r="H175" s="336"/>
      <c r="I175" s="336"/>
      <c r="J175" s="336"/>
      <c r="K175" s="336"/>
      <c r="L175" s="336"/>
      <c r="M175" s="336"/>
      <c r="N175" s="336"/>
      <c r="O175" s="336"/>
      <c r="P175" s="36"/>
    </row>
    <row r="176" spans="1:20" s="31" customFormat="1" ht="27" customHeight="1" x14ac:dyDescent="0.25">
      <c r="A176" s="336"/>
      <c r="B176" s="336"/>
      <c r="C176" s="336"/>
      <c r="D176" s="336"/>
      <c r="E176" s="336"/>
      <c r="F176" s="336"/>
      <c r="G176" s="336"/>
      <c r="H176" s="336"/>
      <c r="I176" s="336"/>
      <c r="J176" s="336"/>
      <c r="K176" s="336"/>
      <c r="L176" s="336"/>
      <c r="M176" s="336"/>
      <c r="N176" s="336"/>
      <c r="O176" s="336"/>
      <c r="Q176" s="20"/>
      <c r="R176" s="34"/>
      <c r="S176" s="34"/>
      <c r="T176" s="34"/>
    </row>
    <row r="177" spans="1:20" s="31" customFormat="1" ht="27" customHeight="1" x14ac:dyDescent="0.25">
      <c r="A177" s="336"/>
      <c r="B177" s="336"/>
      <c r="C177" s="336"/>
      <c r="D177" s="336"/>
      <c r="E177" s="336"/>
      <c r="F177" s="336"/>
      <c r="G177" s="336"/>
      <c r="H177" s="336"/>
      <c r="I177" s="336"/>
      <c r="J177" s="336"/>
      <c r="K177" s="336"/>
      <c r="L177" s="336"/>
      <c r="M177" s="336"/>
      <c r="N177" s="336"/>
      <c r="O177" s="336"/>
      <c r="P177" s="36"/>
    </row>
    <row r="178" spans="1:20" s="31" customFormat="1" ht="27" customHeight="1" x14ac:dyDescent="0.25">
      <c r="A178" s="336"/>
      <c r="B178" s="336"/>
      <c r="C178" s="336"/>
      <c r="D178" s="336"/>
      <c r="E178" s="336"/>
      <c r="F178" s="336"/>
      <c r="G178" s="336"/>
      <c r="H178" s="336"/>
      <c r="I178" s="336"/>
      <c r="J178" s="336"/>
      <c r="K178" s="336"/>
      <c r="L178" s="336"/>
      <c r="M178" s="336"/>
      <c r="N178" s="336"/>
      <c r="O178" s="336"/>
      <c r="Q178" s="20"/>
      <c r="R178" s="34"/>
      <c r="S178" s="34"/>
      <c r="T178" s="34"/>
    </row>
    <row r="179" spans="1:20" s="31" customFormat="1" ht="27" customHeight="1" x14ac:dyDescent="0.25">
      <c r="A179" s="336"/>
      <c r="B179" s="336"/>
      <c r="C179" s="336"/>
      <c r="D179" s="336"/>
      <c r="E179" s="336"/>
      <c r="F179" s="336"/>
      <c r="G179" s="336"/>
      <c r="H179" s="336"/>
      <c r="I179" s="336"/>
      <c r="J179" s="336"/>
      <c r="K179" s="336"/>
      <c r="L179" s="336"/>
      <c r="M179" s="336"/>
      <c r="N179" s="336"/>
      <c r="O179" s="336"/>
      <c r="Q179" s="20"/>
      <c r="R179" s="34"/>
      <c r="S179" s="34"/>
      <c r="T179" s="34"/>
    </row>
    <row r="180" spans="1:20" s="31" customFormat="1" ht="27" customHeight="1" x14ac:dyDescent="0.25">
      <c r="A180" s="336"/>
      <c r="B180" s="336"/>
      <c r="C180" s="336"/>
      <c r="D180" s="336"/>
      <c r="E180" s="336"/>
      <c r="F180" s="336"/>
      <c r="G180" s="336"/>
      <c r="H180" s="336"/>
      <c r="I180" s="336"/>
      <c r="J180" s="336"/>
      <c r="K180" s="336"/>
      <c r="L180" s="336"/>
      <c r="M180" s="336"/>
      <c r="N180" s="336"/>
      <c r="O180" s="336"/>
      <c r="P180" s="36"/>
    </row>
    <row r="181" spans="1:20" s="70" customFormat="1" ht="27" customHeight="1" x14ac:dyDescent="0.25">
      <c r="A181" s="336"/>
      <c r="B181" s="336"/>
      <c r="C181" s="336"/>
      <c r="D181" s="336"/>
      <c r="E181" s="336"/>
      <c r="F181" s="336"/>
      <c r="G181" s="336"/>
      <c r="H181" s="336"/>
      <c r="I181" s="336"/>
      <c r="J181" s="336"/>
      <c r="K181" s="336"/>
      <c r="L181" s="336"/>
      <c r="M181" s="336"/>
      <c r="N181" s="336"/>
      <c r="O181" s="336"/>
      <c r="Q181" s="20"/>
      <c r="R181" s="69"/>
      <c r="S181" s="69"/>
      <c r="T181" s="69"/>
    </row>
    <row r="182" spans="1:20" s="70" customFormat="1" ht="27" customHeight="1" x14ac:dyDescent="0.25">
      <c r="A182" s="336"/>
      <c r="B182" s="336"/>
      <c r="C182" s="336"/>
      <c r="D182" s="336"/>
      <c r="E182" s="336"/>
      <c r="F182" s="336"/>
      <c r="G182" s="336"/>
      <c r="H182" s="336"/>
      <c r="I182" s="336"/>
      <c r="J182" s="336"/>
      <c r="K182" s="336"/>
      <c r="L182" s="336"/>
      <c r="M182" s="336"/>
      <c r="N182" s="336"/>
      <c r="O182" s="336"/>
      <c r="Q182" s="20"/>
      <c r="R182" s="69"/>
      <c r="S182" s="69"/>
      <c r="T182" s="69"/>
    </row>
    <row r="183" spans="1:20" s="31" customFormat="1" ht="27" customHeight="1" x14ac:dyDescent="0.25">
      <c r="A183" s="336"/>
      <c r="B183" s="336"/>
      <c r="C183" s="336"/>
      <c r="D183" s="336"/>
      <c r="E183" s="336"/>
      <c r="F183" s="336"/>
      <c r="G183" s="336"/>
      <c r="H183" s="336"/>
      <c r="I183" s="336"/>
      <c r="J183" s="336"/>
      <c r="K183" s="336"/>
      <c r="L183" s="336"/>
      <c r="M183" s="336"/>
      <c r="N183" s="336"/>
      <c r="O183" s="336"/>
      <c r="Q183" s="20"/>
      <c r="R183" s="34"/>
      <c r="S183" s="34"/>
      <c r="T183" s="34"/>
    </row>
    <row r="184" spans="1:20" s="31" customFormat="1" ht="27" customHeight="1" x14ac:dyDescent="0.25">
      <c r="A184" s="336"/>
      <c r="B184" s="336"/>
      <c r="C184" s="336"/>
      <c r="D184" s="336"/>
      <c r="E184" s="336"/>
      <c r="F184" s="336"/>
      <c r="G184" s="336"/>
      <c r="H184" s="336"/>
      <c r="I184" s="336"/>
      <c r="J184" s="336"/>
      <c r="K184" s="336"/>
      <c r="L184" s="336"/>
      <c r="M184" s="336"/>
      <c r="N184" s="336"/>
      <c r="O184" s="336"/>
      <c r="Q184" s="20"/>
      <c r="R184" s="34"/>
      <c r="S184" s="34"/>
      <c r="T184" s="34"/>
    </row>
    <row r="185" spans="1:20" s="31" customFormat="1" ht="27" customHeight="1" x14ac:dyDescent="0.25">
      <c r="A185" s="336"/>
      <c r="B185" s="336"/>
      <c r="C185" s="336"/>
      <c r="D185" s="336"/>
      <c r="E185" s="336"/>
      <c r="F185" s="336"/>
      <c r="G185" s="336"/>
      <c r="H185" s="336"/>
      <c r="I185" s="336"/>
      <c r="J185" s="336"/>
      <c r="K185" s="336"/>
      <c r="L185" s="336"/>
      <c r="M185" s="336"/>
      <c r="N185" s="336"/>
      <c r="O185" s="336"/>
      <c r="P185" s="36"/>
    </row>
    <row r="186" spans="1:20" s="31" customFormat="1" ht="27" customHeight="1" x14ac:dyDescent="0.25">
      <c r="A186" s="336"/>
      <c r="B186" s="336"/>
      <c r="C186" s="336"/>
      <c r="D186" s="336"/>
      <c r="E186" s="336"/>
      <c r="F186" s="336"/>
      <c r="G186" s="336"/>
      <c r="H186" s="336"/>
      <c r="I186" s="336"/>
      <c r="J186" s="336"/>
      <c r="K186" s="336"/>
      <c r="L186" s="336"/>
      <c r="M186" s="336"/>
      <c r="N186" s="336"/>
      <c r="O186" s="336"/>
      <c r="Q186" s="20"/>
      <c r="R186" s="34"/>
      <c r="S186" s="34"/>
      <c r="T186" s="34"/>
    </row>
    <row r="187" spans="1:20" s="67" customFormat="1" ht="27" customHeight="1" x14ac:dyDescent="0.25">
      <c r="A187" s="336"/>
      <c r="B187" s="336"/>
      <c r="C187" s="336"/>
      <c r="D187" s="336"/>
      <c r="E187" s="336"/>
      <c r="F187" s="336"/>
      <c r="G187" s="336"/>
      <c r="H187" s="336"/>
      <c r="I187" s="336"/>
      <c r="J187" s="336"/>
      <c r="K187" s="336"/>
      <c r="L187" s="336"/>
      <c r="M187" s="336"/>
      <c r="N187" s="336"/>
      <c r="O187" s="336"/>
      <c r="Q187" s="20"/>
      <c r="R187" s="66"/>
      <c r="S187" s="66"/>
      <c r="T187" s="66"/>
    </row>
    <row r="188" spans="1:20" s="67" customFormat="1" ht="27" customHeight="1" x14ac:dyDescent="0.25">
      <c r="A188" s="336"/>
      <c r="B188" s="336"/>
      <c r="C188" s="336"/>
      <c r="D188" s="336"/>
      <c r="E188" s="336"/>
      <c r="F188" s="336"/>
      <c r="G188" s="336"/>
      <c r="H188" s="336"/>
      <c r="I188" s="336"/>
      <c r="J188" s="336"/>
      <c r="K188" s="336"/>
      <c r="L188" s="336"/>
      <c r="M188" s="336"/>
      <c r="N188" s="336"/>
      <c r="O188" s="336"/>
      <c r="P188" s="36"/>
    </row>
    <row r="189" spans="1:20" s="67" customFormat="1" ht="27" customHeight="1" x14ac:dyDescent="0.25">
      <c r="A189" s="336"/>
      <c r="B189" s="336"/>
      <c r="C189" s="336"/>
      <c r="D189" s="336"/>
      <c r="E189" s="336"/>
      <c r="F189" s="336"/>
      <c r="G189" s="336"/>
      <c r="H189" s="336"/>
      <c r="I189" s="336"/>
      <c r="J189" s="336"/>
      <c r="K189" s="336"/>
      <c r="L189" s="336"/>
      <c r="M189" s="336"/>
      <c r="N189" s="336"/>
      <c r="O189" s="336"/>
      <c r="Q189" s="20"/>
      <c r="R189" s="66"/>
      <c r="S189" s="66"/>
      <c r="T189" s="66"/>
    </row>
    <row r="190" spans="1:20" s="31" customFormat="1" ht="27" customHeight="1" x14ac:dyDescent="0.25">
      <c r="A190" s="336"/>
      <c r="B190" s="336"/>
      <c r="C190" s="336"/>
      <c r="D190" s="336"/>
      <c r="E190" s="336"/>
      <c r="F190" s="336"/>
      <c r="G190" s="336"/>
      <c r="H190" s="336"/>
      <c r="I190" s="336"/>
      <c r="J190" s="336"/>
      <c r="K190" s="336"/>
      <c r="L190" s="336"/>
      <c r="M190" s="336"/>
      <c r="N190" s="336"/>
      <c r="O190" s="336"/>
      <c r="Q190" s="20"/>
      <c r="R190" s="34"/>
      <c r="S190" s="34"/>
      <c r="T190" s="34"/>
    </row>
    <row r="191" spans="1:20" s="31" customFormat="1" ht="27" customHeight="1" x14ac:dyDescent="0.25">
      <c r="A191" s="336"/>
      <c r="B191" s="336"/>
      <c r="C191" s="336"/>
      <c r="D191" s="336"/>
      <c r="E191" s="336"/>
      <c r="F191" s="336"/>
      <c r="G191" s="336"/>
      <c r="H191" s="336"/>
      <c r="I191" s="336"/>
      <c r="J191" s="336"/>
      <c r="K191" s="336"/>
      <c r="L191" s="336"/>
      <c r="M191" s="336"/>
      <c r="N191" s="336"/>
      <c r="O191" s="336"/>
      <c r="P191" s="36"/>
    </row>
    <row r="192" spans="1:20" s="31" customFormat="1" ht="27" customHeight="1" x14ac:dyDescent="0.25">
      <c r="A192" s="336"/>
      <c r="B192" s="336"/>
      <c r="C192" s="336"/>
      <c r="D192" s="336"/>
      <c r="E192" s="336"/>
      <c r="F192" s="336"/>
      <c r="G192" s="336"/>
      <c r="H192" s="336"/>
      <c r="I192" s="336"/>
      <c r="J192" s="336"/>
      <c r="K192" s="336"/>
      <c r="L192" s="336"/>
      <c r="M192" s="336"/>
      <c r="N192" s="336"/>
      <c r="O192" s="336"/>
      <c r="Q192" s="20"/>
      <c r="R192" s="34"/>
      <c r="S192" s="34"/>
      <c r="T192" s="34"/>
    </row>
    <row r="193" spans="1:20" s="31" customFormat="1" ht="27" customHeight="1" x14ac:dyDescent="0.25">
      <c r="A193" s="336"/>
      <c r="B193" s="336"/>
      <c r="C193" s="336"/>
      <c r="D193" s="336"/>
      <c r="E193" s="336"/>
      <c r="F193" s="336"/>
      <c r="G193" s="336"/>
      <c r="H193" s="336"/>
      <c r="I193" s="336"/>
      <c r="J193" s="336"/>
      <c r="K193" s="336"/>
      <c r="L193" s="336"/>
      <c r="M193" s="336"/>
      <c r="N193" s="336"/>
      <c r="O193" s="336"/>
      <c r="Q193" s="20"/>
      <c r="R193" s="34"/>
      <c r="S193" s="34"/>
      <c r="T193" s="34"/>
    </row>
    <row r="194" spans="1:20" s="31" customFormat="1" x14ac:dyDescent="0.25">
      <c r="A194" s="143"/>
      <c r="B194" s="143"/>
      <c r="C194" s="143"/>
      <c r="D194" s="143"/>
      <c r="E194" s="143"/>
      <c r="F194" s="143"/>
      <c r="G194" s="143"/>
      <c r="H194" s="143"/>
      <c r="I194" s="143"/>
      <c r="J194" s="143"/>
      <c r="K194" s="143"/>
      <c r="L194" s="143"/>
      <c r="M194" s="143"/>
      <c r="N194" s="143"/>
      <c r="O194" s="143"/>
    </row>
    <row r="195" spans="1:20" s="31" customFormat="1" ht="27" customHeight="1" x14ac:dyDescent="0.3">
      <c r="A195" s="434" t="s">
        <v>261</v>
      </c>
      <c r="B195" s="434"/>
      <c r="C195" s="434"/>
      <c r="D195" s="434"/>
      <c r="E195" s="434"/>
      <c r="F195" s="434"/>
      <c r="G195" s="434"/>
      <c r="H195" s="434"/>
      <c r="I195" s="434"/>
      <c r="J195" s="418">
        <f>L4+L8+L13+L16+L19+L26+L28+L30+L32+L34+L38+L40+L42+L47+L52+L54+L56+L58+L60+L64+L65+L66+L68+L72+L78+L80+L82+L84+L94+L97+L100+L102+L105+L108+L113+L117+L119+L122+L124+L126+L131+L135+L139+L145+L149+L152+L158</f>
        <v>0</v>
      </c>
      <c r="K195" s="418"/>
      <c r="L195" s="143"/>
      <c r="M195" s="143"/>
      <c r="N195" s="143"/>
      <c r="O195" s="143"/>
    </row>
    <row r="196" spans="1:20" s="31" customFormat="1" ht="27" customHeight="1" thickBot="1" x14ac:dyDescent="0.35">
      <c r="A196" s="435" t="s">
        <v>239</v>
      </c>
      <c r="B196" s="435"/>
      <c r="C196" s="435"/>
      <c r="D196" s="40" t="s">
        <v>236</v>
      </c>
      <c r="E196" s="42">
        <v>410</v>
      </c>
      <c r="G196" s="417" t="s">
        <v>240</v>
      </c>
      <c r="H196" s="417"/>
      <c r="I196" s="436"/>
      <c r="J196" s="436"/>
      <c r="K196" s="436"/>
      <c r="L196" s="436"/>
      <c r="M196" s="436"/>
      <c r="N196" s="436"/>
      <c r="O196" s="436"/>
    </row>
    <row r="197" spans="1:20" s="31" customFormat="1" ht="27" customHeight="1" thickBot="1" x14ac:dyDescent="0.35">
      <c r="A197" s="416" t="s">
        <v>237</v>
      </c>
      <c r="B197" s="416"/>
      <c r="C197" s="416"/>
      <c r="D197" s="40" t="s">
        <v>236</v>
      </c>
      <c r="E197" s="54">
        <f>N13+N16+N19+N28+N30+N32+N34+N38+N40+N42+N54+N60+N65+N82+N97+N100+N102+N105+N108+N113+N117+N119+N126+N135+N139+N152+N94+N122+N124</f>
        <v>0</v>
      </c>
      <c r="G197" s="417" t="s">
        <v>244</v>
      </c>
      <c r="H197" s="417"/>
      <c r="I197" s="417"/>
      <c r="J197" s="417"/>
      <c r="K197" s="417"/>
      <c r="L197" s="417"/>
      <c r="M197" s="417"/>
      <c r="N197" s="417"/>
      <c r="O197" s="417"/>
    </row>
    <row r="198" spans="1:20" s="31" customFormat="1" ht="27" customHeight="1" thickBot="1" x14ac:dyDescent="0.35">
      <c r="A198" s="416" t="s">
        <v>241</v>
      </c>
      <c r="B198" s="416"/>
      <c r="C198" s="416"/>
      <c r="D198" s="40" t="s">
        <v>236</v>
      </c>
      <c r="E198" s="54">
        <f>E196-E197</f>
        <v>410</v>
      </c>
      <c r="G198" s="417" t="s">
        <v>245</v>
      </c>
      <c r="H198" s="417"/>
      <c r="I198" s="417"/>
      <c r="J198" s="417"/>
      <c r="K198" s="417"/>
      <c r="L198" s="417"/>
      <c r="M198" s="417"/>
      <c r="N198" s="417"/>
      <c r="O198" s="417"/>
    </row>
    <row r="199" spans="1:20" s="31" customFormat="1" ht="36" customHeight="1" x14ac:dyDescent="0.3">
      <c r="A199" s="432" t="s">
        <v>242</v>
      </c>
      <c r="B199" s="432"/>
      <c r="C199" s="432"/>
      <c r="D199" s="143"/>
      <c r="E199" s="143"/>
      <c r="F199" s="143"/>
      <c r="G199" s="433" t="s">
        <v>246</v>
      </c>
      <c r="H199" s="433"/>
      <c r="I199" s="433"/>
      <c r="J199" s="433"/>
      <c r="K199" s="433"/>
      <c r="L199" s="433"/>
      <c r="M199" s="433"/>
      <c r="N199" s="433"/>
      <c r="O199" s="433"/>
    </row>
    <row r="200" spans="1:20" s="31" customFormat="1" ht="27" customHeight="1" thickBot="1" x14ac:dyDescent="0.35">
      <c r="A200" s="416" t="s">
        <v>243</v>
      </c>
      <c r="B200" s="416"/>
      <c r="C200" s="416"/>
      <c r="D200" s="40" t="s">
        <v>236</v>
      </c>
      <c r="E200" s="53">
        <f>E198*0.8</f>
        <v>328</v>
      </c>
      <c r="G200" s="417"/>
      <c r="H200" s="417"/>
      <c r="I200" s="417"/>
      <c r="J200" s="417"/>
      <c r="K200" s="417"/>
      <c r="L200" s="417"/>
      <c r="M200" s="417"/>
      <c r="N200" s="417"/>
      <c r="O200" s="417"/>
    </row>
    <row r="201" spans="1:20" s="31" customFormat="1" ht="15" customHeight="1" x14ac:dyDescent="0.25">
      <c r="A201" s="143"/>
      <c r="B201" s="143"/>
      <c r="C201" s="143"/>
      <c r="D201" s="143"/>
      <c r="E201" s="143"/>
      <c r="F201" s="143"/>
      <c r="G201" s="143"/>
      <c r="H201" s="143"/>
      <c r="I201" s="143"/>
      <c r="J201" s="143"/>
      <c r="K201" s="143"/>
      <c r="L201" s="143"/>
      <c r="M201" s="143"/>
      <c r="N201" s="143"/>
      <c r="O201" s="143"/>
    </row>
    <row r="202" spans="1:20" s="31" customFormat="1" ht="18" customHeight="1" x14ac:dyDescent="0.3">
      <c r="A202" s="310"/>
      <c r="B202" s="310"/>
      <c r="C202" s="312"/>
      <c r="D202" s="75"/>
      <c r="E202" s="306" t="s">
        <v>342</v>
      </c>
      <c r="F202" s="307"/>
      <c r="G202" s="308"/>
      <c r="H202" s="75"/>
      <c r="I202" s="135" t="s">
        <v>341</v>
      </c>
      <c r="J202" s="128"/>
      <c r="K202" s="128"/>
      <c r="L202" s="127"/>
      <c r="M202" s="127" t="s">
        <v>247</v>
      </c>
      <c r="N202" s="127"/>
      <c r="O202" s="127"/>
    </row>
    <row r="203" spans="1:20" s="31" customFormat="1" x14ac:dyDescent="0.25">
      <c r="A203" s="215"/>
      <c r="B203" s="215"/>
      <c r="C203" s="215"/>
      <c r="D203" s="215"/>
      <c r="E203" s="215"/>
      <c r="F203" s="215"/>
      <c r="G203" s="215"/>
      <c r="H203" s="215"/>
      <c r="I203" s="215"/>
      <c r="J203" s="215"/>
      <c r="K203" s="215"/>
      <c r="L203" s="215"/>
      <c r="M203" s="215"/>
      <c r="N203" s="215"/>
      <c r="O203" s="215"/>
    </row>
    <row r="204" spans="1:20" s="31" customFormat="1" x14ac:dyDescent="0.25">
      <c r="A204" s="425" t="s">
        <v>248</v>
      </c>
      <c r="B204" s="393"/>
      <c r="C204" s="393"/>
      <c r="D204" s="393"/>
      <c r="E204" s="393"/>
      <c r="F204" s="393"/>
      <c r="G204" s="393"/>
      <c r="H204" s="393"/>
      <c r="I204" s="393"/>
      <c r="J204" s="393"/>
      <c r="K204" s="393"/>
      <c r="L204" s="393"/>
      <c r="M204" s="393"/>
      <c r="N204" s="393"/>
      <c r="O204" s="426"/>
    </row>
    <row r="205" spans="1:20" s="31" customFormat="1" x14ac:dyDescent="0.25">
      <c r="A205" s="427" t="s">
        <v>249</v>
      </c>
      <c r="B205" s="357"/>
      <c r="C205" s="357"/>
      <c r="D205" s="357"/>
      <c r="E205" s="357"/>
      <c r="F205" s="357"/>
      <c r="G205" s="357"/>
      <c r="H205" s="357"/>
      <c r="I205" s="357"/>
      <c r="J205" s="357"/>
      <c r="K205" s="357"/>
      <c r="L205" s="357"/>
      <c r="M205" s="357"/>
      <c r="N205" s="357"/>
      <c r="O205" s="428"/>
    </row>
    <row r="206" spans="1:20" s="31" customFormat="1" x14ac:dyDescent="0.25">
      <c r="A206" s="427" t="s">
        <v>250</v>
      </c>
      <c r="B206" s="357"/>
      <c r="C206" s="357"/>
      <c r="D206" s="357"/>
      <c r="E206" s="357"/>
      <c r="F206" s="357"/>
      <c r="G206" s="357"/>
      <c r="H206" s="357"/>
      <c r="I206" s="357"/>
      <c r="J206" s="357"/>
      <c r="K206" s="357"/>
      <c r="L206" s="357"/>
      <c r="M206" s="357"/>
      <c r="N206" s="357"/>
      <c r="O206" s="428"/>
    </row>
    <row r="207" spans="1:20" s="31" customFormat="1" x14ac:dyDescent="0.25">
      <c r="A207" s="429" t="s">
        <v>265</v>
      </c>
      <c r="B207" s="430"/>
      <c r="C207" s="430"/>
      <c r="D207" s="430"/>
      <c r="E207" s="430"/>
      <c r="F207" s="430"/>
      <c r="G207" s="430"/>
      <c r="H207" s="430"/>
      <c r="I207" s="430"/>
      <c r="J207" s="430"/>
      <c r="K207" s="430"/>
      <c r="L207" s="430"/>
      <c r="M207" s="430"/>
      <c r="N207" s="430"/>
      <c r="O207" s="431"/>
    </row>
    <row r="208" spans="1:20" ht="12.75" customHeight="1" x14ac:dyDescent="0.25"/>
    <row r="210" spans="1:15" x14ac:dyDescent="0.25">
      <c r="A210" s="7"/>
      <c r="B210" s="7"/>
      <c r="C210" s="30"/>
      <c r="D210" s="30"/>
      <c r="E210" s="30"/>
      <c r="F210" s="7"/>
      <c r="G210" s="7"/>
      <c r="H210" s="7"/>
      <c r="I210" s="7"/>
      <c r="J210" s="7"/>
      <c r="K210" s="7"/>
      <c r="L210" s="7"/>
      <c r="M210" s="7"/>
      <c r="N210" s="7"/>
      <c r="O210" s="7"/>
    </row>
  </sheetData>
  <sheetProtection password="D6D7" sheet="1" objects="1" scenarios="1"/>
  <mergeCells count="402">
    <mergeCell ref="B146:J146"/>
    <mergeCell ref="B147:J147"/>
    <mergeCell ref="B148:J148"/>
    <mergeCell ref="A203:O203"/>
    <mergeCell ref="A204:O204"/>
    <mergeCell ref="A205:O205"/>
    <mergeCell ref="A206:O206"/>
    <mergeCell ref="A207:O207"/>
    <mergeCell ref="A198:C198"/>
    <mergeCell ref="G198:O198"/>
    <mergeCell ref="A199:C199"/>
    <mergeCell ref="D199:F199"/>
    <mergeCell ref="G199:O199"/>
    <mergeCell ref="A200:C200"/>
    <mergeCell ref="G200:O200"/>
    <mergeCell ref="A202:C202"/>
    <mergeCell ref="A201:O201"/>
    <mergeCell ref="E202:G202"/>
    <mergeCell ref="A192:O192"/>
    <mergeCell ref="A193:O193"/>
    <mergeCell ref="A194:O194"/>
    <mergeCell ref="A195:I195"/>
    <mergeCell ref="A196:C196"/>
    <mergeCell ref="G196:O196"/>
    <mergeCell ref="A197:C197"/>
    <mergeCell ref="G197:O197"/>
    <mergeCell ref="J195:K195"/>
    <mergeCell ref="L195:O195"/>
    <mergeCell ref="A178:O178"/>
    <mergeCell ref="A179:O179"/>
    <mergeCell ref="A180:O180"/>
    <mergeCell ref="A183:O183"/>
    <mergeCell ref="A184:O184"/>
    <mergeCell ref="A185:O185"/>
    <mergeCell ref="A186:O186"/>
    <mergeCell ref="A190:O190"/>
    <mergeCell ref="A191:O191"/>
    <mergeCell ref="A181:O181"/>
    <mergeCell ref="A182:O182"/>
    <mergeCell ref="O131:O134"/>
    <mergeCell ref="K139:K142"/>
    <mergeCell ref="L131:L134"/>
    <mergeCell ref="L139:L142"/>
    <mergeCell ref="M139:M142"/>
    <mergeCell ref="N139:N142"/>
    <mergeCell ref="O135:O138"/>
    <mergeCell ref="A143:O143"/>
    <mergeCell ref="M131:M134"/>
    <mergeCell ref="N131:N134"/>
    <mergeCell ref="B139:J142"/>
    <mergeCell ref="A77:J77"/>
    <mergeCell ref="A88:O88"/>
    <mergeCell ref="A89:C89"/>
    <mergeCell ref="F89:G89"/>
    <mergeCell ref="I89:J89"/>
    <mergeCell ref="K89:O89"/>
    <mergeCell ref="K68:K71"/>
    <mergeCell ref="L68:L71"/>
    <mergeCell ref="M68:M71"/>
    <mergeCell ref="N68:N71"/>
    <mergeCell ref="O68:O71"/>
    <mergeCell ref="A87:O87"/>
    <mergeCell ref="A84:A86"/>
    <mergeCell ref="K78:K79"/>
    <mergeCell ref="K80:K81"/>
    <mergeCell ref="K82:K83"/>
    <mergeCell ref="K84:K86"/>
    <mergeCell ref="O84:O86"/>
    <mergeCell ref="L82:L83"/>
    <mergeCell ref="M82:M83"/>
    <mergeCell ref="O80:O81"/>
    <mergeCell ref="L78:L79"/>
    <mergeCell ref="A78:A79"/>
    <mergeCell ref="A80:A81"/>
    <mergeCell ref="A28:A29"/>
    <mergeCell ref="A47:A51"/>
    <mergeCell ref="A38:A39"/>
    <mergeCell ref="A42:A46"/>
    <mergeCell ref="L47:L51"/>
    <mergeCell ref="A30:A31"/>
    <mergeCell ref="M56:M57"/>
    <mergeCell ref="N56:N57"/>
    <mergeCell ref="O56:O57"/>
    <mergeCell ref="A37:J37"/>
    <mergeCell ref="K52:K53"/>
    <mergeCell ref="L52:L53"/>
    <mergeCell ref="K54:K55"/>
    <mergeCell ref="A56:A57"/>
    <mergeCell ref="K56:K57"/>
    <mergeCell ref="L56:L57"/>
    <mergeCell ref="K47:K51"/>
    <mergeCell ref="K38:K39"/>
    <mergeCell ref="K42:K46"/>
    <mergeCell ref="B52:J53"/>
    <mergeCell ref="B54:J55"/>
    <mergeCell ref="B56:J57"/>
    <mergeCell ref="N38:N39"/>
    <mergeCell ref="O38:O39"/>
    <mergeCell ref="B145:J145"/>
    <mergeCell ref="B149:J150"/>
    <mergeCell ref="B152:J155"/>
    <mergeCell ref="B158:J161"/>
    <mergeCell ref="A167:O167"/>
    <mergeCell ref="A168:O168"/>
    <mergeCell ref="A169:O169"/>
    <mergeCell ref="A170:O170"/>
    <mergeCell ref="A171:O171"/>
    <mergeCell ref="O152:O155"/>
    <mergeCell ref="A152:A155"/>
    <mergeCell ref="K152:K155"/>
    <mergeCell ref="L152:L155"/>
    <mergeCell ref="M152:M155"/>
    <mergeCell ref="N152:N155"/>
    <mergeCell ref="A164:O164"/>
    <mergeCell ref="A165:O165"/>
    <mergeCell ref="A166:O166"/>
    <mergeCell ref="A145:A148"/>
    <mergeCell ref="K145:K148"/>
    <mergeCell ref="L145:L148"/>
    <mergeCell ref="M145:M148"/>
    <mergeCell ref="N145:N148"/>
    <mergeCell ref="O145:O148"/>
    <mergeCell ref="A176:O176"/>
    <mergeCell ref="A157:J157"/>
    <mergeCell ref="A162:O162"/>
    <mergeCell ref="A163:C163"/>
    <mergeCell ref="E163:O163"/>
    <mergeCell ref="A177:O177"/>
    <mergeCell ref="N149:N150"/>
    <mergeCell ref="O149:O150"/>
    <mergeCell ref="M149:M150"/>
    <mergeCell ref="A149:A150"/>
    <mergeCell ref="K149:K150"/>
    <mergeCell ref="L149:L150"/>
    <mergeCell ref="A172:O172"/>
    <mergeCell ref="A173:O173"/>
    <mergeCell ref="A174:O174"/>
    <mergeCell ref="A175:O175"/>
    <mergeCell ref="M117:M118"/>
    <mergeCell ref="N117:N118"/>
    <mergeCell ref="O117:O118"/>
    <mergeCell ref="L119:L121"/>
    <mergeCell ref="M119:M121"/>
    <mergeCell ref="N119:N121"/>
    <mergeCell ref="O119:O121"/>
    <mergeCell ref="L122:L123"/>
    <mergeCell ref="M122:M123"/>
    <mergeCell ref="N122:N123"/>
    <mergeCell ref="O122:O123"/>
    <mergeCell ref="L117:L118"/>
    <mergeCell ref="O102:O104"/>
    <mergeCell ref="O105:O107"/>
    <mergeCell ref="L113:L115"/>
    <mergeCell ref="M113:M115"/>
    <mergeCell ref="N113:N115"/>
    <mergeCell ref="O113:O115"/>
    <mergeCell ref="L105:L107"/>
    <mergeCell ref="M105:M107"/>
    <mergeCell ref="N105:N107"/>
    <mergeCell ref="A82:A83"/>
    <mergeCell ref="A94:A96"/>
    <mergeCell ref="N94:N96"/>
    <mergeCell ref="O94:O96"/>
    <mergeCell ref="K94:K96"/>
    <mergeCell ref="L94:L96"/>
    <mergeCell ref="M94:M96"/>
    <mergeCell ref="B78:J79"/>
    <mergeCell ref="B80:J81"/>
    <mergeCell ref="B82:J83"/>
    <mergeCell ref="B84:J86"/>
    <mergeCell ref="B94:J96"/>
    <mergeCell ref="M78:M79"/>
    <mergeCell ref="N78:N79"/>
    <mergeCell ref="O78:O79"/>
    <mergeCell ref="N82:N83"/>
    <mergeCell ref="O82:O83"/>
    <mergeCell ref="L80:L81"/>
    <mergeCell ref="M80:M81"/>
    <mergeCell ref="N80:N81"/>
    <mergeCell ref="A90:O90"/>
    <mergeCell ref="A91:O91"/>
    <mergeCell ref="L84:L86"/>
    <mergeCell ref="M84:M86"/>
    <mergeCell ref="K72:K75"/>
    <mergeCell ref="B65:J65"/>
    <mergeCell ref="N72:N75"/>
    <mergeCell ref="B68:J71"/>
    <mergeCell ref="B72:J75"/>
    <mergeCell ref="B58:J59"/>
    <mergeCell ref="B60:J63"/>
    <mergeCell ref="B66:J67"/>
    <mergeCell ref="A76:O76"/>
    <mergeCell ref="O66:O67"/>
    <mergeCell ref="O72:O75"/>
    <mergeCell ref="N60:N63"/>
    <mergeCell ref="N66:N67"/>
    <mergeCell ref="L72:L75"/>
    <mergeCell ref="M72:M75"/>
    <mergeCell ref="L60:L63"/>
    <mergeCell ref="M60:M63"/>
    <mergeCell ref="L66:L67"/>
    <mergeCell ref="M66:M67"/>
    <mergeCell ref="A68:A71"/>
    <mergeCell ref="O60:O63"/>
    <mergeCell ref="B64:J64"/>
    <mergeCell ref="A72:A75"/>
    <mergeCell ref="A52:A53"/>
    <mergeCell ref="A54:A55"/>
    <mergeCell ref="A58:A59"/>
    <mergeCell ref="A60:A63"/>
    <mergeCell ref="A66:A67"/>
    <mergeCell ref="M52:M53"/>
    <mergeCell ref="N52:N53"/>
    <mergeCell ref="L54:L55"/>
    <mergeCell ref="M54:M55"/>
    <mergeCell ref="N54:N55"/>
    <mergeCell ref="L58:L59"/>
    <mergeCell ref="M58:M59"/>
    <mergeCell ref="N58:N59"/>
    <mergeCell ref="K58:K59"/>
    <mergeCell ref="K60:K63"/>
    <mergeCell ref="K66:K67"/>
    <mergeCell ref="O52:O53"/>
    <mergeCell ref="O54:O55"/>
    <mergeCell ref="N42:N46"/>
    <mergeCell ref="O42:O46"/>
    <mergeCell ref="M47:M51"/>
    <mergeCell ref="N47:N51"/>
    <mergeCell ref="O47:O51"/>
    <mergeCell ref="L42:L46"/>
    <mergeCell ref="O58:O59"/>
    <mergeCell ref="N34:N36"/>
    <mergeCell ref="O34:O36"/>
    <mergeCell ref="K30:K31"/>
    <mergeCell ref="K32:K33"/>
    <mergeCell ref="M28:M29"/>
    <mergeCell ref="K34:K36"/>
    <mergeCell ref="B28:J29"/>
    <mergeCell ref="B30:J31"/>
    <mergeCell ref="B32:J33"/>
    <mergeCell ref="B34:J36"/>
    <mergeCell ref="N28:N29"/>
    <mergeCell ref="O28:O29"/>
    <mergeCell ref="M30:M31"/>
    <mergeCell ref="N30:N31"/>
    <mergeCell ref="O30:O31"/>
    <mergeCell ref="M32:M33"/>
    <mergeCell ref="N32:N33"/>
    <mergeCell ref="L28:L29"/>
    <mergeCell ref="O32:O33"/>
    <mergeCell ref="K28:K29"/>
    <mergeCell ref="L30:L31"/>
    <mergeCell ref="L34:L36"/>
    <mergeCell ref="L32:L33"/>
    <mergeCell ref="A32:A33"/>
    <mergeCell ref="A34:A36"/>
    <mergeCell ref="B38:J39"/>
    <mergeCell ref="B42:J46"/>
    <mergeCell ref="B47:J51"/>
    <mergeCell ref="K4:K7"/>
    <mergeCell ref="K16:K18"/>
    <mergeCell ref="L16:L18"/>
    <mergeCell ref="M16:M18"/>
    <mergeCell ref="K19:K23"/>
    <mergeCell ref="B4:J7"/>
    <mergeCell ref="B8:J12"/>
    <mergeCell ref="B26:J27"/>
    <mergeCell ref="M42:M46"/>
    <mergeCell ref="L38:L39"/>
    <mergeCell ref="M38:M39"/>
    <mergeCell ref="M34:M36"/>
    <mergeCell ref="A26:A27"/>
    <mergeCell ref="M26:M27"/>
    <mergeCell ref="A40:A41"/>
    <mergeCell ref="B40:J41"/>
    <mergeCell ref="K40:K41"/>
    <mergeCell ref="L40:L41"/>
    <mergeCell ref="M40:M41"/>
    <mergeCell ref="N16:N18"/>
    <mergeCell ref="O16:O18"/>
    <mergeCell ref="A19:A23"/>
    <mergeCell ref="B13:J15"/>
    <mergeCell ref="B16:J18"/>
    <mergeCell ref="B19:J23"/>
    <mergeCell ref="K8:K12"/>
    <mergeCell ref="K13:K15"/>
    <mergeCell ref="N26:N27"/>
    <mergeCell ref="O26:O27"/>
    <mergeCell ref="N13:N15"/>
    <mergeCell ref="O13:O15"/>
    <mergeCell ref="A24:O24"/>
    <mergeCell ref="L19:L23"/>
    <mergeCell ref="M19:M23"/>
    <mergeCell ref="N19:N23"/>
    <mergeCell ref="O19:O23"/>
    <mergeCell ref="A13:A15"/>
    <mergeCell ref="M13:M15"/>
    <mergeCell ref="A25:J25"/>
    <mergeCell ref="K26:K27"/>
    <mergeCell ref="L26:L27"/>
    <mergeCell ref="L13:L15"/>
    <mergeCell ref="A16:A18"/>
    <mergeCell ref="A1:O1"/>
    <mergeCell ref="A2:O2"/>
    <mergeCell ref="A4:A7"/>
    <mergeCell ref="L4:L7"/>
    <mergeCell ref="M4:M7"/>
    <mergeCell ref="N4:N7"/>
    <mergeCell ref="O4:O7"/>
    <mergeCell ref="A8:A12"/>
    <mergeCell ref="L8:L12"/>
    <mergeCell ref="M8:M12"/>
    <mergeCell ref="N8:N12"/>
    <mergeCell ref="O8:O12"/>
    <mergeCell ref="A3:J3"/>
    <mergeCell ref="O124:O125"/>
    <mergeCell ref="A156:O156"/>
    <mergeCell ref="A158:A161"/>
    <mergeCell ref="K158:K161"/>
    <mergeCell ref="L158:L161"/>
    <mergeCell ref="M158:M161"/>
    <mergeCell ref="N158:N161"/>
    <mergeCell ref="O158:O161"/>
    <mergeCell ref="A131:A134"/>
    <mergeCell ref="A135:A138"/>
    <mergeCell ref="A139:A142"/>
    <mergeCell ref="A126:A128"/>
    <mergeCell ref="M126:M128"/>
    <mergeCell ref="N126:N128"/>
    <mergeCell ref="O126:O128"/>
    <mergeCell ref="L135:L138"/>
    <mergeCell ref="M135:M138"/>
    <mergeCell ref="N135:N138"/>
    <mergeCell ref="K131:K134"/>
    <mergeCell ref="K135:K138"/>
    <mergeCell ref="K126:K128"/>
    <mergeCell ref="L126:L128"/>
    <mergeCell ref="A130:J130"/>
    <mergeCell ref="O139:O142"/>
    <mergeCell ref="N84:N86"/>
    <mergeCell ref="A92:O92"/>
    <mergeCell ref="A93:J93"/>
    <mergeCell ref="A100:A101"/>
    <mergeCell ref="K100:K101"/>
    <mergeCell ref="L100:L101"/>
    <mergeCell ref="M100:M101"/>
    <mergeCell ref="N100:N101"/>
    <mergeCell ref="O100:O101"/>
    <mergeCell ref="A97:A99"/>
    <mergeCell ref="K97:K99"/>
    <mergeCell ref="O97:O99"/>
    <mergeCell ref="L97:L99"/>
    <mergeCell ref="M97:M99"/>
    <mergeCell ref="N97:N99"/>
    <mergeCell ref="A124:A125"/>
    <mergeCell ref="K124:K125"/>
    <mergeCell ref="L124:L125"/>
    <mergeCell ref="M124:M125"/>
    <mergeCell ref="N124:N125"/>
    <mergeCell ref="K117:K118"/>
    <mergeCell ref="K119:K121"/>
    <mergeCell ref="B97:J99"/>
    <mergeCell ref="B100:J101"/>
    <mergeCell ref="B102:J104"/>
    <mergeCell ref="B105:J107"/>
    <mergeCell ref="K102:K104"/>
    <mergeCell ref="K122:K123"/>
    <mergeCell ref="A117:A118"/>
    <mergeCell ref="A119:A121"/>
    <mergeCell ref="A122:A123"/>
    <mergeCell ref="K105:K107"/>
    <mergeCell ref="K113:K115"/>
    <mergeCell ref="A102:A104"/>
    <mergeCell ref="A105:A107"/>
    <mergeCell ref="A113:A115"/>
    <mergeCell ref="L102:L104"/>
    <mergeCell ref="M102:M104"/>
    <mergeCell ref="N102:N104"/>
    <mergeCell ref="N40:N41"/>
    <mergeCell ref="O40:O41"/>
    <mergeCell ref="A116:J116"/>
    <mergeCell ref="A151:J151"/>
    <mergeCell ref="A187:O187"/>
    <mergeCell ref="A188:O188"/>
    <mergeCell ref="A189:O189"/>
    <mergeCell ref="A144:J144"/>
    <mergeCell ref="B108:J112"/>
    <mergeCell ref="B113:J115"/>
    <mergeCell ref="B117:J118"/>
    <mergeCell ref="B119:J121"/>
    <mergeCell ref="B122:J123"/>
    <mergeCell ref="B124:J125"/>
    <mergeCell ref="B126:J128"/>
    <mergeCell ref="B131:J134"/>
    <mergeCell ref="B135:J138"/>
    <mergeCell ref="A129:O129"/>
    <mergeCell ref="A108:A112"/>
    <mergeCell ref="K108:K112"/>
    <mergeCell ref="L108:L112"/>
    <mergeCell ref="M108:M112"/>
    <mergeCell ref="N108:N112"/>
    <mergeCell ref="O108:O112"/>
  </mergeCells>
  <phoneticPr fontId="8" type="noConversion"/>
  <dataValidations disablePrompts="1" count="6">
    <dataValidation type="whole" allowBlank="1" showInputMessage="1" showErrorMessage="1" sqref="N158:N161 N26:N27 N4:N7 N131:N134">
      <formula1>5</formula1>
      <formula2>5</formula2>
    </dataValidation>
    <dataValidation type="list" allowBlank="1" showInputMessage="1" showErrorMessage="1" sqref="L158:M161 L152:N155 L102:N115 L38:N40 L42:N46 L8:M15 L32:N36 N13:N15 L52:M55 L68:M75 N54:N55 L78:M81 L119:N123 L126:N128 L131:M134 M145:M149 L145 L149">
      <formula1>"10, -----"</formula1>
    </dataValidation>
    <dataValidation type="list" allowBlank="1" showInputMessage="1" showErrorMessage="1" sqref="D202 H202">
      <formula1>"✓, -----"</formula1>
    </dataValidation>
    <dataValidation type="whole" allowBlank="1" showInputMessage="1" showErrorMessage="1" sqref="N145 N149">
      <formula1>10</formula1>
      <formula2>10</formula2>
    </dataValidation>
    <dataValidation type="list" allowBlank="1" showInputMessage="1" showErrorMessage="1" sqref="L16:N23 L30:N31 N28:N29 L26:M29 L56:M59 L60:N63 N65 L64:M67 L82:M86 N82:N83 L94:N96 L124:N125 L135:N142">
      <formula1>"5, -----"</formula1>
    </dataValidation>
    <dataValidation type="list" allowBlank="1" showInputMessage="1" showErrorMessage="1" sqref="L117:N118 L4:M7 L47:M51 L97:N101">
      <formula1>"15, -----"</formula1>
    </dataValidation>
  </dataValidations>
  <pageMargins left="0.75" right="0.75" top="1" bottom="1" header="0" footer="0"/>
  <pageSetup firstPageNumber="7" orientation="portrait" r:id="rId1"/>
  <headerFooter>
    <oddFooter xml:space="preserve">&amp;LFor Official Government Use Only
USDA, AMS, FVP, Fresh Products Branch
&amp;RJanuary 26, 2012
Page &amp;P
</oddFooter>
  </headerFooter>
  <rowBreaks count="4" manualBreakCount="4">
    <brk id="36" max="16383" man="1"/>
    <brk id="75" max="16383" man="1"/>
    <brk id="115" max="16383" man="1"/>
    <brk id="150" max="16383" man="1"/>
  </rowBreaks>
  <ignoredErrors>
    <ignoredError sqref="A135 A131 A126 A124 A122 A119 A117 A113 A108 A105 A102 A100 A97 A158 A152 A145 A139"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1"/>
  </sheetPr>
  <dimension ref="A1:T569"/>
  <sheetViews>
    <sheetView view="pageLayout" topLeftCell="A10" zoomScaleNormal="80" workbookViewId="0">
      <selection activeCell="B32" sqref="B32:J34"/>
    </sheetView>
  </sheetViews>
  <sheetFormatPr defaultColWidth="9.109375" defaultRowHeight="13.2" x14ac:dyDescent="0.25"/>
  <cols>
    <col min="1" max="1" width="5.44140625" style="72" customWidth="1"/>
    <col min="2" max="2" width="6.109375" style="72" customWidth="1"/>
    <col min="3" max="3" width="4.5546875" style="72" customWidth="1"/>
    <col min="4" max="4" width="2.6640625" style="72" customWidth="1"/>
    <col min="5" max="5" width="4.88671875" style="72" customWidth="1"/>
    <col min="6" max="6" width="2.6640625" style="72" customWidth="1"/>
    <col min="7" max="7" width="5.33203125" style="72" customWidth="1"/>
    <col min="8" max="8" width="2.6640625" style="72" customWidth="1"/>
    <col min="9" max="9" width="2.109375" style="72" customWidth="1"/>
    <col min="10" max="10" width="5.88671875" style="72" customWidth="1"/>
    <col min="11" max="11" width="6.33203125" style="72" customWidth="1"/>
    <col min="12" max="12" width="11.5546875" style="72" customWidth="1"/>
    <col min="13" max="13" width="12.44140625" style="72" customWidth="1"/>
    <col min="14" max="14" width="5.33203125" style="72" customWidth="1"/>
    <col min="15" max="15" width="5.5546875" style="72" customWidth="1"/>
    <col min="16" max="16384" width="9.109375" style="72"/>
  </cols>
  <sheetData>
    <row r="1" spans="1:16" s="73" customFormat="1" ht="30" customHeight="1" x14ac:dyDescent="0.25">
      <c r="A1" s="472" t="s">
        <v>1</v>
      </c>
      <c r="B1" s="473"/>
      <c r="C1" s="473"/>
      <c r="D1" s="473"/>
      <c r="E1" s="473"/>
      <c r="F1" s="473"/>
      <c r="G1" s="473"/>
      <c r="H1" s="473"/>
      <c r="I1" s="473"/>
      <c r="J1" s="473"/>
      <c r="K1" s="473"/>
      <c r="L1" s="473"/>
      <c r="M1" s="473"/>
      <c r="N1" s="473"/>
      <c r="O1" s="473"/>
    </row>
    <row r="2" spans="1:16" s="73" customFormat="1" ht="15" customHeight="1" x14ac:dyDescent="0.25">
      <c r="A2" s="474" t="s">
        <v>253</v>
      </c>
      <c r="B2" s="474"/>
      <c r="C2" s="474"/>
      <c r="D2" s="474"/>
      <c r="E2" s="474"/>
      <c r="F2" s="474"/>
      <c r="G2" s="474"/>
      <c r="H2" s="474"/>
      <c r="I2" s="474"/>
      <c r="J2" s="474"/>
      <c r="K2" s="474"/>
      <c r="L2" s="474"/>
      <c r="M2" s="474"/>
      <c r="N2" s="474"/>
      <c r="O2" s="474"/>
    </row>
    <row r="3" spans="1:16" s="89" customFormat="1" ht="15" customHeight="1" x14ac:dyDescent="0.25">
      <c r="A3" s="474" t="s">
        <v>254</v>
      </c>
      <c r="B3" s="474"/>
      <c r="C3" s="474"/>
      <c r="D3" s="474"/>
      <c r="E3" s="474"/>
      <c r="F3" s="474"/>
      <c r="G3" s="474"/>
      <c r="H3" s="474"/>
      <c r="I3" s="474"/>
      <c r="J3" s="474"/>
      <c r="K3" s="474"/>
      <c r="L3" s="474"/>
      <c r="M3" s="474"/>
      <c r="N3" s="474"/>
      <c r="O3" s="474"/>
    </row>
    <row r="4" spans="1:16" s="73" customFormat="1" ht="30" customHeight="1" x14ac:dyDescent="0.25">
      <c r="A4" s="468" t="s">
        <v>124</v>
      </c>
      <c r="B4" s="468"/>
      <c r="C4" s="468"/>
      <c r="D4" s="468"/>
      <c r="E4" s="468"/>
      <c r="F4" s="468"/>
      <c r="G4" s="468"/>
      <c r="H4" s="468"/>
      <c r="I4" s="468"/>
      <c r="J4" s="468"/>
      <c r="K4" s="468"/>
      <c r="L4" s="468"/>
      <c r="M4" s="468"/>
      <c r="N4" s="468"/>
      <c r="O4" s="468"/>
    </row>
    <row r="5" spans="1:16" s="83" customFormat="1" ht="27.6" x14ac:dyDescent="0.25">
      <c r="A5" s="251" t="s">
        <v>54</v>
      </c>
      <c r="B5" s="252"/>
      <c r="C5" s="252"/>
      <c r="D5" s="252"/>
      <c r="E5" s="252"/>
      <c r="F5" s="252"/>
      <c r="G5" s="252"/>
      <c r="H5" s="252"/>
      <c r="I5" s="252"/>
      <c r="J5" s="253"/>
      <c r="K5" s="94" t="s">
        <v>53</v>
      </c>
      <c r="L5" s="92" t="s">
        <v>342</v>
      </c>
      <c r="M5" s="93" t="s">
        <v>341</v>
      </c>
      <c r="N5" s="92" t="s">
        <v>51</v>
      </c>
      <c r="O5" s="92" t="s">
        <v>50</v>
      </c>
      <c r="P5" s="84"/>
    </row>
    <row r="6" spans="1:16" s="83" customFormat="1" ht="15" customHeight="1" x14ac:dyDescent="0.25">
      <c r="A6" s="437" t="s">
        <v>125</v>
      </c>
      <c r="B6" s="292" t="s">
        <v>362</v>
      </c>
      <c r="C6" s="293"/>
      <c r="D6" s="293"/>
      <c r="E6" s="293"/>
      <c r="F6" s="293"/>
      <c r="G6" s="293"/>
      <c r="H6" s="293"/>
      <c r="I6" s="293"/>
      <c r="J6" s="294"/>
      <c r="K6" s="220">
        <v>5</v>
      </c>
      <c r="L6" s="228"/>
      <c r="M6" s="228"/>
      <c r="N6" s="226"/>
      <c r="O6" s="220" t="s">
        <v>58</v>
      </c>
    </row>
    <row r="7" spans="1:16" s="83" customFormat="1" ht="15" customHeight="1" x14ac:dyDescent="0.25">
      <c r="A7" s="441"/>
      <c r="B7" s="295"/>
      <c r="C7" s="296"/>
      <c r="D7" s="296"/>
      <c r="E7" s="296"/>
      <c r="F7" s="296"/>
      <c r="G7" s="296"/>
      <c r="H7" s="296"/>
      <c r="I7" s="296"/>
      <c r="J7" s="297"/>
      <c r="K7" s="221"/>
      <c r="L7" s="230"/>
      <c r="M7" s="230"/>
      <c r="N7" s="235"/>
      <c r="O7" s="221"/>
    </row>
    <row r="8" spans="1:16" s="83" customFormat="1" ht="15" customHeight="1" x14ac:dyDescent="0.25">
      <c r="A8" s="441"/>
      <c r="B8" s="295"/>
      <c r="C8" s="296"/>
      <c r="D8" s="296"/>
      <c r="E8" s="296"/>
      <c r="F8" s="296"/>
      <c r="G8" s="296"/>
      <c r="H8" s="296"/>
      <c r="I8" s="296"/>
      <c r="J8" s="297"/>
      <c r="K8" s="221"/>
      <c r="L8" s="230"/>
      <c r="M8" s="230"/>
      <c r="N8" s="235"/>
      <c r="O8" s="221"/>
    </row>
    <row r="9" spans="1:16" s="83" customFormat="1" ht="15" customHeight="1" x14ac:dyDescent="0.25">
      <c r="A9" s="441"/>
      <c r="B9" s="295"/>
      <c r="C9" s="296"/>
      <c r="D9" s="296"/>
      <c r="E9" s="296"/>
      <c r="F9" s="296"/>
      <c r="G9" s="296"/>
      <c r="H9" s="296"/>
      <c r="I9" s="296"/>
      <c r="J9" s="297"/>
      <c r="K9" s="221"/>
      <c r="L9" s="230"/>
      <c r="M9" s="230"/>
      <c r="N9" s="235"/>
      <c r="O9" s="221"/>
    </row>
    <row r="10" spans="1:16" s="83" customFormat="1" ht="15.75" customHeight="1" thickBot="1" x14ac:dyDescent="0.3">
      <c r="A10" s="324"/>
      <c r="B10" s="88" t="s">
        <v>137</v>
      </c>
      <c r="C10" s="492"/>
      <c r="D10" s="492"/>
      <c r="E10" s="492"/>
      <c r="F10" s="492"/>
      <c r="G10" s="492"/>
      <c r="H10" s="492"/>
      <c r="I10" s="492"/>
      <c r="J10" s="493"/>
      <c r="K10" s="221"/>
      <c r="L10" s="230"/>
      <c r="M10" s="230"/>
      <c r="N10" s="235"/>
      <c r="O10" s="221"/>
    </row>
    <row r="11" spans="1:16" s="83" customFormat="1" ht="6" customHeight="1" x14ac:dyDescent="0.25">
      <c r="A11" s="262"/>
      <c r="B11" s="475"/>
      <c r="C11" s="476"/>
      <c r="D11" s="476"/>
      <c r="E11" s="476"/>
      <c r="F11" s="476"/>
      <c r="G11" s="476"/>
      <c r="H11" s="476"/>
      <c r="I11" s="476"/>
      <c r="J11" s="477"/>
      <c r="K11" s="453"/>
      <c r="L11" s="442"/>
      <c r="M11" s="442"/>
      <c r="N11" s="491"/>
      <c r="O11" s="453"/>
    </row>
    <row r="12" spans="1:16" s="83" customFormat="1" ht="15" customHeight="1" x14ac:dyDescent="0.25">
      <c r="A12" s="441" t="s">
        <v>126</v>
      </c>
      <c r="B12" s="454" t="s">
        <v>361</v>
      </c>
      <c r="C12" s="455"/>
      <c r="D12" s="455"/>
      <c r="E12" s="455"/>
      <c r="F12" s="455"/>
      <c r="G12" s="455"/>
      <c r="H12" s="455"/>
      <c r="I12" s="455"/>
      <c r="J12" s="456"/>
      <c r="K12" s="220">
        <v>5</v>
      </c>
      <c r="L12" s="228"/>
      <c r="M12" s="228"/>
      <c r="N12" s="226"/>
      <c r="O12" s="220" t="s">
        <v>58</v>
      </c>
    </row>
    <row r="13" spans="1:16" s="83" customFormat="1" ht="15" customHeight="1" x14ac:dyDescent="0.25">
      <c r="A13" s="262"/>
      <c r="B13" s="460"/>
      <c r="C13" s="461"/>
      <c r="D13" s="461"/>
      <c r="E13" s="461"/>
      <c r="F13" s="461"/>
      <c r="G13" s="461"/>
      <c r="H13" s="461"/>
      <c r="I13" s="461"/>
      <c r="J13" s="462"/>
      <c r="K13" s="222"/>
      <c r="L13" s="229"/>
      <c r="M13" s="229"/>
      <c r="N13" s="227"/>
      <c r="O13" s="222"/>
    </row>
    <row r="14" spans="1:16" s="83" customFormat="1" ht="15" customHeight="1" x14ac:dyDescent="0.25">
      <c r="A14" s="469" t="s">
        <v>127</v>
      </c>
      <c r="B14" s="292" t="s">
        <v>317</v>
      </c>
      <c r="C14" s="293"/>
      <c r="D14" s="293"/>
      <c r="E14" s="293"/>
      <c r="F14" s="293"/>
      <c r="G14" s="293"/>
      <c r="H14" s="293"/>
      <c r="I14" s="293"/>
      <c r="J14" s="294"/>
      <c r="K14" s="319">
        <v>5</v>
      </c>
      <c r="L14" s="228"/>
      <c r="M14" s="228"/>
      <c r="N14" s="228"/>
      <c r="O14" s="228"/>
    </row>
    <row r="15" spans="1:16" s="83" customFormat="1" ht="15" customHeight="1" x14ac:dyDescent="0.25">
      <c r="A15" s="470"/>
      <c r="B15" s="295"/>
      <c r="C15" s="296"/>
      <c r="D15" s="296"/>
      <c r="E15" s="296"/>
      <c r="F15" s="296"/>
      <c r="G15" s="296"/>
      <c r="H15" s="296"/>
      <c r="I15" s="296"/>
      <c r="J15" s="297"/>
      <c r="K15" s="482"/>
      <c r="L15" s="230"/>
      <c r="M15" s="230"/>
      <c r="N15" s="230"/>
      <c r="O15" s="230"/>
    </row>
    <row r="16" spans="1:16" s="83" customFormat="1" ht="15" customHeight="1" x14ac:dyDescent="0.25">
      <c r="A16" s="470"/>
      <c r="B16" s="295"/>
      <c r="C16" s="296"/>
      <c r="D16" s="296"/>
      <c r="E16" s="296"/>
      <c r="F16" s="296"/>
      <c r="G16" s="296"/>
      <c r="H16" s="296"/>
      <c r="I16" s="296"/>
      <c r="J16" s="297"/>
      <c r="K16" s="482"/>
      <c r="L16" s="230"/>
      <c r="M16" s="230"/>
      <c r="N16" s="230"/>
      <c r="O16" s="230"/>
    </row>
    <row r="17" spans="1:15" s="83" customFormat="1" ht="15" customHeight="1" x14ac:dyDescent="0.25">
      <c r="A17" s="470"/>
      <c r="B17" s="478" t="s">
        <v>232</v>
      </c>
      <c r="C17" s="479"/>
      <c r="D17" s="479"/>
      <c r="E17" s="479"/>
      <c r="F17" s="480"/>
      <c r="G17" s="480"/>
      <c r="H17" s="480"/>
      <c r="I17" s="480"/>
      <c r="J17" s="481"/>
      <c r="K17" s="482"/>
      <c r="L17" s="230"/>
      <c r="M17" s="230"/>
      <c r="N17" s="230"/>
      <c r="O17" s="230"/>
    </row>
    <row r="18" spans="1:15" s="83" customFormat="1" ht="15" customHeight="1" thickBot="1" x14ac:dyDescent="0.3">
      <c r="A18" s="470"/>
      <c r="B18" s="487"/>
      <c r="C18" s="488"/>
      <c r="D18" s="488"/>
      <c r="E18" s="488"/>
      <c r="F18" s="489"/>
      <c r="G18" s="489"/>
      <c r="H18" s="489"/>
      <c r="I18" s="489"/>
      <c r="J18" s="490"/>
      <c r="K18" s="482"/>
      <c r="L18" s="230"/>
      <c r="M18" s="230"/>
      <c r="N18" s="230"/>
      <c r="O18" s="230"/>
    </row>
    <row r="19" spans="1:15" s="83" customFormat="1" ht="6" customHeight="1" x14ac:dyDescent="0.25">
      <c r="A19" s="471"/>
      <c r="B19" s="483"/>
      <c r="C19" s="484"/>
      <c r="D19" s="484"/>
      <c r="E19" s="484"/>
      <c r="F19" s="485"/>
      <c r="G19" s="485"/>
      <c r="H19" s="485"/>
      <c r="I19" s="485"/>
      <c r="J19" s="486"/>
      <c r="K19" s="320"/>
      <c r="L19" s="229"/>
      <c r="M19" s="229"/>
      <c r="N19" s="229"/>
      <c r="O19" s="229"/>
    </row>
    <row r="20" spans="1:15" s="83" customFormat="1" ht="15" customHeight="1" x14ac:dyDescent="0.25">
      <c r="A20" s="437" t="s">
        <v>128</v>
      </c>
      <c r="B20" s="292" t="s">
        <v>318</v>
      </c>
      <c r="C20" s="293"/>
      <c r="D20" s="293"/>
      <c r="E20" s="293"/>
      <c r="F20" s="293"/>
      <c r="G20" s="293"/>
      <c r="H20" s="293"/>
      <c r="I20" s="293"/>
      <c r="J20" s="294"/>
      <c r="K20" s="220">
        <v>5</v>
      </c>
      <c r="L20" s="228"/>
      <c r="M20" s="228"/>
      <c r="N20" s="228"/>
      <c r="O20" s="220" t="s">
        <v>58</v>
      </c>
    </row>
    <row r="21" spans="1:15" s="83" customFormat="1" ht="15" customHeight="1" x14ac:dyDescent="0.25">
      <c r="A21" s="441"/>
      <c r="B21" s="295"/>
      <c r="C21" s="296"/>
      <c r="D21" s="296"/>
      <c r="E21" s="296"/>
      <c r="F21" s="296"/>
      <c r="G21" s="296"/>
      <c r="H21" s="296"/>
      <c r="I21" s="296"/>
      <c r="J21" s="297"/>
      <c r="K21" s="221"/>
      <c r="L21" s="230"/>
      <c r="M21" s="230"/>
      <c r="N21" s="230"/>
      <c r="O21" s="221"/>
    </row>
    <row r="22" spans="1:15" s="83" customFormat="1" ht="15" customHeight="1" x14ac:dyDescent="0.25">
      <c r="A22" s="262"/>
      <c r="B22" s="298"/>
      <c r="C22" s="299"/>
      <c r="D22" s="299"/>
      <c r="E22" s="299"/>
      <c r="F22" s="299"/>
      <c r="G22" s="299"/>
      <c r="H22" s="299"/>
      <c r="I22" s="299"/>
      <c r="J22" s="300"/>
      <c r="K22" s="222"/>
      <c r="L22" s="229"/>
      <c r="M22" s="229"/>
      <c r="N22" s="229"/>
      <c r="O22" s="222"/>
    </row>
    <row r="23" spans="1:15" s="83" customFormat="1" ht="15" customHeight="1" x14ac:dyDescent="0.25">
      <c r="A23" s="437" t="s">
        <v>129</v>
      </c>
      <c r="B23" s="292" t="s">
        <v>319</v>
      </c>
      <c r="C23" s="293"/>
      <c r="D23" s="293"/>
      <c r="E23" s="293"/>
      <c r="F23" s="293"/>
      <c r="G23" s="293"/>
      <c r="H23" s="293"/>
      <c r="I23" s="293"/>
      <c r="J23" s="294"/>
      <c r="K23" s="220">
        <v>5</v>
      </c>
      <c r="L23" s="228"/>
      <c r="M23" s="228"/>
      <c r="N23" s="228"/>
      <c r="O23" s="220" t="s">
        <v>58</v>
      </c>
    </row>
    <row r="24" spans="1:15" s="83" customFormat="1" ht="15" customHeight="1" x14ac:dyDescent="0.25">
      <c r="A24" s="441"/>
      <c r="B24" s="295"/>
      <c r="C24" s="296"/>
      <c r="D24" s="296"/>
      <c r="E24" s="296"/>
      <c r="F24" s="296"/>
      <c r="G24" s="296"/>
      <c r="H24" s="296"/>
      <c r="I24" s="296"/>
      <c r="J24" s="297"/>
      <c r="K24" s="221"/>
      <c r="L24" s="230"/>
      <c r="M24" s="230"/>
      <c r="N24" s="230"/>
      <c r="O24" s="221"/>
    </row>
    <row r="25" spans="1:15" s="83" customFormat="1" ht="15" customHeight="1" x14ac:dyDescent="0.25">
      <c r="A25" s="262"/>
      <c r="B25" s="298"/>
      <c r="C25" s="299"/>
      <c r="D25" s="299"/>
      <c r="E25" s="299"/>
      <c r="F25" s="299"/>
      <c r="G25" s="299"/>
      <c r="H25" s="299"/>
      <c r="I25" s="299"/>
      <c r="J25" s="300"/>
      <c r="K25" s="222"/>
      <c r="L25" s="229"/>
      <c r="M25" s="229"/>
      <c r="N25" s="229"/>
      <c r="O25" s="222"/>
    </row>
    <row r="26" spans="1:15" s="83" customFormat="1" ht="15" customHeight="1" x14ac:dyDescent="0.25">
      <c r="A26" s="437" t="s">
        <v>130</v>
      </c>
      <c r="B26" s="292" t="s">
        <v>320</v>
      </c>
      <c r="C26" s="293"/>
      <c r="D26" s="293"/>
      <c r="E26" s="293"/>
      <c r="F26" s="293"/>
      <c r="G26" s="293"/>
      <c r="H26" s="293"/>
      <c r="I26" s="293"/>
      <c r="J26" s="294"/>
      <c r="K26" s="220">
        <v>5</v>
      </c>
      <c r="L26" s="228"/>
      <c r="M26" s="228"/>
      <c r="N26" s="228"/>
      <c r="O26" s="220" t="s">
        <v>58</v>
      </c>
    </row>
    <row r="27" spans="1:15" s="83" customFormat="1" ht="15" customHeight="1" x14ac:dyDescent="0.25">
      <c r="A27" s="441"/>
      <c r="B27" s="295"/>
      <c r="C27" s="296"/>
      <c r="D27" s="296"/>
      <c r="E27" s="296"/>
      <c r="F27" s="296"/>
      <c r="G27" s="296"/>
      <c r="H27" s="296"/>
      <c r="I27" s="296"/>
      <c r="J27" s="297"/>
      <c r="K27" s="221"/>
      <c r="L27" s="230"/>
      <c r="M27" s="230"/>
      <c r="N27" s="230"/>
      <c r="O27" s="221"/>
    </row>
    <row r="28" spans="1:15" s="83" customFormat="1" ht="15" customHeight="1" x14ac:dyDescent="0.25">
      <c r="A28" s="262"/>
      <c r="B28" s="298"/>
      <c r="C28" s="299"/>
      <c r="D28" s="299"/>
      <c r="E28" s="299"/>
      <c r="F28" s="299"/>
      <c r="G28" s="299"/>
      <c r="H28" s="299"/>
      <c r="I28" s="299"/>
      <c r="J28" s="300"/>
      <c r="K28" s="222"/>
      <c r="L28" s="229"/>
      <c r="M28" s="229"/>
      <c r="N28" s="229"/>
      <c r="O28" s="222"/>
    </row>
    <row r="29" spans="1:15" s="83" customFormat="1" ht="14.4" customHeight="1" x14ac:dyDescent="0.25">
      <c r="A29" s="437" t="s">
        <v>131</v>
      </c>
      <c r="B29" s="292" t="s">
        <v>411</v>
      </c>
      <c r="C29" s="293"/>
      <c r="D29" s="293"/>
      <c r="E29" s="293"/>
      <c r="F29" s="293"/>
      <c r="G29" s="293"/>
      <c r="H29" s="293"/>
      <c r="I29" s="293"/>
      <c r="J29" s="294"/>
      <c r="K29" s="220">
        <v>5</v>
      </c>
      <c r="L29" s="228"/>
      <c r="M29" s="228"/>
      <c r="N29" s="228"/>
      <c r="O29" s="220" t="s">
        <v>58</v>
      </c>
    </row>
    <row r="30" spans="1:15" s="83" customFormat="1" ht="14.4" customHeight="1" x14ac:dyDescent="0.25">
      <c r="A30" s="441"/>
      <c r="B30" s="295"/>
      <c r="C30" s="296"/>
      <c r="D30" s="296"/>
      <c r="E30" s="296"/>
      <c r="F30" s="296"/>
      <c r="G30" s="296"/>
      <c r="H30" s="296"/>
      <c r="I30" s="296"/>
      <c r="J30" s="297"/>
      <c r="K30" s="466"/>
      <c r="L30" s="467"/>
      <c r="M30" s="467"/>
      <c r="N30" s="467"/>
      <c r="O30" s="466"/>
    </row>
    <row r="31" spans="1:15" s="83" customFormat="1" ht="14.4" customHeight="1" x14ac:dyDescent="0.25">
      <c r="A31" s="262"/>
      <c r="B31" s="298"/>
      <c r="C31" s="299"/>
      <c r="D31" s="299"/>
      <c r="E31" s="299"/>
      <c r="F31" s="299"/>
      <c r="G31" s="299"/>
      <c r="H31" s="299"/>
      <c r="I31" s="299"/>
      <c r="J31" s="300"/>
      <c r="K31" s="453"/>
      <c r="L31" s="442"/>
      <c r="M31" s="442"/>
      <c r="N31" s="442"/>
      <c r="O31" s="453"/>
    </row>
    <row r="32" spans="1:15" s="83" customFormat="1" ht="15" customHeight="1" x14ac:dyDescent="0.25">
      <c r="A32" s="437" t="s">
        <v>132</v>
      </c>
      <c r="B32" s="454" t="s">
        <v>352</v>
      </c>
      <c r="C32" s="455"/>
      <c r="D32" s="455"/>
      <c r="E32" s="455"/>
      <c r="F32" s="455"/>
      <c r="G32" s="455"/>
      <c r="H32" s="455"/>
      <c r="I32" s="455"/>
      <c r="J32" s="456"/>
      <c r="K32" s="220">
        <v>5</v>
      </c>
      <c r="L32" s="228"/>
      <c r="M32" s="228"/>
      <c r="N32" s="228"/>
      <c r="O32" s="228"/>
    </row>
    <row r="33" spans="1:16" s="83" customFormat="1" ht="15" customHeight="1" x14ac:dyDescent="0.25">
      <c r="A33" s="441"/>
      <c r="B33" s="457"/>
      <c r="C33" s="458"/>
      <c r="D33" s="458"/>
      <c r="E33" s="458"/>
      <c r="F33" s="458"/>
      <c r="G33" s="458"/>
      <c r="H33" s="458"/>
      <c r="I33" s="458"/>
      <c r="J33" s="459"/>
      <c r="K33" s="221"/>
      <c r="L33" s="230"/>
      <c r="M33" s="230"/>
      <c r="N33" s="230"/>
      <c r="O33" s="230"/>
    </row>
    <row r="34" spans="1:16" s="83" customFormat="1" ht="15" customHeight="1" x14ac:dyDescent="0.25">
      <c r="A34" s="441"/>
      <c r="B34" s="457"/>
      <c r="C34" s="458"/>
      <c r="D34" s="458"/>
      <c r="E34" s="458"/>
      <c r="F34" s="458"/>
      <c r="G34" s="458"/>
      <c r="H34" s="458"/>
      <c r="I34" s="458"/>
      <c r="J34" s="459"/>
      <c r="K34" s="466"/>
      <c r="L34" s="467"/>
      <c r="M34" s="467"/>
      <c r="N34" s="467"/>
      <c r="O34" s="467"/>
    </row>
    <row r="35" spans="1:16" s="83" customFormat="1" ht="15" customHeight="1" x14ac:dyDescent="0.25">
      <c r="A35" s="437" t="s">
        <v>133</v>
      </c>
      <c r="B35" s="292" t="s">
        <v>321</v>
      </c>
      <c r="C35" s="293"/>
      <c r="D35" s="293"/>
      <c r="E35" s="293"/>
      <c r="F35" s="293"/>
      <c r="G35" s="293"/>
      <c r="H35" s="293"/>
      <c r="I35" s="293"/>
      <c r="J35" s="294"/>
      <c r="K35" s="220">
        <v>5</v>
      </c>
      <c r="L35" s="228"/>
      <c r="M35" s="228"/>
      <c r="N35" s="228"/>
      <c r="O35" s="220" t="s">
        <v>58</v>
      </c>
    </row>
    <row r="36" spans="1:16" s="83" customFormat="1" ht="15" customHeight="1" x14ac:dyDescent="0.25">
      <c r="A36" s="441"/>
      <c r="B36" s="295"/>
      <c r="C36" s="296"/>
      <c r="D36" s="296"/>
      <c r="E36" s="296"/>
      <c r="F36" s="296"/>
      <c r="G36" s="296"/>
      <c r="H36" s="296"/>
      <c r="I36" s="296"/>
      <c r="J36" s="297"/>
      <c r="K36" s="221"/>
      <c r="L36" s="230"/>
      <c r="M36" s="230"/>
      <c r="N36" s="230"/>
      <c r="O36" s="221"/>
    </row>
    <row r="37" spans="1:16" s="83" customFormat="1" ht="15" customHeight="1" x14ac:dyDescent="0.25">
      <c r="A37" s="262"/>
      <c r="B37" s="298"/>
      <c r="C37" s="299"/>
      <c r="D37" s="299"/>
      <c r="E37" s="299"/>
      <c r="F37" s="299"/>
      <c r="G37" s="299"/>
      <c r="H37" s="299"/>
      <c r="I37" s="299"/>
      <c r="J37" s="300"/>
      <c r="K37" s="453"/>
      <c r="L37" s="442"/>
      <c r="M37" s="442"/>
      <c r="N37" s="442"/>
      <c r="O37" s="453"/>
    </row>
    <row r="38" spans="1:16" s="83" customFormat="1" ht="27.6" x14ac:dyDescent="0.25">
      <c r="A38" s="251" t="s">
        <v>54</v>
      </c>
      <c r="B38" s="252"/>
      <c r="C38" s="252"/>
      <c r="D38" s="252"/>
      <c r="E38" s="252"/>
      <c r="F38" s="252"/>
      <c r="G38" s="252"/>
      <c r="H38" s="252"/>
      <c r="I38" s="252"/>
      <c r="J38" s="253"/>
      <c r="K38" s="94" t="s">
        <v>53</v>
      </c>
      <c r="L38" s="92" t="s">
        <v>342</v>
      </c>
      <c r="M38" s="93" t="s">
        <v>341</v>
      </c>
      <c r="N38" s="92" t="s">
        <v>51</v>
      </c>
      <c r="O38" s="92" t="s">
        <v>50</v>
      </c>
      <c r="P38" s="84"/>
    </row>
    <row r="39" spans="1:16" s="83" customFormat="1" ht="15" customHeight="1" x14ac:dyDescent="0.25">
      <c r="A39" s="469" t="s">
        <v>134</v>
      </c>
      <c r="B39" s="292" t="s">
        <v>379</v>
      </c>
      <c r="C39" s="293"/>
      <c r="D39" s="293"/>
      <c r="E39" s="293"/>
      <c r="F39" s="293"/>
      <c r="G39" s="293"/>
      <c r="H39" s="293"/>
      <c r="I39" s="293"/>
      <c r="J39" s="294"/>
      <c r="K39" s="319">
        <v>5</v>
      </c>
      <c r="L39" s="228"/>
      <c r="M39" s="228"/>
      <c r="N39" s="228"/>
      <c r="O39" s="220" t="s">
        <v>58</v>
      </c>
    </row>
    <row r="40" spans="1:16" s="83" customFormat="1" ht="15" customHeight="1" x14ac:dyDescent="0.25">
      <c r="A40" s="470"/>
      <c r="B40" s="295"/>
      <c r="C40" s="296"/>
      <c r="D40" s="296"/>
      <c r="E40" s="296"/>
      <c r="F40" s="296"/>
      <c r="G40" s="296"/>
      <c r="H40" s="296"/>
      <c r="I40" s="296"/>
      <c r="J40" s="297"/>
      <c r="K40" s="482"/>
      <c r="L40" s="230"/>
      <c r="M40" s="230"/>
      <c r="N40" s="230"/>
      <c r="O40" s="221"/>
    </row>
    <row r="41" spans="1:16" s="83" customFormat="1" ht="15" customHeight="1" x14ac:dyDescent="0.25">
      <c r="A41" s="494"/>
      <c r="B41" s="298"/>
      <c r="C41" s="299"/>
      <c r="D41" s="299"/>
      <c r="E41" s="299"/>
      <c r="F41" s="299"/>
      <c r="G41" s="299"/>
      <c r="H41" s="299"/>
      <c r="I41" s="299"/>
      <c r="J41" s="300"/>
      <c r="K41" s="320"/>
      <c r="L41" s="229"/>
      <c r="M41" s="229"/>
      <c r="N41" s="229"/>
      <c r="O41" s="222"/>
    </row>
    <row r="42" spans="1:16" s="83" customFormat="1" ht="15" customHeight="1" x14ac:dyDescent="0.25">
      <c r="A42" s="437" t="s">
        <v>135</v>
      </c>
      <c r="B42" s="292" t="s">
        <v>359</v>
      </c>
      <c r="C42" s="293"/>
      <c r="D42" s="293"/>
      <c r="E42" s="293"/>
      <c r="F42" s="293"/>
      <c r="G42" s="293"/>
      <c r="H42" s="293"/>
      <c r="I42" s="293"/>
      <c r="J42" s="294"/>
      <c r="K42" s="220">
        <v>5</v>
      </c>
      <c r="L42" s="228"/>
      <c r="M42" s="228"/>
      <c r="N42" s="228"/>
      <c r="O42" s="220" t="s">
        <v>58</v>
      </c>
    </row>
    <row r="43" spans="1:16" s="83" customFormat="1" ht="15" customHeight="1" x14ac:dyDescent="0.25">
      <c r="A43" s="441"/>
      <c r="B43" s="295"/>
      <c r="C43" s="296"/>
      <c r="D43" s="296"/>
      <c r="E43" s="296"/>
      <c r="F43" s="296"/>
      <c r="G43" s="296"/>
      <c r="H43" s="296"/>
      <c r="I43" s="296"/>
      <c r="J43" s="297"/>
      <c r="K43" s="466"/>
      <c r="L43" s="467"/>
      <c r="M43" s="467"/>
      <c r="N43" s="467"/>
      <c r="O43" s="466"/>
    </row>
    <row r="44" spans="1:16" s="83" customFormat="1" ht="15" customHeight="1" x14ac:dyDescent="0.25">
      <c r="A44" s="441"/>
      <c r="B44" s="295"/>
      <c r="C44" s="296"/>
      <c r="D44" s="296"/>
      <c r="E44" s="296"/>
      <c r="F44" s="296"/>
      <c r="G44" s="296"/>
      <c r="H44" s="296"/>
      <c r="I44" s="296"/>
      <c r="J44" s="297"/>
      <c r="K44" s="466"/>
      <c r="L44" s="467"/>
      <c r="M44" s="467"/>
      <c r="N44" s="467"/>
      <c r="O44" s="466"/>
    </row>
    <row r="45" spans="1:16" s="83" customFormat="1" ht="15" customHeight="1" x14ac:dyDescent="0.25">
      <c r="A45" s="262"/>
      <c r="B45" s="298"/>
      <c r="C45" s="299"/>
      <c r="D45" s="299"/>
      <c r="E45" s="299"/>
      <c r="F45" s="299"/>
      <c r="G45" s="299"/>
      <c r="H45" s="299"/>
      <c r="I45" s="299"/>
      <c r="J45" s="300"/>
      <c r="K45" s="453"/>
      <c r="L45" s="442"/>
      <c r="M45" s="442"/>
      <c r="N45" s="442"/>
      <c r="O45" s="453"/>
    </row>
    <row r="46" spans="1:16" s="83" customFormat="1" ht="15" customHeight="1" x14ac:dyDescent="0.25">
      <c r="A46" s="437" t="s">
        <v>136</v>
      </c>
      <c r="B46" s="292" t="s">
        <v>322</v>
      </c>
      <c r="C46" s="293"/>
      <c r="D46" s="293"/>
      <c r="E46" s="293"/>
      <c r="F46" s="293"/>
      <c r="G46" s="293"/>
      <c r="H46" s="293"/>
      <c r="I46" s="293"/>
      <c r="J46" s="294"/>
      <c r="K46" s="220">
        <v>5</v>
      </c>
      <c r="L46" s="228"/>
      <c r="M46" s="228"/>
      <c r="N46" s="228"/>
      <c r="O46" s="228"/>
    </row>
    <row r="47" spans="1:16" s="83" customFormat="1" ht="15" customHeight="1" x14ac:dyDescent="0.25">
      <c r="A47" s="441"/>
      <c r="B47" s="295"/>
      <c r="C47" s="296"/>
      <c r="D47" s="296"/>
      <c r="E47" s="296"/>
      <c r="F47" s="296"/>
      <c r="G47" s="296"/>
      <c r="H47" s="296"/>
      <c r="I47" s="296"/>
      <c r="J47" s="297"/>
      <c r="K47" s="466"/>
      <c r="L47" s="467"/>
      <c r="M47" s="467"/>
      <c r="N47" s="467"/>
      <c r="O47" s="467"/>
    </row>
    <row r="48" spans="1:16" s="83" customFormat="1" ht="15" customHeight="1" x14ac:dyDescent="0.25">
      <c r="A48" s="262"/>
      <c r="B48" s="298"/>
      <c r="C48" s="299"/>
      <c r="D48" s="299"/>
      <c r="E48" s="299"/>
      <c r="F48" s="299"/>
      <c r="G48" s="299"/>
      <c r="H48" s="299"/>
      <c r="I48" s="299"/>
      <c r="J48" s="300"/>
      <c r="K48" s="453"/>
      <c r="L48" s="442"/>
      <c r="M48" s="442"/>
      <c r="N48" s="442"/>
      <c r="O48" s="442"/>
    </row>
    <row r="49" spans="1:16" s="73" customFormat="1" ht="30" customHeight="1" x14ac:dyDescent="0.25">
      <c r="A49" s="468" t="s">
        <v>169</v>
      </c>
      <c r="B49" s="468"/>
      <c r="C49" s="468"/>
      <c r="D49" s="468"/>
      <c r="E49" s="468"/>
      <c r="F49" s="468"/>
      <c r="G49" s="468"/>
      <c r="H49" s="468"/>
      <c r="I49" s="468"/>
      <c r="J49" s="468"/>
      <c r="K49" s="468"/>
      <c r="L49" s="468"/>
      <c r="M49" s="468"/>
      <c r="N49" s="468"/>
      <c r="O49" s="468"/>
    </row>
    <row r="50" spans="1:16" s="83" customFormat="1" ht="27.6" x14ac:dyDescent="0.25">
      <c r="A50" s="251" t="s">
        <v>54</v>
      </c>
      <c r="B50" s="252"/>
      <c r="C50" s="252"/>
      <c r="D50" s="252"/>
      <c r="E50" s="252"/>
      <c r="F50" s="252"/>
      <c r="G50" s="252"/>
      <c r="H50" s="252"/>
      <c r="I50" s="252"/>
      <c r="J50" s="253"/>
      <c r="K50" s="94" t="s">
        <v>53</v>
      </c>
      <c r="L50" s="92" t="s">
        <v>342</v>
      </c>
      <c r="M50" s="93" t="s">
        <v>341</v>
      </c>
      <c r="N50" s="92" t="s">
        <v>51</v>
      </c>
      <c r="O50" s="92" t="s">
        <v>50</v>
      </c>
      <c r="P50" s="84"/>
    </row>
    <row r="51" spans="1:16" s="83" customFormat="1" ht="15" customHeight="1" x14ac:dyDescent="0.25">
      <c r="A51" s="437" t="s">
        <v>170</v>
      </c>
      <c r="B51" s="454" t="s">
        <v>353</v>
      </c>
      <c r="C51" s="455"/>
      <c r="D51" s="455"/>
      <c r="E51" s="455"/>
      <c r="F51" s="455"/>
      <c r="G51" s="455"/>
      <c r="H51" s="455"/>
      <c r="I51" s="455"/>
      <c r="J51" s="456"/>
      <c r="K51" s="220">
        <v>5</v>
      </c>
      <c r="L51" s="228"/>
      <c r="M51" s="228"/>
      <c r="N51" s="228"/>
      <c r="O51" s="220" t="s">
        <v>58</v>
      </c>
    </row>
    <row r="52" spans="1:16" s="83" customFormat="1" ht="15" customHeight="1" x14ac:dyDescent="0.25">
      <c r="A52" s="441"/>
      <c r="B52" s="457"/>
      <c r="C52" s="458"/>
      <c r="D52" s="458"/>
      <c r="E52" s="458"/>
      <c r="F52" s="458"/>
      <c r="G52" s="458"/>
      <c r="H52" s="458"/>
      <c r="I52" s="458"/>
      <c r="J52" s="459"/>
      <c r="K52" s="466"/>
      <c r="L52" s="467"/>
      <c r="M52" s="467"/>
      <c r="N52" s="467"/>
      <c r="O52" s="466"/>
    </row>
    <row r="53" spans="1:16" s="83" customFormat="1" ht="15" customHeight="1" x14ac:dyDescent="0.25">
      <c r="A53" s="441"/>
      <c r="B53" s="457"/>
      <c r="C53" s="458"/>
      <c r="D53" s="458"/>
      <c r="E53" s="458"/>
      <c r="F53" s="458"/>
      <c r="G53" s="458"/>
      <c r="H53" s="458"/>
      <c r="I53" s="458"/>
      <c r="J53" s="459"/>
      <c r="K53" s="466"/>
      <c r="L53" s="467"/>
      <c r="M53" s="467"/>
      <c r="N53" s="467"/>
      <c r="O53" s="466"/>
    </row>
    <row r="54" spans="1:16" s="83" customFormat="1" ht="15" customHeight="1" x14ac:dyDescent="0.25">
      <c r="A54" s="262"/>
      <c r="B54" s="460"/>
      <c r="C54" s="461"/>
      <c r="D54" s="461"/>
      <c r="E54" s="461"/>
      <c r="F54" s="461"/>
      <c r="G54" s="461"/>
      <c r="H54" s="461"/>
      <c r="I54" s="461"/>
      <c r="J54" s="462"/>
      <c r="K54" s="453"/>
      <c r="L54" s="442"/>
      <c r="M54" s="442"/>
      <c r="N54" s="442"/>
      <c r="O54" s="453"/>
    </row>
    <row r="55" spans="1:16" s="83" customFormat="1" ht="15" customHeight="1" x14ac:dyDescent="0.25">
      <c r="A55" s="437" t="s">
        <v>171</v>
      </c>
      <c r="B55" s="495" t="s">
        <v>354</v>
      </c>
      <c r="C55" s="496"/>
      <c r="D55" s="496"/>
      <c r="E55" s="496"/>
      <c r="F55" s="496"/>
      <c r="G55" s="496"/>
      <c r="H55" s="496"/>
      <c r="I55" s="496"/>
      <c r="J55" s="497"/>
      <c r="K55" s="220">
        <v>5</v>
      </c>
      <c r="L55" s="228"/>
      <c r="M55" s="228"/>
      <c r="N55" s="228"/>
      <c r="O55" s="228"/>
    </row>
    <row r="56" spans="1:16" s="83" customFormat="1" ht="15" customHeight="1" x14ac:dyDescent="0.25">
      <c r="A56" s="262"/>
      <c r="B56" s="498"/>
      <c r="C56" s="499"/>
      <c r="D56" s="499"/>
      <c r="E56" s="499"/>
      <c r="F56" s="499"/>
      <c r="G56" s="499"/>
      <c r="H56" s="499"/>
      <c r="I56" s="499"/>
      <c r="J56" s="500"/>
      <c r="K56" s="453"/>
      <c r="L56" s="442"/>
      <c r="M56" s="442"/>
      <c r="N56" s="442"/>
      <c r="O56" s="442"/>
    </row>
    <row r="57" spans="1:16" s="83" customFormat="1" ht="15" customHeight="1" x14ac:dyDescent="0.25">
      <c r="A57" s="437" t="s">
        <v>172</v>
      </c>
      <c r="B57" s="292" t="s">
        <v>323</v>
      </c>
      <c r="C57" s="293"/>
      <c r="D57" s="293"/>
      <c r="E57" s="293"/>
      <c r="F57" s="293"/>
      <c r="G57" s="293"/>
      <c r="H57" s="293"/>
      <c r="I57" s="293"/>
      <c r="J57" s="294"/>
      <c r="K57" s="220">
        <v>5</v>
      </c>
      <c r="L57" s="228"/>
      <c r="M57" s="228"/>
      <c r="N57" s="228"/>
      <c r="O57" s="220" t="s">
        <v>58</v>
      </c>
    </row>
    <row r="58" spans="1:16" s="83" customFormat="1" ht="15" customHeight="1" x14ac:dyDescent="0.25">
      <c r="A58" s="262"/>
      <c r="B58" s="298"/>
      <c r="C58" s="299"/>
      <c r="D58" s="299"/>
      <c r="E58" s="299"/>
      <c r="F58" s="299"/>
      <c r="G58" s="299"/>
      <c r="H58" s="299"/>
      <c r="I58" s="299"/>
      <c r="J58" s="300"/>
      <c r="K58" s="453"/>
      <c r="L58" s="442"/>
      <c r="M58" s="442"/>
      <c r="N58" s="442"/>
      <c r="O58" s="453"/>
    </row>
    <row r="59" spans="1:16" s="83" customFormat="1" ht="15" customHeight="1" x14ac:dyDescent="0.25">
      <c r="A59" s="437" t="s">
        <v>173</v>
      </c>
      <c r="B59" s="292" t="s">
        <v>360</v>
      </c>
      <c r="C59" s="293"/>
      <c r="D59" s="293"/>
      <c r="E59" s="293"/>
      <c r="F59" s="293"/>
      <c r="G59" s="293"/>
      <c r="H59" s="293"/>
      <c r="I59" s="293"/>
      <c r="J59" s="294"/>
      <c r="K59" s="220">
        <v>5</v>
      </c>
      <c r="L59" s="228"/>
      <c r="M59" s="228"/>
      <c r="N59" s="228"/>
      <c r="O59" s="228"/>
    </row>
    <row r="60" spans="1:16" s="83" customFormat="1" ht="15.75" customHeight="1" x14ac:dyDescent="0.25">
      <c r="A60" s="262"/>
      <c r="B60" s="298"/>
      <c r="C60" s="299"/>
      <c r="D60" s="299"/>
      <c r="E60" s="299"/>
      <c r="F60" s="299"/>
      <c r="G60" s="299"/>
      <c r="H60" s="299"/>
      <c r="I60" s="299"/>
      <c r="J60" s="300"/>
      <c r="K60" s="453"/>
      <c r="L60" s="442"/>
      <c r="M60" s="442"/>
      <c r="N60" s="442"/>
      <c r="O60" s="442"/>
    </row>
    <row r="61" spans="1:16" s="83" customFormat="1" ht="15" customHeight="1" x14ac:dyDescent="0.25">
      <c r="A61" s="437" t="s">
        <v>174</v>
      </c>
      <c r="B61" s="292" t="s">
        <v>324</v>
      </c>
      <c r="C61" s="293"/>
      <c r="D61" s="293"/>
      <c r="E61" s="293"/>
      <c r="F61" s="293"/>
      <c r="G61" s="293"/>
      <c r="H61" s="293"/>
      <c r="I61" s="293"/>
      <c r="J61" s="294"/>
      <c r="K61" s="220">
        <v>5</v>
      </c>
      <c r="L61" s="228"/>
      <c r="M61" s="228"/>
      <c r="N61" s="228"/>
      <c r="O61" s="220" t="s">
        <v>58</v>
      </c>
    </row>
    <row r="62" spans="1:16" s="83" customFormat="1" ht="15" customHeight="1" x14ac:dyDescent="0.25">
      <c r="A62" s="441"/>
      <c r="B62" s="295"/>
      <c r="C62" s="296"/>
      <c r="D62" s="296"/>
      <c r="E62" s="296"/>
      <c r="F62" s="296"/>
      <c r="G62" s="296"/>
      <c r="H62" s="296"/>
      <c r="I62" s="296"/>
      <c r="J62" s="297"/>
      <c r="K62" s="221"/>
      <c r="L62" s="230"/>
      <c r="M62" s="230"/>
      <c r="N62" s="230"/>
      <c r="O62" s="221"/>
    </row>
    <row r="63" spans="1:16" s="83" customFormat="1" ht="15" customHeight="1" x14ac:dyDescent="0.25">
      <c r="A63" s="262"/>
      <c r="B63" s="298"/>
      <c r="C63" s="299"/>
      <c r="D63" s="299"/>
      <c r="E63" s="299"/>
      <c r="F63" s="299"/>
      <c r="G63" s="299"/>
      <c r="H63" s="299"/>
      <c r="I63" s="299"/>
      <c r="J63" s="300"/>
      <c r="K63" s="453"/>
      <c r="L63" s="442"/>
      <c r="M63" s="442"/>
      <c r="N63" s="442"/>
      <c r="O63" s="453"/>
    </row>
    <row r="64" spans="1:16" s="83" customFormat="1" ht="15" customHeight="1" x14ac:dyDescent="0.25">
      <c r="A64" s="437" t="s">
        <v>175</v>
      </c>
      <c r="B64" s="292" t="s">
        <v>325</v>
      </c>
      <c r="C64" s="293"/>
      <c r="D64" s="293"/>
      <c r="E64" s="293"/>
      <c r="F64" s="293"/>
      <c r="G64" s="293"/>
      <c r="H64" s="293"/>
      <c r="I64" s="293"/>
      <c r="J64" s="294"/>
      <c r="K64" s="220">
        <v>5</v>
      </c>
      <c r="L64" s="228"/>
      <c r="M64" s="228"/>
      <c r="N64" s="228"/>
      <c r="O64" s="220" t="s">
        <v>58</v>
      </c>
    </row>
    <row r="65" spans="1:16" s="83" customFormat="1" ht="15" customHeight="1" x14ac:dyDescent="0.25">
      <c r="A65" s="441"/>
      <c r="B65" s="295"/>
      <c r="C65" s="296"/>
      <c r="D65" s="296"/>
      <c r="E65" s="296"/>
      <c r="F65" s="296"/>
      <c r="G65" s="296"/>
      <c r="H65" s="296"/>
      <c r="I65" s="296"/>
      <c r="J65" s="297"/>
      <c r="K65" s="221"/>
      <c r="L65" s="230"/>
      <c r="M65" s="230"/>
      <c r="N65" s="230"/>
      <c r="O65" s="221"/>
    </row>
    <row r="66" spans="1:16" s="83" customFormat="1" ht="15" customHeight="1" x14ac:dyDescent="0.25">
      <c r="A66" s="441"/>
      <c r="B66" s="295"/>
      <c r="C66" s="296"/>
      <c r="D66" s="296"/>
      <c r="E66" s="296"/>
      <c r="F66" s="296"/>
      <c r="G66" s="296"/>
      <c r="H66" s="296"/>
      <c r="I66" s="296"/>
      <c r="J66" s="297"/>
      <c r="K66" s="221"/>
      <c r="L66" s="230"/>
      <c r="M66" s="230"/>
      <c r="N66" s="230"/>
      <c r="O66" s="221"/>
    </row>
    <row r="67" spans="1:16" s="83" customFormat="1" ht="15" customHeight="1" x14ac:dyDescent="0.25">
      <c r="A67" s="262"/>
      <c r="B67" s="298"/>
      <c r="C67" s="299"/>
      <c r="D67" s="299"/>
      <c r="E67" s="299"/>
      <c r="F67" s="299"/>
      <c r="G67" s="299"/>
      <c r="H67" s="299"/>
      <c r="I67" s="299"/>
      <c r="J67" s="300"/>
      <c r="K67" s="222"/>
      <c r="L67" s="229"/>
      <c r="M67" s="229"/>
      <c r="N67" s="229"/>
      <c r="O67" s="222"/>
    </row>
    <row r="68" spans="1:16" s="83" customFormat="1" ht="15" customHeight="1" x14ac:dyDescent="0.25">
      <c r="A68" s="437" t="s">
        <v>176</v>
      </c>
      <c r="B68" s="292" t="s">
        <v>326</v>
      </c>
      <c r="C68" s="293"/>
      <c r="D68" s="293"/>
      <c r="E68" s="293"/>
      <c r="F68" s="293"/>
      <c r="G68" s="293"/>
      <c r="H68" s="293"/>
      <c r="I68" s="293"/>
      <c r="J68" s="294"/>
      <c r="K68" s="220">
        <v>5</v>
      </c>
      <c r="L68" s="228"/>
      <c r="M68" s="228"/>
      <c r="N68" s="228"/>
      <c r="O68" s="228"/>
    </row>
    <row r="69" spans="1:16" s="83" customFormat="1" ht="15" customHeight="1" x14ac:dyDescent="0.25">
      <c r="A69" s="262"/>
      <c r="B69" s="298"/>
      <c r="C69" s="299"/>
      <c r="D69" s="299"/>
      <c r="E69" s="299"/>
      <c r="F69" s="299"/>
      <c r="G69" s="299"/>
      <c r="H69" s="299"/>
      <c r="I69" s="299"/>
      <c r="J69" s="300"/>
      <c r="K69" s="222"/>
      <c r="L69" s="229"/>
      <c r="M69" s="229"/>
      <c r="N69" s="229"/>
      <c r="O69" s="229"/>
    </row>
    <row r="70" spans="1:16" s="83" customFormat="1" ht="15" customHeight="1" x14ac:dyDescent="0.25">
      <c r="A70" s="437" t="s">
        <v>177</v>
      </c>
      <c r="B70" s="292" t="s">
        <v>327</v>
      </c>
      <c r="C70" s="293"/>
      <c r="D70" s="293"/>
      <c r="E70" s="293"/>
      <c r="F70" s="293"/>
      <c r="G70" s="293"/>
      <c r="H70" s="293"/>
      <c r="I70" s="293"/>
      <c r="J70" s="294"/>
      <c r="K70" s="220">
        <v>5</v>
      </c>
      <c r="L70" s="228"/>
      <c r="M70" s="228"/>
      <c r="N70" s="228"/>
      <c r="O70" s="220" t="s">
        <v>58</v>
      </c>
    </row>
    <row r="71" spans="1:16" s="83" customFormat="1" ht="15" customHeight="1" x14ac:dyDescent="0.25">
      <c r="A71" s="441"/>
      <c r="B71" s="295"/>
      <c r="C71" s="296"/>
      <c r="D71" s="296"/>
      <c r="E71" s="296"/>
      <c r="F71" s="296"/>
      <c r="G71" s="296"/>
      <c r="H71" s="296"/>
      <c r="I71" s="296"/>
      <c r="J71" s="297"/>
      <c r="K71" s="221"/>
      <c r="L71" s="230"/>
      <c r="M71" s="230"/>
      <c r="N71" s="230"/>
      <c r="O71" s="221"/>
    </row>
    <row r="72" spans="1:16" s="83" customFormat="1" ht="15" customHeight="1" x14ac:dyDescent="0.25">
      <c r="A72" s="262"/>
      <c r="B72" s="298"/>
      <c r="C72" s="299"/>
      <c r="D72" s="299"/>
      <c r="E72" s="299"/>
      <c r="F72" s="299"/>
      <c r="G72" s="299"/>
      <c r="H72" s="299"/>
      <c r="I72" s="299"/>
      <c r="J72" s="300"/>
      <c r="K72" s="222"/>
      <c r="L72" s="229"/>
      <c r="M72" s="229"/>
      <c r="N72" s="229"/>
      <c r="O72" s="222"/>
    </row>
    <row r="73" spans="1:16" s="83" customFormat="1" ht="15" customHeight="1" x14ac:dyDescent="0.25">
      <c r="A73" s="437" t="s">
        <v>178</v>
      </c>
      <c r="B73" s="292" t="s">
        <v>328</v>
      </c>
      <c r="C73" s="293"/>
      <c r="D73" s="293"/>
      <c r="E73" s="293"/>
      <c r="F73" s="293"/>
      <c r="G73" s="293"/>
      <c r="H73" s="293"/>
      <c r="I73" s="293"/>
      <c r="J73" s="294"/>
      <c r="K73" s="220">
        <v>5</v>
      </c>
      <c r="L73" s="228"/>
      <c r="M73" s="228"/>
      <c r="N73" s="228"/>
      <c r="O73" s="220" t="s">
        <v>58</v>
      </c>
    </row>
    <row r="74" spans="1:16" s="83" customFormat="1" ht="15" customHeight="1" x14ac:dyDescent="0.25">
      <c r="A74" s="262"/>
      <c r="B74" s="298"/>
      <c r="C74" s="299"/>
      <c r="D74" s="299"/>
      <c r="E74" s="299"/>
      <c r="F74" s="299"/>
      <c r="G74" s="299"/>
      <c r="H74" s="299"/>
      <c r="I74" s="299"/>
      <c r="J74" s="300"/>
      <c r="K74" s="222"/>
      <c r="L74" s="229"/>
      <c r="M74" s="229"/>
      <c r="N74" s="229"/>
      <c r="O74" s="222"/>
    </row>
    <row r="75" spans="1:16" s="83" customFormat="1" ht="27.6" x14ac:dyDescent="0.25">
      <c r="A75" s="251" t="s">
        <v>54</v>
      </c>
      <c r="B75" s="252"/>
      <c r="C75" s="252"/>
      <c r="D75" s="252"/>
      <c r="E75" s="252"/>
      <c r="F75" s="252"/>
      <c r="G75" s="252"/>
      <c r="H75" s="252"/>
      <c r="I75" s="252"/>
      <c r="J75" s="253"/>
      <c r="K75" s="94" t="s">
        <v>53</v>
      </c>
      <c r="L75" s="92" t="s">
        <v>342</v>
      </c>
      <c r="M75" s="93" t="s">
        <v>341</v>
      </c>
      <c r="N75" s="92" t="s">
        <v>51</v>
      </c>
      <c r="O75" s="92" t="s">
        <v>50</v>
      </c>
      <c r="P75" s="84"/>
    </row>
    <row r="76" spans="1:16" s="83" customFormat="1" ht="15" customHeight="1" x14ac:dyDescent="0.25">
      <c r="A76" s="437" t="s">
        <v>179</v>
      </c>
      <c r="B76" s="292" t="s">
        <v>329</v>
      </c>
      <c r="C76" s="293"/>
      <c r="D76" s="293"/>
      <c r="E76" s="293"/>
      <c r="F76" s="293"/>
      <c r="G76" s="293"/>
      <c r="H76" s="293"/>
      <c r="I76" s="293"/>
      <c r="J76" s="294"/>
      <c r="K76" s="220">
        <v>5</v>
      </c>
      <c r="L76" s="439"/>
      <c r="M76" s="439"/>
      <c r="N76" s="439"/>
      <c r="O76" s="439"/>
    </row>
    <row r="77" spans="1:16" s="83" customFormat="1" ht="15" customHeight="1" x14ac:dyDescent="0.25">
      <c r="A77" s="438"/>
      <c r="B77" s="298"/>
      <c r="C77" s="299"/>
      <c r="D77" s="299"/>
      <c r="E77" s="299"/>
      <c r="F77" s="299"/>
      <c r="G77" s="299"/>
      <c r="H77" s="299"/>
      <c r="I77" s="299"/>
      <c r="J77" s="300"/>
      <c r="K77" s="222"/>
      <c r="L77" s="440"/>
      <c r="M77" s="440"/>
      <c r="N77" s="440"/>
      <c r="O77" s="440"/>
    </row>
    <row r="78" spans="1:16" s="83" customFormat="1" ht="15" customHeight="1" x14ac:dyDescent="0.25">
      <c r="A78" s="87" t="s">
        <v>180</v>
      </c>
      <c r="B78" s="463" t="s">
        <v>294</v>
      </c>
      <c r="C78" s="464"/>
      <c r="D78" s="464"/>
      <c r="E78" s="464"/>
      <c r="F78" s="464"/>
      <c r="G78" s="464"/>
      <c r="H78" s="464"/>
      <c r="I78" s="464"/>
      <c r="J78" s="465"/>
      <c r="K78" s="85">
        <v>5</v>
      </c>
      <c r="L78" s="86"/>
      <c r="M78" s="86"/>
      <c r="N78" s="86"/>
      <c r="O78" s="86"/>
    </row>
    <row r="79" spans="1:16" s="83" customFormat="1" ht="15" customHeight="1" x14ac:dyDescent="0.25">
      <c r="A79" s="437" t="s">
        <v>181</v>
      </c>
      <c r="B79" s="292" t="s">
        <v>378</v>
      </c>
      <c r="C79" s="293"/>
      <c r="D79" s="293"/>
      <c r="E79" s="293"/>
      <c r="F79" s="293"/>
      <c r="G79" s="293"/>
      <c r="H79" s="293"/>
      <c r="I79" s="293"/>
      <c r="J79" s="294"/>
      <c r="K79" s="220">
        <v>5</v>
      </c>
      <c r="L79" s="228"/>
      <c r="M79" s="228"/>
      <c r="N79" s="228"/>
      <c r="O79" s="228"/>
    </row>
    <row r="80" spans="1:16" s="83" customFormat="1" ht="15" customHeight="1" x14ac:dyDescent="0.25">
      <c r="A80" s="441"/>
      <c r="B80" s="295"/>
      <c r="C80" s="296"/>
      <c r="D80" s="296"/>
      <c r="E80" s="296"/>
      <c r="F80" s="296"/>
      <c r="G80" s="296"/>
      <c r="H80" s="296"/>
      <c r="I80" s="296"/>
      <c r="J80" s="297"/>
      <c r="K80" s="221"/>
      <c r="L80" s="230"/>
      <c r="M80" s="230"/>
      <c r="N80" s="230"/>
      <c r="O80" s="230"/>
    </row>
    <row r="81" spans="1:15" s="83" customFormat="1" ht="15" customHeight="1" x14ac:dyDescent="0.25">
      <c r="A81" s="262"/>
      <c r="B81" s="298"/>
      <c r="C81" s="299"/>
      <c r="D81" s="299"/>
      <c r="E81" s="299"/>
      <c r="F81" s="299"/>
      <c r="G81" s="299"/>
      <c r="H81" s="299"/>
      <c r="I81" s="299"/>
      <c r="J81" s="300"/>
      <c r="K81" s="222"/>
      <c r="L81" s="229"/>
      <c r="M81" s="229"/>
      <c r="N81" s="229"/>
      <c r="O81" s="229"/>
    </row>
    <row r="82" spans="1:15" s="83" customFormat="1" ht="15" customHeight="1" x14ac:dyDescent="0.25">
      <c r="A82" s="437" t="s">
        <v>182</v>
      </c>
      <c r="B82" s="292" t="s">
        <v>330</v>
      </c>
      <c r="C82" s="293"/>
      <c r="D82" s="293"/>
      <c r="E82" s="293"/>
      <c r="F82" s="293"/>
      <c r="G82" s="293"/>
      <c r="H82" s="293"/>
      <c r="I82" s="293"/>
      <c r="J82" s="294"/>
      <c r="K82" s="220">
        <v>5</v>
      </c>
      <c r="L82" s="228"/>
      <c r="M82" s="228"/>
      <c r="N82" s="228"/>
      <c r="O82" s="228"/>
    </row>
    <row r="83" spans="1:15" s="83" customFormat="1" ht="15" customHeight="1" x14ac:dyDescent="0.25">
      <c r="A83" s="438"/>
      <c r="B83" s="298"/>
      <c r="C83" s="299"/>
      <c r="D83" s="299"/>
      <c r="E83" s="299"/>
      <c r="F83" s="299"/>
      <c r="G83" s="299"/>
      <c r="H83" s="299"/>
      <c r="I83" s="299"/>
      <c r="J83" s="300"/>
      <c r="K83" s="222"/>
      <c r="L83" s="229"/>
      <c r="M83" s="229"/>
      <c r="N83" s="229"/>
      <c r="O83" s="229"/>
    </row>
    <row r="84" spans="1:15" s="83" customFormat="1" ht="15" customHeight="1" x14ac:dyDescent="0.25">
      <c r="A84" s="437" t="s">
        <v>183</v>
      </c>
      <c r="B84" s="292" t="s">
        <v>355</v>
      </c>
      <c r="C84" s="293"/>
      <c r="D84" s="293"/>
      <c r="E84" s="293"/>
      <c r="F84" s="293"/>
      <c r="G84" s="293"/>
      <c r="H84" s="293"/>
      <c r="I84" s="293"/>
      <c r="J84" s="294"/>
      <c r="K84" s="220">
        <v>5</v>
      </c>
      <c r="L84" s="228"/>
      <c r="M84" s="228"/>
      <c r="N84" s="228"/>
      <c r="O84" s="228"/>
    </row>
    <row r="85" spans="1:15" s="83" customFormat="1" ht="15" customHeight="1" x14ac:dyDescent="0.25">
      <c r="A85" s="262"/>
      <c r="B85" s="298"/>
      <c r="C85" s="299"/>
      <c r="D85" s="299"/>
      <c r="E85" s="299"/>
      <c r="F85" s="299"/>
      <c r="G85" s="299"/>
      <c r="H85" s="299"/>
      <c r="I85" s="299"/>
      <c r="J85" s="300"/>
      <c r="K85" s="222"/>
      <c r="L85" s="229"/>
      <c r="M85" s="229"/>
      <c r="N85" s="229"/>
      <c r="O85" s="229"/>
    </row>
    <row r="86" spans="1:15" s="83" customFormat="1" ht="15" customHeight="1" x14ac:dyDescent="0.25">
      <c r="A86" s="437" t="s">
        <v>184</v>
      </c>
      <c r="B86" s="292" t="s">
        <v>331</v>
      </c>
      <c r="C86" s="293"/>
      <c r="D86" s="293"/>
      <c r="E86" s="293"/>
      <c r="F86" s="293"/>
      <c r="G86" s="293"/>
      <c r="H86" s="293"/>
      <c r="I86" s="293"/>
      <c r="J86" s="294"/>
      <c r="K86" s="220">
        <v>5</v>
      </c>
      <c r="L86" s="228"/>
      <c r="M86" s="228"/>
      <c r="N86" s="228"/>
      <c r="O86" s="220" t="s">
        <v>58</v>
      </c>
    </row>
    <row r="87" spans="1:15" s="83" customFormat="1" ht="15" customHeight="1" x14ac:dyDescent="0.25">
      <c r="A87" s="441"/>
      <c r="B87" s="295"/>
      <c r="C87" s="296"/>
      <c r="D87" s="296"/>
      <c r="E87" s="296"/>
      <c r="F87" s="296"/>
      <c r="G87" s="296"/>
      <c r="H87" s="296"/>
      <c r="I87" s="296"/>
      <c r="J87" s="297"/>
      <c r="K87" s="221"/>
      <c r="L87" s="230"/>
      <c r="M87" s="230"/>
      <c r="N87" s="230"/>
      <c r="O87" s="221"/>
    </row>
    <row r="88" spans="1:15" s="83" customFormat="1" ht="15" customHeight="1" x14ac:dyDescent="0.25">
      <c r="A88" s="262"/>
      <c r="B88" s="298"/>
      <c r="C88" s="299"/>
      <c r="D88" s="299"/>
      <c r="E88" s="299"/>
      <c r="F88" s="299"/>
      <c r="G88" s="299"/>
      <c r="H88" s="299"/>
      <c r="I88" s="299"/>
      <c r="J88" s="300"/>
      <c r="K88" s="222"/>
      <c r="L88" s="229"/>
      <c r="M88" s="229"/>
      <c r="N88" s="229"/>
      <c r="O88" s="222"/>
    </row>
    <row r="89" spans="1:15" s="83" customFormat="1" ht="15" customHeight="1" x14ac:dyDescent="0.25">
      <c r="A89" s="437" t="s">
        <v>185</v>
      </c>
      <c r="B89" s="292" t="s">
        <v>332</v>
      </c>
      <c r="C89" s="293"/>
      <c r="D89" s="293"/>
      <c r="E89" s="293"/>
      <c r="F89" s="293"/>
      <c r="G89" s="293"/>
      <c r="H89" s="293"/>
      <c r="I89" s="293"/>
      <c r="J89" s="294"/>
      <c r="K89" s="220">
        <v>5</v>
      </c>
      <c r="L89" s="228"/>
      <c r="M89" s="228"/>
      <c r="N89" s="228"/>
      <c r="O89" s="220" t="s">
        <v>58</v>
      </c>
    </row>
    <row r="90" spans="1:15" s="83" customFormat="1" ht="15" customHeight="1" x14ac:dyDescent="0.25">
      <c r="A90" s="438"/>
      <c r="B90" s="298"/>
      <c r="C90" s="299"/>
      <c r="D90" s="299"/>
      <c r="E90" s="299"/>
      <c r="F90" s="299"/>
      <c r="G90" s="299"/>
      <c r="H90" s="299"/>
      <c r="I90" s="299"/>
      <c r="J90" s="300"/>
      <c r="K90" s="222"/>
      <c r="L90" s="229"/>
      <c r="M90" s="229"/>
      <c r="N90" s="229"/>
      <c r="O90" s="222"/>
    </row>
    <row r="91" spans="1:15" s="83" customFormat="1" ht="15" customHeight="1" x14ac:dyDescent="0.25">
      <c r="A91" s="437" t="s">
        <v>186</v>
      </c>
      <c r="B91" s="292" t="s">
        <v>333</v>
      </c>
      <c r="C91" s="293"/>
      <c r="D91" s="293"/>
      <c r="E91" s="293"/>
      <c r="F91" s="293"/>
      <c r="G91" s="293"/>
      <c r="H91" s="293"/>
      <c r="I91" s="293"/>
      <c r="J91" s="294"/>
      <c r="K91" s="220">
        <v>5</v>
      </c>
      <c r="L91" s="228"/>
      <c r="M91" s="228"/>
      <c r="N91" s="228"/>
      <c r="O91" s="220" t="s">
        <v>58</v>
      </c>
    </row>
    <row r="92" spans="1:15" s="83" customFormat="1" ht="15" customHeight="1" x14ac:dyDescent="0.25">
      <c r="A92" s="441"/>
      <c r="B92" s="295"/>
      <c r="C92" s="296"/>
      <c r="D92" s="296"/>
      <c r="E92" s="296"/>
      <c r="F92" s="296"/>
      <c r="G92" s="296"/>
      <c r="H92" s="296"/>
      <c r="I92" s="296"/>
      <c r="J92" s="297"/>
      <c r="K92" s="221"/>
      <c r="L92" s="230"/>
      <c r="M92" s="230"/>
      <c r="N92" s="230"/>
      <c r="O92" s="221"/>
    </row>
    <row r="93" spans="1:15" s="83" customFormat="1" ht="15" customHeight="1" x14ac:dyDescent="0.25">
      <c r="A93" s="441"/>
      <c r="B93" s="295"/>
      <c r="C93" s="296"/>
      <c r="D93" s="296"/>
      <c r="E93" s="296"/>
      <c r="F93" s="296"/>
      <c r="G93" s="296"/>
      <c r="H93" s="296"/>
      <c r="I93" s="296"/>
      <c r="J93" s="297"/>
      <c r="K93" s="221"/>
      <c r="L93" s="230"/>
      <c r="M93" s="230"/>
      <c r="N93" s="230"/>
      <c r="O93" s="221"/>
    </row>
    <row r="94" spans="1:15" s="83" customFormat="1" ht="15" customHeight="1" x14ac:dyDescent="0.25">
      <c r="A94" s="441"/>
      <c r="B94" s="295"/>
      <c r="C94" s="296"/>
      <c r="D94" s="296"/>
      <c r="E94" s="296"/>
      <c r="F94" s="296"/>
      <c r="G94" s="296"/>
      <c r="H94" s="296"/>
      <c r="I94" s="296"/>
      <c r="J94" s="297"/>
      <c r="K94" s="221"/>
      <c r="L94" s="230"/>
      <c r="M94" s="230"/>
      <c r="N94" s="230"/>
      <c r="O94" s="221"/>
    </row>
    <row r="95" spans="1:15" s="83" customFormat="1" ht="15" customHeight="1" x14ac:dyDescent="0.25">
      <c r="A95" s="262"/>
      <c r="B95" s="298"/>
      <c r="C95" s="299"/>
      <c r="D95" s="299"/>
      <c r="E95" s="299"/>
      <c r="F95" s="299"/>
      <c r="G95" s="299"/>
      <c r="H95" s="299"/>
      <c r="I95" s="299"/>
      <c r="J95" s="300"/>
      <c r="K95" s="222"/>
      <c r="L95" s="229"/>
      <c r="M95" s="229"/>
      <c r="N95" s="229"/>
      <c r="O95" s="222"/>
    </row>
    <row r="96" spans="1:15" s="83" customFormat="1" ht="15" customHeight="1" x14ac:dyDescent="0.25">
      <c r="A96" s="437" t="s">
        <v>187</v>
      </c>
      <c r="B96" s="292" t="s">
        <v>334</v>
      </c>
      <c r="C96" s="293"/>
      <c r="D96" s="293"/>
      <c r="E96" s="293"/>
      <c r="F96" s="293"/>
      <c r="G96" s="293"/>
      <c r="H96" s="293"/>
      <c r="I96" s="293"/>
      <c r="J96" s="294"/>
      <c r="K96" s="220">
        <v>5</v>
      </c>
      <c r="L96" s="228"/>
      <c r="M96" s="228"/>
      <c r="N96" s="228"/>
      <c r="O96" s="220" t="s">
        <v>58</v>
      </c>
    </row>
    <row r="97" spans="1:15" s="83" customFormat="1" ht="15" customHeight="1" x14ac:dyDescent="0.25">
      <c r="A97" s="441"/>
      <c r="B97" s="295"/>
      <c r="C97" s="296"/>
      <c r="D97" s="296"/>
      <c r="E97" s="296"/>
      <c r="F97" s="296"/>
      <c r="G97" s="296"/>
      <c r="H97" s="296"/>
      <c r="I97" s="296"/>
      <c r="J97" s="297"/>
      <c r="K97" s="221"/>
      <c r="L97" s="230"/>
      <c r="M97" s="230"/>
      <c r="N97" s="230"/>
      <c r="O97" s="221"/>
    </row>
    <row r="98" spans="1:15" s="83" customFormat="1" ht="15" customHeight="1" x14ac:dyDescent="0.25">
      <c r="A98" s="262"/>
      <c r="B98" s="298"/>
      <c r="C98" s="299"/>
      <c r="D98" s="299"/>
      <c r="E98" s="299"/>
      <c r="F98" s="299"/>
      <c r="G98" s="299"/>
      <c r="H98" s="299"/>
      <c r="I98" s="299"/>
      <c r="J98" s="300"/>
      <c r="K98" s="222"/>
      <c r="L98" s="229"/>
      <c r="M98" s="229"/>
      <c r="N98" s="229"/>
      <c r="O98" s="222"/>
    </row>
    <row r="99" spans="1:15" s="83" customFormat="1" ht="15" customHeight="1" x14ac:dyDescent="0.25">
      <c r="A99" s="437" t="s">
        <v>188</v>
      </c>
      <c r="B99" s="454" t="s">
        <v>377</v>
      </c>
      <c r="C99" s="455"/>
      <c r="D99" s="455"/>
      <c r="E99" s="455"/>
      <c r="F99" s="455"/>
      <c r="G99" s="455"/>
      <c r="H99" s="455"/>
      <c r="I99" s="455"/>
      <c r="J99" s="456"/>
      <c r="K99" s="220">
        <v>5</v>
      </c>
      <c r="L99" s="228"/>
      <c r="M99" s="228"/>
      <c r="N99" s="228"/>
      <c r="O99" s="220" t="s">
        <v>58</v>
      </c>
    </row>
    <row r="100" spans="1:15" s="83" customFormat="1" ht="15" customHeight="1" x14ac:dyDescent="0.25">
      <c r="A100" s="441"/>
      <c r="B100" s="457"/>
      <c r="C100" s="458"/>
      <c r="D100" s="458"/>
      <c r="E100" s="458"/>
      <c r="F100" s="458"/>
      <c r="G100" s="458"/>
      <c r="H100" s="458"/>
      <c r="I100" s="458"/>
      <c r="J100" s="459"/>
      <c r="K100" s="221"/>
      <c r="L100" s="230"/>
      <c r="M100" s="230"/>
      <c r="N100" s="230"/>
      <c r="O100" s="221"/>
    </row>
    <row r="101" spans="1:15" s="83" customFormat="1" ht="15" customHeight="1" x14ac:dyDescent="0.25">
      <c r="A101" s="441"/>
      <c r="B101" s="457"/>
      <c r="C101" s="458"/>
      <c r="D101" s="458"/>
      <c r="E101" s="458"/>
      <c r="F101" s="458"/>
      <c r="G101" s="458"/>
      <c r="H101" s="458"/>
      <c r="I101" s="458"/>
      <c r="J101" s="459"/>
      <c r="K101" s="221"/>
      <c r="L101" s="230"/>
      <c r="M101" s="230"/>
      <c r="N101" s="230"/>
      <c r="O101" s="221"/>
    </row>
    <row r="102" spans="1:15" s="83" customFormat="1" ht="15" customHeight="1" x14ac:dyDescent="0.25">
      <c r="A102" s="262"/>
      <c r="B102" s="460"/>
      <c r="C102" s="461"/>
      <c r="D102" s="461"/>
      <c r="E102" s="461"/>
      <c r="F102" s="461"/>
      <c r="G102" s="461"/>
      <c r="H102" s="461"/>
      <c r="I102" s="461"/>
      <c r="J102" s="462"/>
      <c r="K102" s="222"/>
      <c r="L102" s="229"/>
      <c r="M102" s="229"/>
      <c r="N102" s="229"/>
      <c r="O102" s="222"/>
    </row>
    <row r="103" spans="1:15" s="83" customFormat="1" ht="15" customHeight="1" x14ac:dyDescent="0.25">
      <c r="A103" s="437" t="s">
        <v>189</v>
      </c>
      <c r="B103" s="454" t="s">
        <v>335</v>
      </c>
      <c r="C103" s="455"/>
      <c r="D103" s="455"/>
      <c r="E103" s="455"/>
      <c r="F103" s="455"/>
      <c r="G103" s="455"/>
      <c r="H103" s="455"/>
      <c r="I103" s="455"/>
      <c r="J103" s="456"/>
      <c r="K103" s="220">
        <v>5</v>
      </c>
      <c r="L103" s="228"/>
      <c r="M103" s="228"/>
      <c r="N103" s="228"/>
      <c r="O103" s="220" t="s">
        <v>58</v>
      </c>
    </row>
    <row r="104" spans="1:15" s="83" customFormat="1" ht="15" customHeight="1" x14ac:dyDescent="0.25">
      <c r="A104" s="262"/>
      <c r="B104" s="460"/>
      <c r="C104" s="461"/>
      <c r="D104" s="461"/>
      <c r="E104" s="461"/>
      <c r="F104" s="461"/>
      <c r="G104" s="461"/>
      <c r="H104" s="461"/>
      <c r="I104" s="461"/>
      <c r="J104" s="462"/>
      <c r="K104" s="222"/>
      <c r="L104" s="229"/>
      <c r="M104" s="229"/>
      <c r="N104" s="229"/>
      <c r="O104" s="222"/>
    </row>
    <row r="105" spans="1:15" s="83" customFormat="1" ht="15" customHeight="1" x14ac:dyDescent="0.25">
      <c r="A105" s="437" t="s">
        <v>190</v>
      </c>
      <c r="B105" s="292" t="s">
        <v>336</v>
      </c>
      <c r="C105" s="293"/>
      <c r="D105" s="293"/>
      <c r="E105" s="293"/>
      <c r="F105" s="293"/>
      <c r="G105" s="293"/>
      <c r="H105" s="293"/>
      <c r="I105" s="293"/>
      <c r="J105" s="294"/>
      <c r="K105" s="220">
        <v>5</v>
      </c>
      <c r="L105" s="228"/>
      <c r="M105" s="228"/>
      <c r="N105" s="228"/>
      <c r="O105" s="220" t="s">
        <v>58</v>
      </c>
    </row>
    <row r="106" spans="1:15" s="83" customFormat="1" ht="15" customHeight="1" x14ac:dyDescent="0.25">
      <c r="A106" s="441"/>
      <c r="B106" s="295"/>
      <c r="C106" s="296"/>
      <c r="D106" s="296"/>
      <c r="E106" s="296"/>
      <c r="F106" s="296"/>
      <c r="G106" s="296"/>
      <c r="H106" s="296"/>
      <c r="I106" s="296"/>
      <c r="J106" s="297"/>
      <c r="K106" s="221"/>
      <c r="L106" s="230"/>
      <c r="M106" s="230"/>
      <c r="N106" s="230"/>
      <c r="O106" s="221"/>
    </row>
    <row r="107" spans="1:15" s="83" customFormat="1" ht="15" customHeight="1" x14ac:dyDescent="0.25">
      <c r="A107" s="262"/>
      <c r="B107" s="298"/>
      <c r="C107" s="299"/>
      <c r="D107" s="299"/>
      <c r="E107" s="299"/>
      <c r="F107" s="299"/>
      <c r="G107" s="299"/>
      <c r="H107" s="299"/>
      <c r="I107" s="299"/>
      <c r="J107" s="300"/>
      <c r="K107" s="453"/>
      <c r="L107" s="442"/>
      <c r="M107" s="442"/>
      <c r="N107" s="442"/>
      <c r="O107" s="222"/>
    </row>
    <row r="108" spans="1:15" s="83" customFormat="1" ht="15" customHeight="1" x14ac:dyDescent="0.25">
      <c r="A108" s="437" t="s">
        <v>191</v>
      </c>
      <c r="B108" s="292" t="s">
        <v>337</v>
      </c>
      <c r="C108" s="293"/>
      <c r="D108" s="293"/>
      <c r="E108" s="293"/>
      <c r="F108" s="293"/>
      <c r="G108" s="293"/>
      <c r="H108" s="293"/>
      <c r="I108" s="293"/>
      <c r="J108" s="294"/>
      <c r="K108" s="220">
        <v>5</v>
      </c>
      <c r="L108" s="228"/>
      <c r="M108" s="228"/>
      <c r="N108" s="228"/>
      <c r="O108" s="220" t="s">
        <v>58</v>
      </c>
    </row>
    <row r="109" spans="1:15" s="83" customFormat="1" ht="15" customHeight="1" x14ac:dyDescent="0.25">
      <c r="A109" s="441"/>
      <c r="B109" s="295"/>
      <c r="C109" s="296"/>
      <c r="D109" s="296"/>
      <c r="E109" s="296"/>
      <c r="F109" s="296"/>
      <c r="G109" s="296"/>
      <c r="H109" s="296"/>
      <c r="I109" s="296"/>
      <c r="J109" s="297"/>
      <c r="K109" s="221"/>
      <c r="L109" s="230"/>
      <c r="M109" s="230"/>
      <c r="N109" s="230"/>
      <c r="O109" s="221"/>
    </row>
    <row r="110" spans="1:15" s="83" customFormat="1" ht="15" customHeight="1" x14ac:dyDescent="0.25">
      <c r="A110" s="262"/>
      <c r="B110" s="298"/>
      <c r="C110" s="299"/>
      <c r="D110" s="299"/>
      <c r="E110" s="299"/>
      <c r="F110" s="299"/>
      <c r="G110" s="299"/>
      <c r="H110" s="299"/>
      <c r="I110" s="299"/>
      <c r="J110" s="300"/>
      <c r="K110" s="222"/>
      <c r="L110" s="229"/>
      <c r="M110" s="229"/>
      <c r="N110" s="229"/>
      <c r="O110" s="222"/>
    </row>
    <row r="111" spans="1:15" s="83" customFormat="1" ht="15" customHeight="1" x14ac:dyDescent="0.25">
      <c r="A111" s="437" t="s">
        <v>192</v>
      </c>
      <c r="B111" s="454" t="s">
        <v>338</v>
      </c>
      <c r="C111" s="455"/>
      <c r="D111" s="455"/>
      <c r="E111" s="455"/>
      <c r="F111" s="455"/>
      <c r="G111" s="455"/>
      <c r="H111" s="455"/>
      <c r="I111" s="455"/>
      <c r="J111" s="456"/>
      <c r="K111" s="220">
        <v>5</v>
      </c>
      <c r="L111" s="228"/>
      <c r="M111" s="228"/>
      <c r="N111" s="228"/>
      <c r="O111" s="220" t="s">
        <v>58</v>
      </c>
    </row>
    <row r="112" spans="1:15" s="83" customFormat="1" ht="15" customHeight="1" x14ac:dyDescent="0.25">
      <c r="A112" s="441"/>
      <c r="B112" s="457"/>
      <c r="C112" s="458"/>
      <c r="D112" s="458"/>
      <c r="E112" s="458"/>
      <c r="F112" s="458"/>
      <c r="G112" s="458"/>
      <c r="H112" s="458"/>
      <c r="I112" s="458"/>
      <c r="J112" s="459"/>
      <c r="K112" s="221"/>
      <c r="L112" s="230"/>
      <c r="M112" s="230"/>
      <c r="N112" s="230"/>
      <c r="O112" s="221"/>
    </row>
    <row r="113" spans="1:20" s="83" customFormat="1" ht="15" customHeight="1" x14ac:dyDescent="0.25">
      <c r="A113" s="262"/>
      <c r="B113" s="460"/>
      <c r="C113" s="461"/>
      <c r="D113" s="461"/>
      <c r="E113" s="461"/>
      <c r="F113" s="461"/>
      <c r="G113" s="461"/>
      <c r="H113" s="461"/>
      <c r="I113" s="461"/>
      <c r="J113" s="462"/>
      <c r="K113" s="453"/>
      <c r="L113" s="442"/>
      <c r="M113" s="442"/>
      <c r="N113" s="442"/>
      <c r="O113" s="222"/>
    </row>
    <row r="114" spans="1:20" s="83" customFormat="1" ht="27.6" x14ac:dyDescent="0.25">
      <c r="A114" s="251" t="s">
        <v>54</v>
      </c>
      <c r="B114" s="252"/>
      <c r="C114" s="252"/>
      <c r="D114" s="252"/>
      <c r="E114" s="252"/>
      <c r="F114" s="252"/>
      <c r="G114" s="252"/>
      <c r="H114" s="252"/>
      <c r="I114" s="252"/>
      <c r="J114" s="253"/>
      <c r="K114" s="94" t="s">
        <v>53</v>
      </c>
      <c r="L114" s="92" t="s">
        <v>342</v>
      </c>
      <c r="M114" s="93" t="s">
        <v>341</v>
      </c>
      <c r="N114" s="92" t="s">
        <v>51</v>
      </c>
      <c r="O114" s="92" t="s">
        <v>50</v>
      </c>
      <c r="P114" s="84"/>
    </row>
    <row r="115" spans="1:20" s="83" customFormat="1" ht="15" customHeight="1" x14ac:dyDescent="0.25">
      <c r="A115" s="437" t="s">
        <v>193</v>
      </c>
      <c r="B115" s="454" t="s">
        <v>339</v>
      </c>
      <c r="C115" s="455"/>
      <c r="D115" s="455"/>
      <c r="E115" s="455"/>
      <c r="F115" s="455"/>
      <c r="G115" s="455"/>
      <c r="H115" s="455"/>
      <c r="I115" s="455"/>
      <c r="J115" s="456"/>
      <c r="K115" s="220">
        <v>5</v>
      </c>
      <c r="L115" s="228"/>
      <c r="M115" s="228"/>
      <c r="N115" s="228"/>
      <c r="O115" s="220" t="s">
        <v>58</v>
      </c>
    </row>
    <row r="116" spans="1:20" s="83" customFormat="1" ht="15" customHeight="1" x14ac:dyDescent="0.25">
      <c r="A116" s="441"/>
      <c r="B116" s="457"/>
      <c r="C116" s="458"/>
      <c r="D116" s="458"/>
      <c r="E116" s="458"/>
      <c r="F116" s="458"/>
      <c r="G116" s="458"/>
      <c r="H116" s="458"/>
      <c r="I116" s="458"/>
      <c r="J116" s="459"/>
      <c r="K116" s="221"/>
      <c r="L116" s="230"/>
      <c r="M116" s="230"/>
      <c r="N116" s="230"/>
      <c r="O116" s="221"/>
    </row>
    <row r="117" spans="1:20" s="83" customFormat="1" ht="15" customHeight="1" x14ac:dyDescent="0.25">
      <c r="A117" s="441"/>
      <c r="B117" s="457"/>
      <c r="C117" s="458"/>
      <c r="D117" s="458"/>
      <c r="E117" s="458"/>
      <c r="F117" s="458"/>
      <c r="G117" s="458"/>
      <c r="H117" s="458"/>
      <c r="I117" s="458"/>
      <c r="J117" s="459"/>
      <c r="K117" s="221"/>
      <c r="L117" s="230"/>
      <c r="M117" s="230"/>
      <c r="N117" s="230"/>
      <c r="O117" s="221"/>
    </row>
    <row r="118" spans="1:20" s="83" customFormat="1" ht="15" customHeight="1" x14ac:dyDescent="0.25">
      <c r="A118" s="262"/>
      <c r="B118" s="460"/>
      <c r="C118" s="461"/>
      <c r="D118" s="461"/>
      <c r="E118" s="461"/>
      <c r="F118" s="461"/>
      <c r="G118" s="461"/>
      <c r="H118" s="461"/>
      <c r="I118" s="461"/>
      <c r="J118" s="462"/>
      <c r="K118" s="222"/>
      <c r="L118" s="229"/>
      <c r="M118" s="229"/>
      <c r="N118" s="229"/>
      <c r="O118" s="222"/>
    </row>
    <row r="119" spans="1:20" ht="6" customHeight="1" x14ac:dyDescent="0.25">
      <c r="A119" s="314"/>
      <c r="B119" s="314"/>
      <c r="C119" s="314"/>
      <c r="D119" s="314"/>
      <c r="E119" s="314"/>
      <c r="F119" s="314"/>
      <c r="G119" s="314"/>
      <c r="H119" s="314"/>
      <c r="I119" s="314"/>
      <c r="J119" s="314"/>
      <c r="K119" s="314"/>
      <c r="L119" s="314"/>
      <c r="M119" s="314"/>
      <c r="N119" s="314"/>
      <c r="O119" s="314"/>
      <c r="P119" s="79"/>
    </row>
    <row r="120" spans="1:20" ht="15" customHeight="1" x14ac:dyDescent="0.25">
      <c r="A120" s="286" t="s">
        <v>73</v>
      </c>
      <c r="B120" s="287"/>
      <c r="C120" s="287"/>
      <c r="D120" s="82"/>
      <c r="E120" s="288"/>
      <c r="F120" s="288"/>
      <c r="G120" s="288"/>
      <c r="H120" s="288"/>
      <c r="I120" s="288"/>
      <c r="J120" s="288"/>
      <c r="K120" s="288"/>
      <c r="L120" s="288"/>
      <c r="M120" s="288"/>
      <c r="N120" s="288"/>
      <c r="O120" s="289"/>
      <c r="P120" s="79"/>
    </row>
    <row r="121" spans="1:20" ht="27" customHeight="1" x14ac:dyDescent="0.25">
      <c r="A121" s="443"/>
      <c r="B121" s="443"/>
      <c r="C121" s="443"/>
      <c r="D121" s="443"/>
      <c r="E121" s="443"/>
      <c r="F121" s="443"/>
      <c r="G121" s="443"/>
      <c r="H121" s="443"/>
      <c r="I121" s="443"/>
      <c r="J121" s="443"/>
      <c r="K121" s="443"/>
      <c r="L121" s="443"/>
      <c r="M121" s="443"/>
      <c r="N121" s="443"/>
      <c r="O121" s="443"/>
      <c r="P121" s="79"/>
    </row>
    <row r="122" spans="1:20" ht="27" customHeight="1" x14ac:dyDescent="0.25">
      <c r="A122" s="443"/>
      <c r="B122" s="443"/>
      <c r="C122" s="443"/>
      <c r="D122" s="443"/>
      <c r="E122" s="443"/>
      <c r="F122" s="443"/>
      <c r="G122" s="443"/>
      <c r="H122" s="443"/>
      <c r="I122" s="443"/>
      <c r="J122" s="443"/>
      <c r="K122" s="443"/>
      <c r="L122" s="443"/>
      <c r="M122" s="443"/>
      <c r="N122" s="443"/>
      <c r="O122" s="443"/>
      <c r="P122" s="79"/>
    </row>
    <row r="123" spans="1:20" ht="27" customHeight="1" x14ac:dyDescent="0.25">
      <c r="A123" s="443"/>
      <c r="B123" s="443"/>
      <c r="C123" s="443"/>
      <c r="D123" s="443"/>
      <c r="E123" s="443"/>
      <c r="F123" s="443"/>
      <c r="G123" s="443"/>
      <c r="H123" s="443"/>
      <c r="I123" s="443"/>
      <c r="J123" s="443"/>
      <c r="K123" s="443"/>
      <c r="L123" s="443"/>
      <c r="M123" s="443"/>
      <c r="N123" s="443"/>
      <c r="O123" s="443"/>
      <c r="P123" s="79"/>
    </row>
    <row r="124" spans="1:20" ht="27" customHeight="1" x14ac:dyDescent="0.25">
      <c r="A124" s="443"/>
      <c r="B124" s="443"/>
      <c r="C124" s="443"/>
      <c r="D124" s="443"/>
      <c r="E124" s="443"/>
      <c r="F124" s="443"/>
      <c r="G124" s="443"/>
      <c r="H124" s="443"/>
      <c r="I124" s="443"/>
      <c r="J124" s="443"/>
      <c r="K124" s="443"/>
      <c r="L124" s="443"/>
      <c r="M124" s="443"/>
      <c r="N124" s="443"/>
      <c r="O124" s="443"/>
      <c r="P124" s="79"/>
    </row>
    <row r="125" spans="1:20" ht="27" customHeight="1" x14ac:dyDescent="0.25">
      <c r="A125" s="443"/>
      <c r="B125" s="443"/>
      <c r="C125" s="443"/>
      <c r="D125" s="443"/>
      <c r="E125" s="443"/>
      <c r="F125" s="443"/>
      <c r="G125" s="443"/>
      <c r="H125" s="443"/>
      <c r="I125" s="443"/>
      <c r="J125" s="443"/>
      <c r="K125" s="443"/>
      <c r="L125" s="443"/>
      <c r="M125" s="443"/>
      <c r="N125" s="443"/>
      <c r="O125" s="443"/>
      <c r="P125" s="79"/>
    </row>
    <row r="126" spans="1:20" ht="27" customHeight="1" x14ac:dyDescent="0.25">
      <c r="A126" s="443"/>
      <c r="B126" s="443"/>
      <c r="C126" s="443"/>
      <c r="D126" s="443"/>
      <c r="E126" s="443"/>
      <c r="F126" s="443"/>
      <c r="G126" s="443"/>
      <c r="H126" s="443"/>
      <c r="I126" s="443"/>
      <c r="J126" s="443"/>
      <c r="K126" s="443"/>
      <c r="L126" s="443"/>
      <c r="M126" s="443"/>
      <c r="N126" s="443"/>
      <c r="O126" s="443"/>
      <c r="Q126" s="81"/>
      <c r="R126" s="80"/>
      <c r="S126" s="80"/>
      <c r="T126" s="80"/>
    </row>
    <row r="127" spans="1:20" ht="27" customHeight="1" x14ac:dyDescent="0.25">
      <c r="A127" s="443"/>
      <c r="B127" s="443"/>
      <c r="C127" s="443"/>
      <c r="D127" s="443"/>
      <c r="E127" s="443"/>
      <c r="F127" s="443"/>
      <c r="G127" s="443"/>
      <c r="H127" s="443"/>
      <c r="I127" s="443"/>
      <c r="J127" s="443"/>
      <c r="K127" s="443"/>
      <c r="L127" s="443"/>
      <c r="M127" s="443"/>
      <c r="N127" s="443"/>
      <c r="O127" s="443"/>
      <c r="P127" s="79"/>
    </row>
    <row r="128" spans="1:20" ht="27" customHeight="1" x14ac:dyDescent="0.25">
      <c r="A128" s="443"/>
      <c r="B128" s="443"/>
      <c r="C128" s="443"/>
      <c r="D128" s="443"/>
      <c r="E128" s="443"/>
      <c r="F128" s="443"/>
      <c r="G128" s="443"/>
      <c r="H128" s="443"/>
      <c r="I128" s="443"/>
      <c r="J128" s="443"/>
      <c r="K128" s="443"/>
      <c r="L128" s="443"/>
      <c r="M128" s="443"/>
      <c r="N128" s="443"/>
      <c r="O128" s="443"/>
      <c r="P128" s="79"/>
    </row>
    <row r="129" spans="1:20" ht="27" customHeight="1" x14ac:dyDescent="0.25">
      <c r="A129" s="443"/>
      <c r="B129" s="443"/>
      <c r="C129" s="443"/>
      <c r="D129" s="443"/>
      <c r="E129" s="443"/>
      <c r="F129" s="443"/>
      <c r="G129" s="443"/>
      <c r="H129" s="443"/>
      <c r="I129" s="443"/>
      <c r="J129" s="443"/>
      <c r="K129" s="443"/>
      <c r="L129" s="443"/>
      <c r="M129" s="443"/>
      <c r="N129" s="443"/>
      <c r="O129" s="443"/>
      <c r="P129" s="79"/>
    </row>
    <row r="130" spans="1:20" ht="27" customHeight="1" x14ac:dyDescent="0.25">
      <c r="A130" s="443"/>
      <c r="B130" s="443"/>
      <c r="C130" s="443"/>
      <c r="D130" s="443"/>
      <c r="E130" s="443"/>
      <c r="F130" s="443"/>
      <c r="G130" s="443"/>
      <c r="H130" s="443"/>
      <c r="I130" s="443"/>
      <c r="J130" s="443"/>
      <c r="K130" s="443"/>
      <c r="L130" s="443"/>
      <c r="M130" s="443"/>
      <c r="N130" s="443"/>
      <c r="O130" s="443"/>
      <c r="P130" s="79"/>
    </row>
    <row r="131" spans="1:20" ht="27" customHeight="1" x14ac:dyDescent="0.25">
      <c r="A131" s="443"/>
      <c r="B131" s="443"/>
      <c r="C131" s="443"/>
      <c r="D131" s="443"/>
      <c r="E131" s="443"/>
      <c r="F131" s="443"/>
      <c r="G131" s="443"/>
      <c r="H131" s="443"/>
      <c r="I131" s="443"/>
      <c r="J131" s="443"/>
      <c r="K131" s="443"/>
      <c r="L131" s="443"/>
      <c r="M131" s="443"/>
      <c r="N131" s="443"/>
      <c r="O131" s="443"/>
      <c r="Q131" s="81"/>
      <c r="R131" s="80"/>
      <c r="S131" s="80"/>
      <c r="T131" s="80"/>
    </row>
    <row r="132" spans="1:20" ht="27" customHeight="1" x14ac:dyDescent="0.25">
      <c r="A132" s="443"/>
      <c r="B132" s="443"/>
      <c r="C132" s="443"/>
      <c r="D132" s="443"/>
      <c r="E132" s="443"/>
      <c r="F132" s="443"/>
      <c r="G132" s="443"/>
      <c r="H132" s="443"/>
      <c r="I132" s="443"/>
      <c r="J132" s="443"/>
      <c r="K132" s="443"/>
      <c r="L132" s="443"/>
      <c r="M132" s="443"/>
      <c r="N132" s="443"/>
      <c r="O132" s="443"/>
      <c r="P132" s="79"/>
    </row>
    <row r="133" spans="1:20" ht="27" customHeight="1" x14ac:dyDescent="0.25">
      <c r="A133" s="443"/>
      <c r="B133" s="443"/>
      <c r="C133" s="443"/>
      <c r="D133" s="443"/>
      <c r="E133" s="443"/>
      <c r="F133" s="443"/>
      <c r="G133" s="443"/>
      <c r="H133" s="443"/>
      <c r="I133" s="443"/>
      <c r="J133" s="443"/>
      <c r="K133" s="443"/>
      <c r="L133" s="443"/>
      <c r="M133" s="443"/>
      <c r="N133" s="443"/>
      <c r="O133" s="443"/>
      <c r="Q133" s="81"/>
      <c r="R133" s="80"/>
      <c r="S133" s="80"/>
      <c r="T133" s="80"/>
    </row>
    <row r="134" spans="1:20" ht="27" customHeight="1" x14ac:dyDescent="0.25">
      <c r="A134" s="443"/>
      <c r="B134" s="443"/>
      <c r="C134" s="443"/>
      <c r="D134" s="443"/>
      <c r="E134" s="443"/>
      <c r="F134" s="443"/>
      <c r="G134" s="443"/>
      <c r="H134" s="443"/>
      <c r="I134" s="443"/>
      <c r="J134" s="443"/>
      <c r="K134" s="443"/>
      <c r="L134" s="443"/>
      <c r="M134" s="443"/>
      <c r="N134" s="443"/>
      <c r="O134" s="443"/>
      <c r="P134" s="79"/>
    </row>
    <row r="135" spans="1:20" ht="27" customHeight="1" x14ac:dyDescent="0.25">
      <c r="A135" s="443"/>
      <c r="B135" s="443"/>
      <c r="C135" s="443"/>
      <c r="D135" s="443"/>
      <c r="E135" s="443"/>
      <c r="F135" s="443"/>
      <c r="G135" s="443"/>
      <c r="H135" s="443"/>
      <c r="I135" s="443"/>
      <c r="J135" s="443"/>
      <c r="K135" s="443"/>
      <c r="L135" s="443"/>
      <c r="M135" s="443"/>
      <c r="N135" s="443"/>
      <c r="O135" s="443"/>
      <c r="Q135" s="81"/>
      <c r="R135" s="80"/>
      <c r="S135" s="80"/>
      <c r="T135" s="80"/>
    </row>
    <row r="136" spans="1:20" ht="27" customHeight="1" x14ac:dyDescent="0.25">
      <c r="A136" s="443"/>
      <c r="B136" s="443"/>
      <c r="C136" s="443"/>
      <c r="D136" s="443"/>
      <c r="E136" s="443"/>
      <c r="F136" s="443"/>
      <c r="G136" s="443"/>
      <c r="H136" s="443"/>
      <c r="I136" s="443"/>
      <c r="J136" s="443"/>
      <c r="K136" s="443"/>
      <c r="L136" s="443"/>
      <c r="M136" s="443"/>
      <c r="N136" s="443"/>
      <c r="O136" s="443"/>
      <c r="Q136" s="81"/>
      <c r="R136" s="80"/>
      <c r="S136" s="80"/>
      <c r="T136" s="80"/>
    </row>
    <row r="137" spans="1:20" ht="27" customHeight="1" x14ac:dyDescent="0.25">
      <c r="A137" s="443"/>
      <c r="B137" s="443"/>
      <c r="C137" s="443"/>
      <c r="D137" s="443"/>
      <c r="E137" s="443"/>
      <c r="F137" s="443"/>
      <c r="G137" s="443"/>
      <c r="H137" s="443"/>
      <c r="I137" s="443"/>
      <c r="J137" s="443"/>
      <c r="K137" s="443"/>
      <c r="L137" s="443"/>
      <c r="M137" s="443"/>
      <c r="N137" s="443"/>
      <c r="O137" s="443"/>
      <c r="P137" s="79"/>
    </row>
    <row r="138" spans="1:20" ht="27" customHeight="1" x14ac:dyDescent="0.25">
      <c r="A138" s="280"/>
      <c r="B138" s="280"/>
      <c r="C138" s="280"/>
      <c r="D138" s="280"/>
      <c r="E138" s="280"/>
      <c r="F138" s="280"/>
      <c r="G138" s="280"/>
      <c r="H138" s="280"/>
      <c r="I138" s="280"/>
      <c r="J138" s="280"/>
      <c r="K138" s="280"/>
      <c r="L138" s="280"/>
      <c r="M138" s="280"/>
      <c r="N138" s="280"/>
      <c r="O138" s="280"/>
      <c r="Q138" s="81"/>
      <c r="R138" s="80"/>
      <c r="S138" s="80"/>
      <c r="T138" s="80"/>
    </row>
    <row r="139" spans="1:20" s="102" customFormat="1" ht="27" customHeight="1" x14ac:dyDescent="0.25">
      <c r="A139" s="280"/>
      <c r="B139" s="280"/>
      <c r="C139" s="280"/>
      <c r="D139" s="280"/>
      <c r="E139" s="280"/>
      <c r="F139" s="280"/>
      <c r="G139" s="280"/>
      <c r="H139" s="280"/>
      <c r="I139" s="280"/>
      <c r="J139" s="280"/>
      <c r="K139" s="280"/>
      <c r="L139" s="280"/>
      <c r="M139" s="280"/>
      <c r="N139" s="280"/>
      <c r="O139" s="280"/>
      <c r="Q139" s="81"/>
      <c r="R139" s="101"/>
      <c r="S139" s="101"/>
      <c r="T139" s="101"/>
    </row>
    <row r="140" spans="1:20" ht="27" customHeight="1" x14ac:dyDescent="0.25">
      <c r="A140" s="280"/>
      <c r="B140" s="280"/>
      <c r="C140" s="280"/>
      <c r="D140" s="280"/>
      <c r="E140" s="280"/>
      <c r="F140" s="280"/>
      <c r="G140" s="280"/>
      <c r="H140" s="280"/>
      <c r="I140" s="280"/>
      <c r="J140" s="280"/>
      <c r="K140" s="280"/>
      <c r="L140" s="280"/>
      <c r="M140" s="280"/>
      <c r="N140" s="280"/>
      <c r="O140" s="280"/>
      <c r="Q140" s="81"/>
      <c r="R140" s="80"/>
      <c r="S140" s="80"/>
      <c r="T140" s="80"/>
    </row>
    <row r="141" spans="1:20" s="102" customFormat="1" ht="27" customHeight="1" x14ac:dyDescent="0.25">
      <c r="A141" s="280"/>
      <c r="B141" s="280"/>
      <c r="C141" s="280"/>
      <c r="D141" s="280"/>
      <c r="E141" s="280"/>
      <c r="F141" s="280"/>
      <c r="G141" s="280"/>
      <c r="H141" s="280"/>
      <c r="I141" s="280"/>
      <c r="J141" s="280"/>
      <c r="K141" s="280"/>
      <c r="L141" s="280"/>
      <c r="M141" s="280"/>
      <c r="N141" s="280"/>
      <c r="O141" s="280"/>
      <c r="Q141" s="81"/>
      <c r="R141" s="101"/>
      <c r="S141" s="101"/>
      <c r="T141" s="101"/>
    </row>
    <row r="142" spans="1:20" s="102" customFormat="1" ht="27" customHeight="1" x14ac:dyDescent="0.25">
      <c r="A142" s="450"/>
      <c r="B142" s="451"/>
      <c r="C142" s="451"/>
      <c r="D142" s="451"/>
      <c r="E142" s="451"/>
      <c r="F142" s="451"/>
      <c r="G142" s="451"/>
      <c r="H142" s="451"/>
      <c r="I142" s="451"/>
      <c r="J142" s="451"/>
      <c r="K142" s="451"/>
      <c r="L142" s="451"/>
      <c r="M142" s="451"/>
      <c r="N142" s="451"/>
      <c r="O142" s="452"/>
      <c r="P142" s="79"/>
    </row>
    <row r="143" spans="1:20" s="102" customFormat="1" ht="27" customHeight="1" x14ac:dyDescent="0.25">
      <c r="A143" s="450"/>
      <c r="B143" s="451"/>
      <c r="C143" s="451"/>
      <c r="D143" s="451"/>
      <c r="E143" s="451"/>
      <c r="F143" s="451"/>
      <c r="G143" s="451"/>
      <c r="H143" s="451"/>
      <c r="I143" s="451"/>
      <c r="J143" s="451"/>
      <c r="K143" s="451"/>
      <c r="L143" s="451"/>
      <c r="M143" s="451"/>
      <c r="N143" s="451"/>
      <c r="O143" s="452"/>
      <c r="P143" s="79"/>
    </row>
    <row r="144" spans="1:20" ht="27" customHeight="1" x14ac:dyDescent="0.25">
      <c r="A144" s="280"/>
      <c r="B144" s="280"/>
      <c r="C144" s="280"/>
      <c r="D144" s="280"/>
      <c r="E144" s="280"/>
      <c r="F144" s="280"/>
      <c r="G144" s="280"/>
      <c r="H144" s="280"/>
      <c r="I144" s="280"/>
      <c r="J144" s="280"/>
      <c r="K144" s="280"/>
      <c r="L144" s="280"/>
      <c r="M144" s="280"/>
      <c r="N144" s="280"/>
      <c r="O144" s="280"/>
      <c r="Q144" s="81"/>
      <c r="R144" s="80"/>
      <c r="S144" s="80"/>
      <c r="T144" s="80"/>
    </row>
    <row r="145" spans="1:20" ht="27" customHeight="1" x14ac:dyDescent="0.25">
      <c r="A145" s="280"/>
      <c r="B145" s="280"/>
      <c r="C145" s="280"/>
      <c r="D145" s="280"/>
      <c r="E145" s="280"/>
      <c r="F145" s="280"/>
      <c r="G145" s="280"/>
      <c r="H145" s="280"/>
      <c r="I145" s="280"/>
      <c r="J145" s="280"/>
      <c r="K145" s="280"/>
      <c r="L145" s="280"/>
      <c r="M145" s="280"/>
      <c r="N145" s="280"/>
      <c r="O145" s="280"/>
      <c r="Q145" s="81"/>
      <c r="R145" s="80"/>
      <c r="S145" s="80"/>
      <c r="T145" s="80"/>
    </row>
    <row r="146" spans="1:20" ht="27" customHeight="1" x14ac:dyDescent="0.25">
      <c r="A146" s="280"/>
      <c r="B146" s="280"/>
      <c r="C146" s="280"/>
      <c r="D146" s="280"/>
      <c r="E146" s="280"/>
      <c r="F146" s="280"/>
      <c r="G146" s="280"/>
      <c r="H146" s="280"/>
      <c r="I146" s="280"/>
      <c r="J146" s="280"/>
      <c r="K146" s="280"/>
      <c r="L146" s="280"/>
      <c r="M146" s="280"/>
      <c r="N146" s="280"/>
      <c r="O146" s="280"/>
      <c r="P146" s="79"/>
    </row>
    <row r="147" spans="1:20" x14ac:dyDescent="0.25">
      <c r="A147" s="310"/>
      <c r="B147" s="310"/>
      <c r="C147" s="310"/>
      <c r="D147" s="310"/>
      <c r="E147" s="310"/>
      <c r="F147" s="310"/>
      <c r="G147" s="310"/>
      <c r="H147" s="310"/>
      <c r="I147" s="310"/>
      <c r="J147" s="310"/>
      <c r="K147" s="310"/>
      <c r="L147" s="310"/>
      <c r="M147" s="310"/>
      <c r="N147" s="310"/>
      <c r="O147" s="310"/>
    </row>
    <row r="148" spans="1:20" ht="27" customHeight="1" thickBot="1" x14ac:dyDescent="0.35">
      <c r="A148" s="449" t="s">
        <v>262</v>
      </c>
      <c r="B148" s="449"/>
      <c r="C148" s="449"/>
      <c r="D148" s="449"/>
      <c r="E148" s="449"/>
      <c r="F148" s="449"/>
      <c r="G148" s="449"/>
      <c r="H148" s="449"/>
      <c r="I148" s="449"/>
      <c r="J148" s="77">
        <f>L6+L12+L14+L20+L23+L26+L29+L32+L35+L39+L42+L46+L51+L55+L57+L59+L61+L64+L68+L70+L73+L76+L78+L79+L82+L84+L86+L89+L91+L96+L99+L103+L105+L108+L111+L115</f>
        <v>0</v>
      </c>
      <c r="K148" s="311"/>
      <c r="L148" s="311"/>
      <c r="M148" s="311"/>
      <c r="N148" s="311"/>
      <c r="O148" s="311"/>
    </row>
    <row r="149" spans="1:20" ht="27" customHeight="1" thickBot="1" x14ac:dyDescent="0.35">
      <c r="A149" s="256" t="s">
        <v>239</v>
      </c>
      <c r="B149" s="256"/>
      <c r="C149" s="256"/>
      <c r="D149" s="91" t="s">
        <v>236</v>
      </c>
      <c r="E149" s="77">
        <v>180</v>
      </c>
      <c r="F149" s="90"/>
      <c r="G149" s="276" t="s">
        <v>240</v>
      </c>
      <c r="H149" s="276"/>
      <c r="I149" s="305"/>
      <c r="J149" s="305"/>
      <c r="K149" s="305"/>
      <c r="L149" s="305"/>
      <c r="M149" s="305"/>
      <c r="N149" s="305"/>
      <c r="O149" s="305"/>
    </row>
    <row r="150" spans="1:20" ht="27" customHeight="1" thickBot="1" x14ac:dyDescent="0.35">
      <c r="A150" s="256" t="s">
        <v>237</v>
      </c>
      <c r="B150" s="256"/>
      <c r="C150" s="256"/>
      <c r="D150" s="91" t="s">
        <v>236</v>
      </c>
      <c r="E150" s="78">
        <f>N14+N20+N23+N26+N29+N32+N35+N39+N42+N46+N51+N55+N57+N59+N61+N64+N68+N70+N73+N76+N78+N79+N82+N84+N86+N89+N91+N96+N99+N103+N105+N108+N111+N115</f>
        <v>0</v>
      </c>
      <c r="F150" s="90"/>
      <c r="G150" s="276" t="s">
        <v>244</v>
      </c>
      <c r="H150" s="276"/>
      <c r="I150" s="276"/>
      <c r="J150" s="276"/>
      <c r="K150" s="276"/>
      <c r="L150" s="276"/>
      <c r="M150" s="276"/>
      <c r="N150" s="276"/>
      <c r="O150" s="276"/>
    </row>
    <row r="151" spans="1:20" ht="27" customHeight="1" thickBot="1" x14ac:dyDescent="0.35">
      <c r="A151" s="256" t="s">
        <v>241</v>
      </c>
      <c r="B151" s="256"/>
      <c r="C151" s="256"/>
      <c r="D151" s="91" t="s">
        <v>236</v>
      </c>
      <c r="E151" s="78">
        <f>E149-E150</f>
        <v>180</v>
      </c>
      <c r="F151" s="90"/>
      <c r="G151" s="276" t="s">
        <v>245</v>
      </c>
      <c r="H151" s="276"/>
      <c r="I151" s="276"/>
      <c r="J151" s="276"/>
      <c r="K151" s="276"/>
      <c r="L151" s="276"/>
      <c r="M151" s="276"/>
      <c r="N151" s="276"/>
      <c r="O151" s="276"/>
    </row>
    <row r="152" spans="1:20" ht="36" customHeight="1" x14ac:dyDescent="0.3">
      <c r="A152" s="285" t="s">
        <v>242</v>
      </c>
      <c r="B152" s="285"/>
      <c r="C152" s="285"/>
      <c r="D152" s="311"/>
      <c r="E152" s="311"/>
      <c r="F152" s="311"/>
      <c r="G152" s="281" t="s">
        <v>246</v>
      </c>
      <c r="H152" s="281"/>
      <c r="I152" s="281"/>
      <c r="J152" s="281"/>
      <c r="K152" s="281"/>
      <c r="L152" s="281"/>
      <c r="M152" s="281"/>
      <c r="N152" s="281"/>
      <c r="O152" s="281"/>
    </row>
    <row r="153" spans="1:20" ht="27" customHeight="1" thickBot="1" x14ac:dyDescent="0.35">
      <c r="A153" s="256" t="s">
        <v>243</v>
      </c>
      <c r="B153" s="256"/>
      <c r="C153" s="256"/>
      <c r="D153" s="91" t="s">
        <v>236</v>
      </c>
      <c r="E153" s="77">
        <f>E151*0.8</f>
        <v>144</v>
      </c>
      <c r="F153" s="90"/>
      <c r="G153" s="276"/>
      <c r="H153" s="276"/>
      <c r="I153" s="276"/>
      <c r="J153" s="276"/>
      <c r="K153" s="276"/>
      <c r="L153" s="276"/>
      <c r="M153" s="276"/>
      <c r="N153" s="276"/>
      <c r="O153" s="276"/>
    </row>
    <row r="154" spans="1:20" ht="15" customHeight="1" x14ac:dyDescent="0.25">
      <c r="A154" s="310"/>
      <c r="B154" s="310"/>
      <c r="C154" s="310"/>
      <c r="D154" s="310"/>
      <c r="E154" s="310"/>
      <c r="F154" s="310"/>
      <c r="G154" s="310"/>
      <c r="H154" s="310"/>
      <c r="I154" s="310"/>
      <c r="J154" s="310"/>
      <c r="K154" s="310"/>
      <c r="L154" s="310"/>
      <c r="M154" s="310"/>
      <c r="N154" s="310"/>
      <c r="O154" s="310"/>
    </row>
    <row r="155" spans="1:20" ht="18" customHeight="1" x14ac:dyDescent="0.3">
      <c r="A155" s="310"/>
      <c r="B155" s="310"/>
      <c r="C155" s="312"/>
      <c r="D155" s="75"/>
      <c r="E155" s="306" t="s">
        <v>342</v>
      </c>
      <c r="F155" s="307"/>
      <c r="G155" s="308"/>
      <c r="H155" s="75"/>
      <c r="I155" s="135" t="s">
        <v>341</v>
      </c>
      <c r="J155" s="128"/>
      <c r="K155" s="128"/>
      <c r="L155" s="127"/>
      <c r="M155" s="127" t="s">
        <v>247</v>
      </c>
      <c r="N155" s="127"/>
      <c r="O155" s="127"/>
    </row>
    <row r="156" spans="1:20" s="73" customFormat="1" ht="15" customHeight="1" x14ac:dyDescent="0.25">
      <c r="A156" s="445"/>
      <c r="B156" s="445"/>
      <c r="C156" s="445"/>
      <c r="D156" s="445"/>
      <c r="E156" s="445"/>
      <c r="F156" s="445"/>
      <c r="G156" s="445"/>
      <c r="H156" s="445"/>
      <c r="I156" s="445"/>
      <c r="J156" s="445"/>
      <c r="K156" s="445"/>
      <c r="L156" s="445"/>
      <c r="M156" s="445"/>
      <c r="N156" s="445"/>
      <c r="O156" s="445"/>
    </row>
    <row r="157" spans="1:20" s="73" customFormat="1" ht="17.399999999999999" x14ac:dyDescent="0.3">
      <c r="A157" s="448" t="s">
        <v>194</v>
      </c>
      <c r="B157" s="448"/>
      <c r="C157" s="448"/>
      <c r="D157" s="448"/>
      <c r="E157" s="448"/>
      <c r="F157" s="448"/>
      <c r="G157" s="448"/>
      <c r="H157" s="448"/>
      <c r="I157" s="448"/>
      <c r="J157" s="448"/>
      <c r="K157" s="448"/>
      <c r="L157" s="448"/>
      <c r="M157" s="448"/>
      <c r="N157" s="448"/>
      <c r="O157" s="448"/>
    </row>
    <row r="158" spans="1:20" s="73" customFormat="1" ht="17.399999999999999" x14ac:dyDescent="0.3">
      <c r="A158" s="448" t="s">
        <v>195</v>
      </c>
      <c r="B158" s="448"/>
      <c r="C158" s="448"/>
      <c r="D158" s="448"/>
      <c r="E158" s="448"/>
      <c r="F158" s="448"/>
      <c r="G158" s="448"/>
      <c r="H158" s="448"/>
      <c r="I158" s="448"/>
      <c r="J158" s="448"/>
      <c r="K158" s="448"/>
      <c r="L158" s="448"/>
      <c r="M158" s="448"/>
      <c r="N158" s="448"/>
      <c r="O158" s="448"/>
    </row>
    <row r="159" spans="1:20" s="73" customFormat="1" ht="15" customHeight="1" x14ac:dyDescent="0.25">
      <c r="A159" s="445"/>
      <c r="B159" s="445"/>
      <c r="C159" s="445"/>
      <c r="D159" s="445"/>
      <c r="E159" s="445"/>
      <c r="F159" s="445"/>
      <c r="G159" s="445"/>
      <c r="H159" s="445"/>
      <c r="I159" s="445"/>
      <c r="J159" s="445"/>
      <c r="K159" s="445"/>
      <c r="L159" s="445"/>
      <c r="M159" s="445"/>
      <c r="N159" s="445"/>
      <c r="O159" s="445"/>
    </row>
    <row r="160" spans="1:20" s="73" customFormat="1" ht="39" customHeight="1" x14ac:dyDescent="0.3">
      <c r="A160" s="446" t="s">
        <v>263</v>
      </c>
      <c r="B160" s="447"/>
      <c r="C160" s="447"/>
      <c r="D160" s="447"/>
      <c r="E160" s="447"/>
      <c r="F160" s="447"/>
      <c r="G160" s="447"/>
      <c r="H160" s="447"/>
      <c r="I160" s="447"/>
      <c r="J160" s="447"/>
      <c r="K160" s="447"/>
      <c r="L160" s="447"/>
      <c r="M160" s="447"/>
      <c r="N160" s="447"/>
      <c r="O160" s="447"/>
    </row>
    <row r="161" spans="1:15" s="73" customFormat="1" ht="17.399999999999999" x14ac:dyDescent="0.3">
      <c r="A161" s="444"/>
      <c r="B161" s="445"/>
      <c r="C161" s="445"/>
      <c r="D161" s="445"/>
      <c r="E161" s="445"/>
      <c r="F161" s="445"/>
      <c r="G161" s="445"/>
      <c r="H161" s="445"/>
      <c r="I161" s="445"/>
      <c r="J161" s="445"/>
      <c r="K161" s="445"/>
      <c r="L161" s="445"/>
      <c r="M161" s="445"/>
      <c r="N161" s="445"/>
      <c r="O161" s="445"/>
    </row>
    <row r="162" spans="1:15" s="73" customFormat="1" ht="66" customHeight="1" x14ac:dyDescent="0.25">
      <c r="A162" s="501"/>
      <c r="B162" s="501"/>
      <c r="C162" s="501"/>
      <c r="D162" s="501"/>
      <c r="E162" s="501"/>
      <c r="F162" s="501"/>
      <c r="G162" s="501"/>
      <c r="H162" s="501"/>
      <c r="I162" s="501"/>
      <c r="J162" s="501"/>
      <c r="K162" s="501"/>
      <c r="L162" s="501"/>
      <c r="M162" s="501"/>
      <c r="N162" s="501"/>
      <c r="O162" s="501"/>
    </row>
    <row r="163" spans="1:15" s="73" customFormat="1" x14ac:dyDescent="0.25">
      <c r="A163" s="501"/>
      <c r="B163" s="501"/>
      <c r="C163" s="501"/>
      <c r="D163" s="501"/>
      <c r="E163" s="501"/>
      <c r="F163" s="501"/>
      <c r="G163" s="501"/>
      <c r="H163" s="501"/>
      <c r="I163" s="501"/>
      <c r="J163" s="501"/>
      <c r="K163" s="501"/>
      <c r="L163" s="501"/>
      <c r="M163" s="501"/>
      <c r="N163" s="501"/>
      <c r="O163" s="501"/>
    </row>
    <row r="164" spans="1:15" s="73" customFormat="1" x14ac:dyDescent="0.25">
      <c r="A164" s="501"/>
      <c r="B164" s="501"/>
      <c r="C164" s="501"/>
      <c r="D164" s="501"/>
      <c r="E164" s="501"/>
      <c r="F164" s="501"/>
      <c r="G164" s="501"/>
      <c r="H164" s="501"/>
      <c r="I164" s="501"/>
      <c r="J164" s="501"/>
      <c r="K164" s="501"/>
      <c r="L164" s="501"/>
      <c r="M164" s="501"/>
      <c r="N164" s="501"/>
      <c r="O164" s="501"/>
    </row>
    <row r="165" spans="1:15" s="73" customFormat="1" x14ac:dyDescent="0.25">
      <c r="A165" s="501"/>
      <c r="B165" s="501"/>
      <c r="C165" s="501"/>
      <c r="D165" s="501"/>
      <c r="E165" s="501"/>
      <c r="F165" s="501"/>
      <c r="G165" s="501"/>
      <c r="H165" s="501"/>
      <c r="I165" s="501"/>
      <c r="J165" s="501"/>
      <c r="K165" s="501"/>
      <c r="L165" s="501"/>
      <c r="M165" s="501"/>
      <c r="N165" s="501"/>
      <c r="O165" s="501"/>
    </row>
    <row r="166" spans="1:15" s="73" customFormat="1" x14ac:dyDescent="0.25">
      <c r="A166" s="501"/>
      <c r="B166" s="501"/>
      <c r="C166" s="501"/>
      <c r="D166" s="501"/>
      <c r="E166" s="501"/>
      <c r="F166" s="501"/>
      <c r="G166" s="501"/>
      <c r="H166" s="501"/>
      <c r="I166" s="501"/>
      <c r="J166" s="501"/>
      <c r="K166" s="501"/>
      <c r="L166" s="501"/>
      <c r="M166" s="501"/>
      <c r="N166" s="501"/>
      <c r="O166" s="501"/>
    </row>
    <row r="167" spans="1:15" s="73" customFormat="1" x14ac:dyDescent="0.25">
      <c r="A167" s="501"/>
      <c r="B167" s="501"/>
      <c r="C167" s="501"/>
      <c r="D167" s="501"/>
      <c r="E167" s="501"/>
      <c r="F167" s="501"/>
      <c r="G167" s="501"/>
      <c r="H167" s="501"/>
      <c r="I167" s="501"/>
      <c r="J167" s="501"/>
      <c r="K167" s="501"/>
      <c r="L167" s="501"/>
      <c r="M167" s="501"/>
      <c r="N167" s="501"/>
      <c r="O167" s="501"/>
    </row>
    <row r="168" spans="1:15" s="73" customFormat="1" x14ac:dyDescent="0.25">
      <c r="A168" s="501"/>
      <c r="B168" s="501"/>
      <c r="C168" s="501"/>
      <c r="D168" s="501"/>
      <c r="E168" s="501"/>
      <c r="F168" s="501"/>
      <c r="G168" s="501"/>
      <c r="H168" s="501"/>
      <c r="I168" s="501"/>
      <c r="J168" s="501"/>
      <c r="K168" s="501"/>
      <c r="L168" s="501"/>
      <c r="M168" s="501"/>
      <c r="N168" s="501"/>
      <c r="O168" s="501"/>
    </row>
    <row r="169" spans="1:15" s="73" customFormat="1" x14ac:dyDescent="0.25">
      <c r="A169" s="501"/>
      <c r="B169" s="501"/>
      <c r="C169" s="501"/>
      <c r="D169" s="501"/>
      <c r="E169" s="501"/>
      <c r="F169" s="501"/>
      <c r="G169" s="501"/>
      <c r="H169" s="501"/>
      <c r="I169" s="501"/>
      <c r="J169" s="501"/>
      <c r="K169" s="501"/>
      <c r="L169" s="501"/>
      <c r="M169" s="501"/>
      <c r="N169" s="501"/>
      <c r="O169" s="501"/>
    </row>
    <row r="170" spans="1:15" s="73" customFormat="1" x14ac:dyDescent="0.25">
      <c r="A170" s="74"/>
      <c r="B170" s="74"/>
      <c r="C170" s="74"/>
      <c r="D170" s="74"/>
      <c r="E170" s="74"/>
      <c r="F170" s="74"/>
      <c r="G170" s="74"/>
      <c r="H170" s="74"/>
      <c r="I170" s="74"/>
      <c r="J170" s="74"/>
      <c r="K170" s="74"/>
      <c r="L170" s="74"/>
      <c r="M170" s="74"/>
      <c r="N170" s="74"/>
      <c r="O170" s="74"/>
    </row>
    <row r="171" spans="1:15" s="73" customFormat="1" x14ac:dyDescent="0.25"/>
    <row r="172" spans="1:15" s="73" customFormat="1" x14ac:dyDescent="0.25"/>
    <row r="173" spans="1:15" s="73" customFormat="1" x14ac:dyDescent="0.25"/>
    <row r="174" spans="1:15" s="73" customFormat="1" x14ac:dyDescent="0.25"/>
    <row r="175" spans="1:15" s="73" customFormat="1" x14ac:dyDescent="0.25"/>
    <row r="176" spans="1:15" s="73" customFormat="1" x14ac:dyDescent="0.25"/>
    <row r="177" s="73" customFormat="1" x14ac:dyDescent="0.25"/>
    <row r="178" s="73" customFormat="1" x14ac:dyDescent="0.25"/>
    <row r="179" s="73" customFormat="1" x14ac:dyDescent="0.25"/>
    <row r="180" s="73" customFormat="1" x14ac:dyDescent="0.25"/>
    <row r="181" s="73" customFormat="1" x14ac:dyDescent="0.25"/>
    <row r="182" s="73" customFormat="1" x14ac:dyDescent="0.25"/>
    <row r="183" s="73" customFormat="1" x14ac:dyDescent="0.25"/>
    <row r="184" s="73" customFormat="1" x14ac:dyDescent="0.25"/>
    <row r="185" s="73" customFormat="1" x14ac:dyDescent="0.25"/>
    <row r="186" s="73" customFormat="1" x14ac:dyDescent="0.25"/>
    <row r="187" s="73" customFormat="1" x14ac:dyDescent="0.25"/>
    <row r="188" s="73" customFormat="1" x14ac:dyDescent="0.25"/>
    <row r="189" s="73" customFormat="1" x14ac:dyDescent="0.25"/>
    <row r="190" s="73" customFormat="1" x14ac:dyDescent="0.25"/>
    <row r="191" s="73" customFormat="1" x14ac:dyDescent="0.25"/>
    <row r="192" s="73" customFormat="1" x14ac:dyDescent="0.25"/>
    <row r="193" s="73" customFormat="1" x14ac:dyDescent="0.25"/>
    <row r="194" s="73" customFormat="1" x14ac:dyDescent="0.25"/>
    <row r="195" s="73" customFormat="1" x14ac:dyDescent="0.25"/>
    <row r="196" s="73" customFormat="1" x14ac:dyDescent="0.25"/>
    <row r="197" s="73" customFormat="1" x14ac:dyDescent="0.25"/>
    <row r="198" s="73" customFormat="1" x14ac:dyDescent="0.25"/>
    <row r="199" s="73" customFormat="1" x14ac:dyDescent="0.25"/>
    <row r="200" s="73" customFormat="1" x14ac:dyDescent="0.25"/>
    <row r="201" s="73" customFormat="1" x14ac:dyDescent="0.25"/>
    <row r="202" s="73" customFormat="1" x14ac:dyDescent="0.25"/>
    <row r="203" s="73" customFormat="1" x14ac:dyDescent="0.25"/>
    <row r="204" s="73" customFormat="1" x14ac:dyDescent="0.25"/>
    <row r="205" s="73" customFormat="1" x14ac:dyDescent="0.25"/>
    <row r="206" s="73" customFormat="1" x14ac:dyDescent="0.25"/>
    <row r="207" s="73" customFormat="1" x14ac:dyDescent="0.25"/>
    <row r="208" s="73" customFormat="1" x14ac:dyDescent="0.25"/>
    <row r="209" s="73" customFormat="1" x14ac:dyDescent="0.25"/>
    <row r="210" s="73" customFormat="1" x14ac:dyDescent="0.25"/>
    <row r="211" s="73" customFormat="1" x14ac:dyDescent="0.25"/>
    <row r="212" s="73" customFormat="1" x14ac:dyDescent="0.25"/>
    <row r="213" s="73" customFormat="1" x14ac:dyDescent="0.25"/>
    <row r="214" s="73" customFormat="1" x14ac:dyDescent="0.25"/>
    <row r="215" s="73" customFormat="1" x14ac:dyDescent="0.25"/>
    <row r="216" s="73" customFormat="1" x14ac:dyDescent="0.25"/>
    <row r="217" s="73" customFormat="1" x14ac:dyDescent="0.25"/>
    <row r="218" s="73" customFormat="1" x14ac:dyDescent="0.25"/>
    <row r="219" s="73" customFormat="1" x14ac:dyDescent="0.25"/>
    <row r="220" s="73" customFormat="1" x14ac:dyDescent="0.25"/>
    <row r="221" s="73" customFormat="1" x14ac:dyDescent="0.25"/>
    <row r="222" s="73" customFormat="1" x14ac:dyDescent="0.25"/>
    <row r="223" s="73" customFormat="1" x14ac:dyDescent="0.25"/>
    <row r="224" s="73" customFormat="1" x14ac:dyDescent="0.25"/>
    <row r="225" s="73" customFormat="1" x14ac:dyDescent="0.25"/>
    <row r="226" s="73" customFormat="1" x14ac:dyDescent="0.25"/>
    <row r="227" s="73" customFormat="1" x14ac:dyDescent="0.25"/>
    <row r="228" s="73" customFormat="1" x14ac:dyDescent="0.25"/>
    <row r="229" s="73" customFormat="1" x14ac:dyDescent="0.25"/>
    <row r="230" s="73" customFormat="1" x14ac:dyDescent="0.25"/>
    <row r="231" s="73" customFormat="1" x14ac:dyDescent="0.25"/>
    <row r="232" s="73" customFormat="1" x14ac:dyDescent="0.25"/>
    <row r="233" s="73" customFormat="1" x14ac:dyDescent="0.25"/>
    <row r="234" s="73" customFormat="1" x14ac:dyDescent="0.25"/>
    <row r="235" s="73" customFormat="1" x14ac:dyDescent="0.25"/>
    <row r="236" s="73" customFormat="1" x14ac:dyDescent="0.25"/>
    <row r="237" s="73" customFormat="1" x14ac:dyDescent="0.25"/>
    <row r="238" s="73" customFormat="1" x14ac:dyDescent="0.25"/>
    <row r="239" s="73" customFormat="1" x14ac:dyDescent="0.25"/>
    <row r="240" s="73" customFormat="1" x14ac:dyDescent="0.25"/>
    <row r="241" s="73" customFormat="1" x14ac:dyDescent="0.25"/>
    <row r="242" s="73" customFormat="1" x14ac:dyDescent="0.25"/>
    <row r="243" s="73" customFormat="1" x14ac:dyDescent="0.25"/>
    <row r="244" s="73" customFormat="1" x14ac:dyDescent="0.25"/>
    <row r="245" s="73" customFormat="1" x14ac:dyDescent="0.25"/>
    <row r="246" s="73" customFormat="1" x14ac:dyDescent="0.25"/>
    <row r="247" s="73" customFormat="1" x14ac:dyDescent="0.25"/>
    <row r="248" s="73" customFormat="1" x14ac:dyDescent="0.25"/>
    <row r="249" s="73" customFormat="1" x14ac:dyDescent="0.25"/>
    <row r="250" s="73" customFormat="1" x14ac:dyDescent="0.25"/>
    <row r="251" s="73" customFormat="1" x14ac:dyDescent="0.25"/>
    <row r="252" s="73" customFormat="1" x14ac:dyDescent="0.25"/>
    <row r="253" s="73" customFormat="1" x14ac:dyDescent="0.25"/>
    <row r="254" s="73" customFormat="1" x14ac:dyDescent="0.25"/>
    <row r="255" s="73" customFormat="1" x14ac:dyDescent="0.25"/>
    <row r="256" s="73" customFormat="1" x14ac:dyDescent="0.25"/>
    <row r="257" s="73" customFormat="1" x14ac:dyDescent="0.25"/>
    <row r="258" s="73" customFormat="1" x14ac:dyDescent="0.25"/>
    <row r="259" s="73" customFormat="1" x14ac:dyDescent="0.25"/>
    <row r="260" s="73" customFormat="1" x14ac:dyDescent="0.25"/>
    <row r="261" s="73" customFormat="1" x14ac:dyDescent="0.25"/>
    <row r="262" s="73" customFormat="1" x14ac:dyDescent="0.25"/>
    <row r="263" s="73" customFormat="1" x14ac:dyDescent="0.25"/>
    <row r="264" s="73" customFormat="1" x14ac:dyDescent="0.25"/>
    <row r="265" s="73" customFormat="1" x14ac:dyDescent="0.25"/>
    <row r="266" s="73" customFormat="1" x14ac:dyDescent="0.25"/>
    <row r="267" s="73" customFormat="1" x14ac:dyDescent="0.25"/>
    <row r="268" s="73" customFormat="1" x14ac:dyDescent="0.25"/>
    <row r="269" s="73" customFormat="1" x14ac:dyDescent="0.25"/>
    <row r="270" s="73" customFormat="1" x14ac:dyDescent="0.25"/>
    <row r="271" s="73" customFormat="1" x14ac:dyDescent="0.25"/>
    <row r="272" s="73" customFormat="1" x14ac:dyDescent="0.25"/>
    <row r="273" s="73" customFormat="1" x14ac:dyDescent="0.25"/>
    <row r="274" s="73" customFormat="1" x14ac:dyDescent="0.25"/>
    <row r="275" s="73" customFormat="1" x14ac:dyDescent="0.25"/>
    <row r="276" s="73" customFormat="1" x14ac:dyDescent="0.25"/>
    <row r="277" s="73" customFormat="1" x14ac:dyDescent="0.25"/>
    <row r="278" s="73" customFormat="1" x14ac:dyDescent="0.25"/>
    <row r="279" s="73" customFormat="1" x14ac:dyDescent="0.25"/>
    <row r="280" s="73" customFormat="1" x14ac:dyDescent="0.25"/>
    <row r="281" s="73" customFormat="1" x14ac:dyDescent="0.25"/>
    <row r="282" s="73" customFormat="1" x14ac:dyDescent="0.25"/>
    <row r="283" s="73" customFormat="1" x14ac:dyDescent="0.25"/>
    <row r="284" s="73" customFormat="1" x14ac:dyDescent="0.25"/>
    <row r="285" s="73" customFormat="1" x14ac:dyDescent="0.25"/>
    <row r="286" s="73" customFormat="1" x14ac:dyDescent="0.25"/>
    <row r="287" s="73" customFormat="1" x14ac:dyDescent="0.25"/>
    <row r="288" s="73" customFormat="1" x14ac:dyDescent="0.25"/>
    <row r="289" s="73" customFormat="1" x14ac:dyDescent="0.25"/>
    <row r="290" s="73" customFormat="1" x14ac:dyDescent="0.25"/>
    <row r="291" s="73" customFormat="1" x14ac:dyDescent="0.25"/>
    <row r="292" s="73" customFormat="1" x14ac:dyDescent="0.25"/>
    <row r="293" s="73" customFormat="1" x14ac:dyDescent="0.25"/>
    <row r="294" s="73" customFormat="1" x14ac:dyDescent="0.25"/>
    <row r="295" s="73" customFormat="1" x14ac:dyDescent="0.25"/>
    <row r="296" s="73" customFormat="1" x14ac:dyDescent="0.25"/>
    <row r="297" s="73" customFormat="1" x14ac:dyDescent="0.25"/>
    <row r="298" s="73" customFormat="1" x14ac:dyDescent="0.25"/>
    <row r="299" s="73" customFormat="1" x14ac:dyDescent="0.25"/>
    <row r="300" s="73" customFormat="1" x14ac:dyDescent="0.25"/>
    <row r="301" s="73" customFormat="1" x14ac:dyDescent="0.25"/>
    <row r="302" s="73" customFormat="1" x14ac:dyDescent="0.25"/>
    <row r="303" s="73" customFormat="1" x14ac:dyDescent="0.25"/>
    <row r="304" s="73" customFormat="1" x14ac:dyDescent="0.25"/>
    <row r="305" s="73" customFormat="1" x14ac:dyDescent="0.25"/>
    <row r="306" s="73" customFormat="1" x14ac:dyDescent="0.25"/>
    <row r="307" s="73" customFormat="1" x14ac:dyDescent="0.25"/>
    <row r="308" s="73" customFormat="1" x14ac:dyDescent="0.25"/>
    <row r="309" s="73" customFormat="1" x14ac:dyDescent="0.25"/>
    <row r="310" s="73" customFormat="1" x14ac:dyDescent="0.25"/>
    <row r="311" s="73" customFormat="1" x14ac:dyDescent="0.25"/>
    <row r="312" s="73" customFormat="1" x14ac:dyDescent="0.25"/>
    <row r="313" s="73" customFormat="1" x14ac:dyDescent="0.25"/>
    <row r="314" s="73" customFormat="1" x14ac:dyDescent="0.25"/>
    <row r="315" s="73" customFormat="1" x14ac:dyDescent="0.25"/>
    <row r="316" s="73" customFormat="1" x14ac:dyDescent="0.25"/>
    <row r="317" s="73" customFormat="1" x14ac:dyDescent="0.25"/>
    <row r="318" s="73" customFormat="1" x14ac:dyDescent="0.25"/>
    <row r="319" s="73" customFormat="1" x14ac:dyDescent="0.25"/>
    <row r="320" s="73" customFormat="1" x14ac:dyDescent="0.25"/>
    <row r="321" s="73" customFormat="1" x14ac:dyDescent="0.25"/>
    <row r="322" s="73" customFormat="1" x14ac:dyDescent="0.25"/>
    <row r="323" s="73" customFormat="1" x14ac:dyDescent="0.25"/>
    <row r="324" s="73" customFormat="1" x14ac:dyDescent="0.25"/>
    <row r="325" s="73" customFormat="1" x14ac:dyDescent="0.25"/>
    <row r="326" s="73" customFormat="1" x14ac:dyDescent="0.25"/>
    <row r="327" s="73" customFormat="1" x14ac:dyDescent="0.25"/>
    <row r="328" s="73" customFormat="1" x14ac:dyDescent="0.25"/>
    <row r="329" s="73" customFormat="1" x14ac:dyDescent="0.25"/>
    <row r="330" s="73" customFormat="1" x14ac:dyDescent="0.25"/>
    <row r="331" s="73" customFormat="1" x14ac:dyDescent="0.25"/>
    <row r="332" s="73" customFormat="1" x14ac:dyDescent="0.25"/>
    <row r="333" s="73" customFormat="1" x14ac:dyDescent="0.25"/>
    <row r="334" s="73" customFormat="1" x14ac:dyDescent="0.25"/>
    <row r="335" s="73" customFormat="1" x14ac:dyDescent="0.25"/>
    <row r="336" s="73" customFormat="1" x14ac:dyDescent="0.25"/>
    <row r="337" s="73" customFormat="1" x14ac:dyDescent="0.25"/>
    <row r="338" s="73" customFormat="1" x14ac:dyDescent="0.25"/>
    <row r="339" s="73" customFormat="1" x14ac:dyDescent="0.25"/>
    <row r="340" s="73" customFormat="1" x14ac:dyDescent="0.25"/>
    <row r="341" s="73" customFormat="1" x14ac:dyDescent="0.25"/>
    <row r="342" s="73" customFormat="1" x14ac:dyDescent="0.25"/>
    <row r="343" s="73" customFormat="1" x14ac:dyDescent="0.25"/>
    <row r="344" s="73" customFormat="1" x14ac:dyDescent="0.25"/>
    <row r="345" s="73" customFormat="1" x14ac:dyDescent="0.25"/>
    <row r="346" s="73" customFormat="1" x14ac:dyDescent="0.25"/>
    <row r="347" s="73" customFormat="1" x14ac:dyDescent="0.25"/>
    <row r="348" s="73" customFormat="1" x14ac:dyDescent="0.25"/>
    <row r="349" s="73" customFormat="1" x14ac:dyDescent="0.25"/>
    <row r="350" s="73" customFormat="1" x14ac:dyDescent="0.25"/>
    <row r="351" s="73" customFormat="1" x14ac:dyDescent="0.25"/>
    <row r="352" s="73" customFormat="1" x14ac:dyDescent="0.25"/>
    <row r="353" s="73" customFormat="1" x14ac:dyDescent="0.25"/>
    <row r="354" s="73" customFormat="1" x14ac:dyDescent="0.25"/>
    <row r="355" s="73" customFormat="1" x14ac:dyDescent="0.25"/>
    <row r="356" s="73" customFormat="1" x14ac:dyDescent="0.25"/>
    <row r="357" s="73" customFormat="1" x14ac:dyDescent="0.25"/>
    <row r="358" s="73" customFormat="1" x14ac:dyDescent="0.25"/>
    <row r="359" s="73" customFormat="1" x14ac:dyDescent="0.25"/>
    <row r="360" s="73" customFormat="1" x14ac:dyDescent="0.25"/>
    <row r="361" s="73" customFormat="1" x14ac:dyDescent="0.25"/>
    <row r="362" s="73" customFormat="1" x14ac:dyDescent="0.25"/>
    <row r="363" s="73" customFormat="1" x14ac:dyDescent="0.25"/>
    <row r="364" s="73" customFormat="1" x14ac:dyDescent="0.25"/>
    <row r="365" s="73" customFormat="1" x14ac:dyDescent="0.25"/>
    <row r="366" s="73" customFormat="1" x14ac:dyDescent="0.25"/>
    <row r="367" s="73" customFormat="1" x14ac:dyDescent="0.25"/>
    <row r="368" s="73" customFormat="1" x14ac:dyDescent="0.25"/>
    <row r="369" s="73" customFormat="1" x14ac:dyDescent="0.25"/>
    <row r="370" s="73" customFormat="1" x14ac:dyDescent="0.25"/>
    <row r="371" s="73" customFormat="1" x14ac:dyDescent="0.25"/>
    <row r="372" s="73" customFormat="1" x14ac:dyDescent="0.25"/>
    <row r="373" s="73" customFormat="1" x14ac:dyDescent="0.25"/>
    <row r="374" s="73" customFormat="1" x14ac:dyDescent="0.25"/>
    <row r="375" s="73" customFormat="1" x14ac:dyDescent="0.25"/>
    <row r="376" s="73" customFormat="1" x14ac:dyDescent="0.25"/>
    <row r="377" s="73" customFormat="1" x14ac:dyDescent="0.25"/>
    <row r="378" s="73" customFormat="1" x14ac:dyDescent="0.25"/>
    <row r="379" s="73" customFormat="1" x14ac:dyDescent="0.25"/>
    <row r="380" s="73" customFormat="1" x14ac:dyDescent="0.25"/>
    <row r="381" s="73" customFormat="1" x14ac:dyDescent="0.25"/>
    <row r="382" s="73" customFormat="1" x14ac:dyDescent="0.25"/>
    <row r="383" s="73" customFormat="1" x14ac:dyDescent="0.25"/>
    <row r="384" s="73" customFormat="1" x14ac:dyDescent="0.25"/>
    <row r="385" s="73" customFormat="1" x14ac:dyDescent="0.25"/>
    <row r="386" s="73" customFormat="1" x14ac:dyDescent="0.25"/>
    <row r="387" s="73" customFormat="1" x14ac:dyDescent="0.25"/>
    <row r="388" s="73" customFormat="1" x14ac:dyDescent="0.25"/>
    <row r="389" s="73" customFormat="1" x14ac:dyDescent="0.25"/>
    <row r="390" s="73" customFormat="1" x14ac:dyDescent="0.25"/>
    <row r="391" s="73" customFormat="1" x14ac:dyDescent="0.25"/>
    <row r="392" s="73" customFormat="1" x14ac:dyDescent="0.25"/>
    <row r="393" s="73" customFormat="1" x14ac:dyDescent="0.25"/>
    <row r="394" s="73" customFormat="1" x14ac:dyDescent="0.25"/>
    <row r="395" s="73" customFormat="1" x14ac:dyDescent="0.25"/>
    <row r="396" s="73" customFormat="1" x14ac:dyDescent="0.25"/>
    <row r="397" s="73" customFormat="1" x14ac:dyDescent="0.25"/>
    <row r="398" s="73" customFormat="1" x14ac:dyDescent="0.25"/>
    <row r="399" s="73" customFormat="1" x14ac:dyDescent="0.25"/>
    <row r="400" s="73" customFormat="1" x14ac:dyDescent="0.25"/>
    <row r="401" s="73" customFormat="1" x14ac:dyDescent="0.25"/>
    <row r="402" s="73" customFormat="1" x14ac:dyDescent="0.25"/>
    <row r="403" s="73" customFormat="1" x14ac:dyDescent="0.25"/>
    <row r="404" s="73" customFormat="1" x14ac:dyDescent="0.25"/>
    <row r="405" s="73" customFormat="1" x14ac:dyDescent="0.25"/>
    <row r="406" s="73" customFormat="1" x14ac:dyDescent="0.25"/>
    <row r="407" s="73" customFormat="1" x14ac:dyDescent="0.25"/>
    <row r="408" s="73" customFormat="1" x14ac:dyDescent="0.25"/>
    <row r="409" s="73" customFormat="1" x14ac:dyDescent="0.25"/>
    <row r="410" s="73" customFormat="1" x14ac:dyDescent="0.25"/>
    <row r="411" s="73" customFormat="1" x14ac:dyDescent="0.25"/>
    <row r="412" s="73" customFormat="1" x14ac:dyDescent="0.25"/>
    <row r="413" s="73" customFormat="1" x14ac:dyDescent="0.25"/>
    <row r="414" s="73" customFormat="1" x14ac:dyDescent="0.25"/>
    <row r="415" s="73" customFormat="1" x14ac:dyDescent="0.25"/>
    <row r="416" s="73" customFormat="1" x14ac:dyDescent="0.25"/>
    <row r="417" s="73" customFormat="1" x14ac:dyDescent="0.25"/>
    <row r="418" s="73" customFormat="1" x14ac:dyDescent="0.25"/>
    <row r="419" s="73" customFormat="1" x14ac:dyDescent="0.25"/>
    <row r="420" s="73" customFormat="1" x14ac:dyDescent="0.25"/>
    <row r="421" s="73" customFormat="1" x14ac:dyDescent="0.25"/>
    <row r="422" s="73" customFormat="1" x14ac:dyDescent="0.25"/>
    <row r="423" s="73" customFormat="1" x14ac:dyDescent="0.25"/>
    <row r="424" s="73" customFormat="1" x14ac:dyDescent="0.25"/>
    <row r="425" s="73" customFormat="1" x14ac:dyDescent="0.25"/>
    <row r="426" s="73" customFormat="1" x14ac:dyDescent="0.25"/>
    <row r="427" s="73" customFormat="1" x14ac:dyDescent="0.25"/>
    <row r="428" s="73" customFormat="1" x14ac:dyDescent="0.25"/>
    <row r="429" s="73" customFormat="1" x14ac:dyDescent="0.25"/>
    <row r="430" s="73" customFormat="1" x14ac:dyDescent="0.25"/>
    <row r="431" s="73" customFormat="1" x14ac:dyDescent="0.25"/>
    <row r="432" s="73" customFormat="1" x14ac:dyDescent="0.25"/>
    <row r="433" s="73" customFormat="1" x14ac:dyDescent="0.25"/>
    <row r="434" s="73" customFormat="1" x14ac:dyDescent="0.25"/>
    <row r="435" s="73" customFormat="1" x14ac:dyDescent="0.25"/>
    <row r="436" s="73" customFormat="1" x14ac:dyDescent="0.25"/>
    <row r="437" s="73" customFormat="1" x14ac:dyDescent="0.25"/>
    <row r="438" s="73" customFormat="1" x14ac:dyDescent="0.25"/>
    <row r="439" s="73" customFormat="1" x14ac:dyDescent="0.25"/>
    <row r="440" s="73" customFormat="1" x14ac:dyDescent="0.25"/>
    <row r="441" s="73" customFormat="1" x14ac:dyDescent="0.25"/>
    <row r="442" s="73" customFormat="1" x14ac:dyDescent="0.25"/>
    <row r="443" s="73" customFormat="1" x14ac:dyDescent="0.25"/>
    <row r="444" s="73" customFormat="1" x14ac:dyDescent="0.25"/>
    <row r="445" s="73" customFormat="1" x14ac:dyDescent="0.25"/>
    <row r="446" s="73" customFormat="1" x14ac:dyDescent="0.25"/>
    <row r="447" s="73" customFormat="1" x14ac:dyDescent="0.25"/>
    <row r="448" s="73" customFormat="1" x14ac:dyDescent="0.25"/>
    <row r="449" s="73" customFormat="1" x14ac:dyDescent="0.25"/>
    <row r="450" s="73" customFormat="1" x14ac:dyDescent="0.25"/>
    <row r="451" s="73" customFormat="1" x14ac:dyDescent="0.25"/>
    <row r="452" s="73" customFormat="1" x14ac:dyDescent="0.25"/>
    <row r="453" s="73" customFormat="1" x14ac:dyDescent="0.25"/>
    <row r="454" s="73" customFormat="1" x14ac:dyDescent="0.25"/>
    <row r="455" s="73" customFormat="1" x14ac:dyDescent="0.25"/>
    <row r="456" s="73" customFormat="1" x14ac:dyDescent="0.25"/>
    <row r="457" s="73" customFormat="1" x14ac:dyDescent="0.25"/>
    <row r="458" s="73" customFormat="1" x14ac:dyDescent="0.25"/>
    <row r="459" s="73" customFormat="1" x14ac:dyDescent="0.25"/>
    <row r="460" s="73" customFormat="1" x14ac:dyDescent="0.25"/>
    <row r="461" s="73" customFormat="1" x14ac:dyDescent="0.25"/>
    <row r="462" s="73" customFormat="1" x14ac:dyDescent="0.25"/>
    <row r="463" s="73" customFormat="1" x14ac:dyDescent="0.25"/>
    <row r="464" s="73" customFormat="1" x14ac:dyDescent="0.25"/>
    <row r="465" s="73" customFormat="1" x14ac:dyDescent="0.25"/>
    <row r="466" s="73" customFormat="1" x14ac:dyDescent="0.25"/>
    <row r="467" s="73" customFormat="1" x14ac:dyDescent="0.25"/>
    <row r="468" s="73" customFormat="1" x14ac:dyDescent="0.25"/>
    <row r="469" s="73" customFormat="1" x14ac:dyDescent="0.25"/>
    <row r="470" s="73" customFormat="1" x14ac:dyDescent="0.25"/>
    <row r="471" s="73" customFormat="1" x14ac:dyDescent="0.25"/>
    <row r="472" s="73" customFormat="1" x14ac:dyDescent="0.25"/>
    <row r="473" s="73" customFormat="1" x14ac:dyDescent="0.25"/>
    <row r="474" s="73" customFormat="1" x14ac:dyDescent="0.25"/>
    <row r="475" s="73" customFormat="1" x14ac:dyDescent="0.25"/>
    <row r="476" s="73" customFormat="1" x14ac:dyDescent="0.25"/>
    <row r="477" s="73" customFormat="1" x14ac:dyDescent="0.25"/>
    <row r="478" s="73" customFormat="1" x14ac:dyDescent="0.25"/>
    <row r="479" s="73" customFormat="1" x14ac:dyDescent="0.25"/>
    <row r="480" s="73" customFormat="1" x14ac:dyDescent="0.25"/>
    <row r="481" s="73" customFormat="1" x14ac:dyDescent="0.25"/>
    <row r="482" s="73" customFormat="1" x14ac:dyDescent="0.25"/>
    <row r="483" s="73" customFormat="1" x14ac:dyDescent="0.25"/>
    <row r="484" s="73" customFormat="1" x14ac:dyDescent="0.25"/>
    <row r="485" s="73" customFormat="1" x14ac:dyDescent="0.25"/>
    <row r="486" s="73" customFormat="1" x14ac:dyDescent="0.25"/>
    <row r="487" s="73" customFormat="1" x14ac:dyDescent="0.25"/>
    <row r="488" s="73" customFormat="1" x14ac:dyDescent="0.25"/>
    <row r="489" s="73" customFormat="1" x14ac:dyDescent="0.25"/>
    <row r="490" s="73" customFormat="1" x14ac:dyDescent="0.25"/>
    <row r="491" s="73" customFormat="1" x14ac:dyDescent="0.25"/>
    <row r="492" s="73" customFormat="1" x14ac:dyDescent="0.25"/>
    <row r="493" s="73" customFormat="1" x14ac:dyDescent="0.25"/>
    <row r="494" s="73" customFormat="1" x14ac:dyDescent="0.25"/>
    <row r="495" s="73" customFormat="1" x14ac:dyDescent="0.25"/>
    <row r="496" s="73" customFormat="1" x14ac:dyDescent="0.25"/>
    <row r="497" s="73" customFormat="1" x14ac:dyDescent="0.25"/>
    <row r="498" s="73" customFormat="1" x14ac:dyDescent="0.25"/>
    <row r="499" s="73" customFormat="1" x14ac:dyDescent="0.25"/>
    <row r="500" s="73" customFormat="1" x14ac:dyDescent="0.25"/>
    <row r="501" s="73" customFormat="1" x14ac:dyDescent="0.25"/>
    <row r="502" s="73" customFormat="1" x14ac:dyDescent="0.25"/>
    <row r="503" s="73" customFormat="1" x14ac:dyDescent="0.25"/>
    <row r="504" s="73" customFormat="1" x14ac:dyDescent="0.25"/>
    <row r="505" s="73" customFormat="1" x14ac:dyDescent="0.25"/>
    <row r="506" s="73" customFormat="1" x14ac:dyDescent="0.25"/>
    <row r="507" s="73" customFormat="1" x14ac:dyDescent="0.25"/>
    <row r="508" s="73" customFormat="1" x14ac:dyDescent="0.25"/>
    <row r="509" s="73" customFormat="1" x14ac:dyDescent="0.25"/>
    <row r="510" s="73" customFormat="1" x14ac:dyDescent="0.25"/>
    <row r="511" s="73" customFormat="1" x14ac:dyDescent="0.25"/>
    <row r="512" s="73" customFormat="1" x14ac:dyDescent="0.25"/>
    <row r="513" s="73" customFormat="1" x14ac:dyDescent="0.25"/>
    <row r="514" s="73" customFormat="1" x14ac:dyDescent="0.25"/>
    <row r="515" s="73" customFormat="1" x14ac:dyDescent="0.25"/>
    <row r="516" s="73" customFormat="1" x14ac:dyDescent="0.25"/>
    <row r="517" s="73" customFormat="1" x14ac:dyDescent="0.25"/>
    <row r="518" s="73" customFormat="1" x14ac:dyDescent="0.25"/>
    <row r="519" s="73" customFormat="1" x14ac:dyDescent="0.25"/>
    <row r="520" s="73" customFormat="1" x14ac:dyDescent="0.25"/>
    <row r="521" s="73" customFormat="1" x14ac:dyDescent="0.25"/>
    <row r="522" s="73" customFormat="1" x14ac:dyDescent="0.25"/>
    <row r="523" s="73" customFormat="1" x14ac:dyDescent="0.25"/>
    <row r="524" s="73" customFormat="1" x14ac:dyDescent="0.25"/>
    <row r="525" s="73" customFormat="1" x14ac:dyDescent="0.25"/>
    <row r="526" s="73" customFormat="1" x14ac:dyDescent="0.25"/>
    <row r="527" s="73" customFormat="1" x14ac:dyDescent="0.25"/>
    <row r="528" s="73" customFormat="1" x14ac:dyDescent="0.25"/>
    <row r="529" s="73" customFormat="1" x14ac:dyDescent="0.25"/>
    <row r="530" s="73" customFormat="1" x14ac:dyDescent="0.25"/>
    <row r="531" s="73" customFormat="1" x14ac:dyDescent="0.25"/>
    <row r="532" s="73" customFormat="1" x14ac:dyDescent="0.25"/>
    <row r="533" s="73" customFormat="1" x14ac:dyDescent="0.25"/>
    <row r="534" s="73" customFormat="1" x14ac:dyDescent="0.25"/>
    <row r="535" s="73" customFormat="1" x14ac:dyDescent="0.25"/>
    <row r="536" s="73" customFormat="1" x14ac:dyDescent="0.25"/>
    <row r="537" s="73" customFormat="1" x14ac:dyDescent="0.25"/>
    <row r="538" s="73" customFormat="1" x14ac:dyDescent="0.25"/>
    <row r="539" s="73" customFormat="1" x14ac:dyDescent="0.25"/>
    <row r="540" s="73" customFormat="1" x14ac:dyDescent="0.25"/>
    <row r="541" s="73" customFormat="1" x14ac:dyDescent="0.25"/>
    <row r="542" s="73" customFormat="1" x14ac:dyDescent="0.25"/>
    <row r="543" s="73" customFormat="1" x14ac:dyDescent="0.25"/>
    <row r="544" s="73" customFormat="1" x14ac:dyDescent="0.25"/>
    <row r="545" s="73" customFormat="1" x14ac:dyDescent="0.25"/>
    <row r="546" s="73" customFormat="1" x14ac:dyDescent="0.25"/>
    <row r="547" s="73" customFormat="1" x14ac:dyDescent="0.25"/>
    <row r="548" s="73" customFormat="1" x14ac:dyDescent="0.25"/>
    <row r="549" s="73" customFormat="1" x14ac:dyDescent="0.25"/>
    <row r="550" s="73" customFormat="1" x14ac:dyDescent="0.25"/>
    <row r="551" s="73" customFormat="1" x14ac:dyDescent="0.25"/>
    <row r="552" s="73" customFormat="1" x14ac:dyDescent="0.25"/>
    <row r="553" s="73" customFormat="1" x14ac:dyDescent="0.25"/>
    <row r="554" s="73" customFormat="1" x14ac:dyDescent="0.25"/>
    <row r="555" s="73" customFormat="1" x14ac:dyDescent="0.25"/>
    <row r="556" s="73" customFormat="1" x14ac:dyDescent="0.25"/>
    <row r="557" s="73" customFormat="1" x14ac:dyDescent="0.25"/>
    <row r="558" s="73" customFormat="1" x14ac:dyDescent="0.25"/>
    <row r="559" s="73" customFormat="1" x14ac:dyDescent="0.25"/>
    <row r="560" s="73" customFormat="1" x14ac:dyDescent="0.25"/>
    <row r="561" s="73" customFormat="1" x14ac:dyDescent="0.25"/>
    <row r="562" s="73" customFormat="1" x14ac:dyDescent="0.25"/>
    <row r="563" s="73" customFormat="1" x14ac:dyDescent="0.25"/>
    <row r="564" s="73" customFormat="1" x14ac:dyDescent="0.25"/>
    <row r="565" s="73" customFormat="1" x14ac:dyDescent="0.25"/>
    <row r="566" s="73" customFormat="1" x14ac:dyDescent="0.25"/>
    <row r="567" s="73" customFormat="1" x14ac:dyDescent="0.25"/>
    <row r="568" s="73" customFormat="1" x14ac:dyDescent="0.25"/>
    <row r="569" s="73" customFormat="1" x14ac:dyDescent="0.25"/>
  </sheetData>
  <sheetProtection password="D6D7" sheet="1" objects="1" scenarios="1" formatCells="0" formatColumns="0" formatRows="0"/>
  <mergeCells count="314">
    <mergeCell ref="A162:O169"/>
    <mergeCell ref="M6:M11"/>
    <mergeCell ref="K12:K13"/>
    <mergeCell ref="L12:L13"/>
    <mergeCell ref="M12:M13"/>
    <mergeCell ref="A20:A22"/>
    <mergeCell ref="K23:K25"/>
    <mergeCell ref="K26:K28"/>
    <mergeCell ref="B12:J13"/>
    <mergeCell ref="B14:J16"/>
    <mergeCell ref="B20:J22"/>
    <mergeCell ref="B23:J25"/>
    <mergeCell ref="B26:J28"/>
    <mergeCell ref="B115:J118"/>
    <mergeCell ref="B46:J48"/>
    <mergeCell ref="B51:J54"/>
    <mergeCell ref="B55:J56"/>
    <mergeCell ref="B57:J58"/>
    <mergeCell ref="B59:J60"/>
    <mergeCell ref="B61:J63"/>
    <mergeCell ref="B64:J67"/>
    <mergeCell ref="B68:J69"/>
    <mergeCell ref="B70:J72"/>
    <mergeCell ref="B96:J98"/>
    <mergeCell ref="A29:A31"/>
    <mergeCell ref="A32:A34"/>
    <mergeCell ref="K20:K22"/>
    <mergeCell ref="N23:N25"/>
    <mergeCell ref="M23:M25"/>
    <mergeCell ref="M20:M22"/>
    <mergeCell ref="N20:N22"/>
    <mergeCell ref="A42:A45"/>
    <mergeCell ref="A23:A25"/>
    <mergeCell ref="A26:A28"/>
    <mergeCell ref="A35:A37"/>
    <mergeCell ref="A39:A41"/>
    <mergeCell ref="K35:K37"/>
    <mergeCell ref="K39:K41"/>
    <mergeCell ref="B39:J41"/>
    <mergeCell ref="A38:J38"/>
    <mergeCell ref="B29:J31"/>
    <mergeCell ref="B32:J34"/>
    <mergeCell ref="M26:M28"/>
    <mergeCell ref="N26:N28"/>
    <mergeCell ref="M42:M45"/>
    <mergeCell ref="N42:N45"/>
    <mergeCell ref="N39:N41"/>
    <mergeCell ref="L26:L28"/>
    <mergeCell ref="A12:A13"/>
    <mergeCell ref="A14:A19"/>
    <mergeCell ref="L14:L19"/>
    <mergeCell ref="M14:M19"/>
    <mergeCell ref="K6:K11"/>
    <mergeCell ref="L6:L11"/>
    <mergeCell ref="A1:O1"/>
    <mergeCell ref="A2:O2"/>
    <mergeCell ref="A4:O4"/>
    <mergeCell ref="A6:A11"/>
    <mergeCell ref="B11:J11"/>
    <mergeCell ref="B17:J17"/>
    <mergeCell ref="K14:K19"/>
    <mergeCell ref="B19:J19"/>
    <mergeCell ref="A3:O3"/>
    <mergeCell ref="A5:J5"/>
    <mergeCell ref="N12:N13"/>
    <mergeCell ref="B18:J18"/>
    <mergeCell ref="O6:O11"/>
    <mergeCell ref="N14:N19"/>
    <mergeCell ref="N6:N11"/>
    <mergeCell ref="O12:O13"/>
    <mergeCell ref="B6:J9"/>
    <mergeCell ref="C10:J10"/>
    <mergeCell ref="K29:K31"/>
    <mergeCell ref="L42:L45"/>
    <mergeCell ref="K42:K45"/>
    <mergeCell ref="B42:J45"/>
    <mergeCell ref="L29:L31"/>
    <mergeCell ref="M29:M31"/>
    <mergeCell ref="K32:K34"/>
    <mergeCell ref="L23:L25"/>
    <mergeCell ref="L20:L22"/>
    <mergeCell ref="B35:J37"/>
    <mergeCell ref="O14:O19"/>
    <mergeCell ref="O32:O34"/>
    <mergeCell ref="O26:O28"/>
    <mergeCell ref="N29:N31"/>
    <mergeCell ref="O29:O31"/>
    <mergeCell ref="L32:L34"/>
    <mergeCell ref="M32:M34"/>
    <mergeCell ref="N32:N34"/>
    <mergeCell ref="M39:M41"/>
    <mergeCell ref="O39:O41"/>
    <mergeCell ref="N35:N37"/>
    <mergeCell ref="O35:O37"/>
    <mergeCell ref="L39:L41"/>
    <mergeCell ref="L35:L37"/>
    <mergeCell ref="M35:M37"/>
    <mergeCell ref="O20:O22"/>
    <mergeCell ref="O23:O25"/>
    <mergeCell ref="O57:O58"/>
    <mergeCell ref="M59:M60"/>
    <mergeCell ref="N59:N60"/>
    <mergeCell ref="O59:O60"/>
    <mergeCell ref="O42:O45"/>
    <mergeCell ref="K51:K54"/>
    <mergeCell ref="A55:A56"/>
    <mergeCell ref="A46:A48"/>
    <mergeCell ref="A50:J50"/>
    <mergeCell ref="O46:O48"/>
    <mergeCell ref="K46:K48"/>
    <mergeCell ref="A49:O49"/>
    <mergeCell ref="M51:M54"/>
    <mergeCell ref="A51:A54"/>
    <mergeCell ref="L46:L48"/>
    <mergeCell ref="M46:M48"/>
    <mergeCell ref="N46:N48"/>
    <mergeCell ref="A64:A67"/>
    <mergeCell ref="O68:O69"/>
    <mergeCell ref="M68:M69"/>
    <mergeCell ref="M61:M63"/>
    <mergeCell ref="N61:N63"/>
    <mergeCell ref="O61:O63"/>
    <mergeCell ref="A68:A69"/>
    <mergeCell ref="O51:O54"/>
    <mergeCell ref="K55:K56"/>
    <mergeCell ref="L55:L56"/>
    <mergeCell ref="M55:M56"/>
    <mergeCell ref="N55:N56"/>
    <mergeCell ref="O55:O56"/>
    <mergeCell ref="L51:L54"/>
    <mergeCell ref="K59:K60"/>
    <mergeCell ref="L59:L60"/>
    <mergeCell ref="K57:K58"/>
    <mergeCell ref="L57:L58"/>
    <mergeCell ref="A57:A58"/>
    <mergeCell ref="A59:A60"/>
    <mergeCell ref="A61:A63"/>
    <mergeCell ref="N51:N54"/>
    <mergeCell ref="M57:M58"/>
    <mergeCell ref="N57:N58"/>
    <mergeCell ref="K64:K67"/>
    <mergeCell ref="L64:L67"/>
    <mergeCell ref="K68:K69"/>
    <mergeCell ref="O70:O72"/>
    <mergeCell ref="K61:K63"/>
    <mergeCell ref="L61:L63"/>
    <mergeCell ref="M64:M67"/>
    <mergeCell ref="N64:N67"/>
    <mergeCell ref="O64:O67"/>
    <mergeCell ref="N68:N69"/>
    <mergeCell ref="L68:L69"/>
    <mergeCell ref="K79:K81"/>
    <mergeCell ref="L79:L81"/>
    <mergeCell ref="M84:M85"/>
    <mergeCell ref="N84:N85"/>
    <mergeCell ref="M79:M81"/>
    <mergeCell ref="K70:K72"/>
    <mergeCell ref="L70:L72"/>
    <mergeCell ref="A70:A72"/>
    <mergeCell ref="N70:N72"/>
    <mergeCell ref="M70:M72"/>
    <mergeCell ref="A82:A83"/>
    <mergeCell ref="B82:J83"/>
    <mergeCell ref="K96:K98"/>
    <mergeCell ref="L96:L98"/>
    <mergeCell ref="M96:M98"/>
    <mergeCell ref="N96:N98"/>
    <mergeCell ref="O96:O98"/>
    <mergeCell ref="K91:K95"/>
    <mergeCell ref="L91:L95"/>
    <mergeCell ref="O84:O85"/>
    <mergeCell ref="N79:N81"/>
    <mergeCell ref="K84:K85"/>
    <mergeCell ref="L84:L85"/>
    <mergeCell ref="O79:O81"/>
    <mergeCell ref="K89:K90"/>
    <mergeCell ref="L89:L90"/>
    <mergeCell ref="M89:M90"/>
    <mergeCell ref="N89:N90"/>
    <mergeCell ref="O89:O90"/>
    <mergeCell ref="M91:M95"/>
    <mergeCell ref="K86:K88"/>
    <mergeCell ref="L86:L88"/>
    <mergeCell ref="K82:K83"/>
    <mergeCell ref="L82:L83"/>
    <mergeCell ref="M82:M83"/>
    <mergeCell ref="N82:N83"/>
    <mergeCell ref="A91:A95"/>
    <mergeCell ref="A86:A88"/>
    <mergeCell ref="B91:J95"/>
    <mergeCell ref="N91:N95"/>
    <mergeCell ref="O91:O95"/>
    <mergeCell ref="N86:N88"/>
    <mergeCell ref="A89:A90"/>
    <mergeCell ref="B89:J90"/>
    <mergeCell ref="A73:A74"/>
    <mergeCell ref="B78:J78"/>
    <mergeCell ref="B73:J74"/>
    <mergeCell ref="B79:J81"/>
    <mergeCell ref="B84:J85"/>
    <mergeCell ref="B86:J88"/>
    <mergeCell ref="M86:M88"/>
    <mergeCell ref="O86:O88"/>
    <mergeCell ref="N73:N74"/>
    <mergeCell ref="O73:O74"/>
    <mergeCell ref="M73:M74"/>
    <mergeCell ref="K73:K74"/>
    <mergeCell ref="L73:L74"/>
    <mergeCell ref="N76:N77"/>
    <mergeCell ref="A84:A85"/>
    <mergeCell ref="O76:O77"/>
    <mergeCell ref="A99:A102"/>
    <mergeCell ref="A103:A104"/>
    <mergeCell ref="K103:K104"/>
    <mergeCell ref="K99:K102"/>
    <mergeCell ref="A111:A113"/>
    <mergeCell ref="M103:M104"/>
    <mergeCell ref="N103:N104"/>
    <mergeCell ref="O103:O104"/>
    <mergeCell ref="L99:L102"/>
    <mergeCell ref="M99:M102"/>
    <mergeCell ref="N99:N102"/>
    <mergeCell ref="O99:O102"/>
    <mergeCell ref="B99:J102"/>
    <mergeCell ref="B103:J104"/>
    <mergeCell ref="B105:J107"/>
    <mergeCell ref="B108:J110"/>
    <mergeCell ref="B111:J113"/>
    <mergeCell ref="A123:O123"/>
    <mergeCell ref="N105:N107"/>
    <mergeCell ref="N108:N110"/>
    <mergeCell ref="O108:O110"/>
    <mergeCell ref="O105:O107"/>
    <mergeCell ref="K111:K113"/>
    <mergeCell ref="L111:L113"/>
    <mergeCell ref="M111:M113"/>
    <mergeCell ref="N111:N113"/>
    <mergeCell ref="K115:K118"/>
    <mergeCell ref="L115:L118"/>
    <mergeCell ref="M115:M118"/>
    <mergeCell ref="O115:O118"/>
    <mergeCell ref="L105:L107"/>
    <mergeCell ref="A115:A118"/>
    <mergeCell ref="K105:K107"/>
    <mergeCell ref="A153:C153"/>
    <mergeCell ref="G153:O153"/>
    <mergeCell ref="A154:O154"/>
    <mergeCell ref="A155:C155"/>
    <mergeCell ref="A126:O126"/>
    <mergeCell ref="A127:O127"/>
    <mergeCell ref="A128:O128"/>
    <mergeCell ref="A148:I148"/>
    <mergeCell ref="K148:O148"/>
    <mergeCell ref="A146:O146"/>
    <mergeCell ref="A129:O129"/>
    <mergeCell ref="A130:O130"/>
    <mergeCell ref="A131:O131"/>
    <mergeCell ref="A145:O145"/>
    <mergeCell ref="A143:O143"/>
    <mergeCell ref="A138:O138"/>
    <mergeCell ref="A140:O140"/>
    <mergeCell ref="A144:O144"/>
    <mergeCell ref="A141:O141"/>
    <mergeCell ref="A142:O142"/>
    <mergeCell ref="A132:O132"/>
    <mergeCell ref="E155:G155"/>
    <mergeCell ref="A161:O161"/>
    <mergeCell ref="A160:O160"/>
    <mergeCell ref="A159:O159"/>
    <mergeCell ref="A156:O156"/>
    <mergeCell ref="G151:O151"/>
    <mergeCell ref="A119:O119"/>
    <mergeCell ref="A133:O133"/>
    <mergeCell ref="A121:O121"/>
    <mergeCell ref="A122:O122"/>
    <mergeCell ref="A137:O137"/>
    <mergeCell ref="A149:C149"/>
    <mergeCell ref="G149:O149"/>
    <mergeCell ref="A150:C150"/>
    <mergeCell ref="G150:O150"/>
    <mergeCell ref="A151:C151"/>
    <mergeCell ref="A147:O147"/>
    <mergeCell ref="A158:O158"/>
    <mergeCell ref="A157:O157"/>
    <mergeCell ref="A152:C152"/>
    <mergeCell ref="A135:O135"/>
    <mergeCell ref="A136:O136"/>
    <mergeCell ref="A134:O134"/>
    <mergeCell ref="D152:F152"/>
    <mergeCell ref="G152:O152"/>
    <mergeCell ref="O82:O83"/>
    <mergeCell ref="A75:J75"/>
    <mergeCell ref="A76:A77"/>
    <mergeCell ref="B76:J77"/>
    <mergeCell ref="K76:K77"/>
    <mergeCell ref="L76:L77"/>
    <mergeCell ref="M76:M77"/>
    <mergeCell ref="A79:A81"/>
    <mergeCell ref="A139:O139"/>
    <mergeCell ref="A120:C120"/>
    <mergeCell ref="E120:O120"/>
    <mergeCell ref="N115:N118"/>
    <mergeCell ref="M105:M107"/>
    <mergeCell ref="M108:M110"/>
    <mergeCell ref="O111:O113"/>
    <mergeCell ref="A108:A110"/>
    <mergeCell ref="A125:O125"/>
    <mergeCell ref="A124:O124"/>
    <mergeCell ref="A114:J114"/>
    <mergeCell ref="A96:A98"/>
    <mergeCell ref="A105:A107"/>
    <mergeCell ref="K108:K110"/>
    <mergeCell ref="L108:L110"/>
    <mergeCell ref="L103:L104"/>
  </mergeCells>
  <dataValidations count="2">
    <dataValidation type="list" allowBlank="1" showInputMessage="1" showErrorMessage="1" sqref="D155 H155">
      <formula1>"✓, -----"</formula1>
    </dataValidation>
    <dataValidation type="list" allowBlank="1" showInputMessage="1" showErrorMessage="1" sqref="L115:N118 L84:N89 L51:N74 L76:N82 L91:N113 L14:N37 L39:N48 L6:M13">
      <formula1>"5, -----"</formula1>
    </dataValidation>
  </dataValidations>
  <pageMargins left="0.75" right="0.75" top="1" bottom="1" header="0" footer="0"/>
  <pageSetup firstPageNumber="13" orientation="portrait" r:id="rId1"/>
  <headerFooter>
    <oddFooter xml:space="preserve">&amp;LFor Official Government Use Only
USDA, AMS, FVP, Fresh Products Branch
&amp;RJanuary 26, 2012
Page &amp;P
</oddFooter>
  </headerFooter>
  <rowBreaks count="3" manualBreakCount="3">
    <brk id="37" max="16383" man="1"/>
    <brk id="74" max="16383" man="1"/>
    <brk id="11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4"/>
  </sheetPr>
  <dimension ref="A1:BS74"/>
  <sheetViews>
    <sheetView view="pageLayout" topLeftCell="A7" zoomScaleNormal="100" workbookViewId="0">
      <selection activeCell="N22" sqref="N22:P23"/>
    </sheetView>
  </sheetViews>
  <sheetFormatPr defaultRowHeight="13.2" x14ac:dyDescent="0.25"/>
  <cols>
    <col min="2" max="2" width="4.33203125" customWidth="1"/>
    <col min="3" max="3" width="12.109375" customWidth="1"/>
    <col min="4" max="4" width="6" customWidth="1"/>
    <col min="5" max="5" width="4.33203125" customWidth="1"/>
    <col min="6" max="6" width="10" customWidth="1"/>
    <col min="7" max="7" width="4.88671875" customWidth="1"/>
    <col min="8" max="8" width="5.44140625" customWidth="1"/>
    <col min="9" max="9" width="3.5546875" customWidth="1"/>
    <col min="10" max="10" width="4.33203125" customWidth="1"/>
    <col min="11" max="11" width="5.33203125" customWidth="1"/>
    <col min="12" max="12" width="3.109375" customWidth="1"/>
    <col min="13" max="13" width="7.6640625" customWidth="1"/>
    <col min="14" max="14" width="2.88671875" customWidth="1"/>
    <col min="15" max="15" width="5.44140625" customWidth="1"/>
    <col min="16" max="17" width="5.6640625" customWidth="1"/>
    <col min="18" max="18" width="4.88671875" customWidth="1"/>
    <col min="19" max="19" width="5.88671875" customWidth="1"/>
    <col min="20" max="20" width="2.6640625" customWidth="1"/>
    <col min="21" max="21" width="4.44140625" customWidth="1"/>
    <col min="22" max="22" width="2.44140625" customWidth="1"/>
    <col min="23" max="23" width="11.33203125" customWidth="1"/>
  </cols>
  <sheetData>
    <row r="1" spans="1:71" ht="12.75" customHeight="1" x14ac:dyDescent="0.25">
      <c r="A1" s="567" t="s">
        <v>217</v>
      </c>
      <c r="B1" s="568"/>
      <c r="C1" s="568"/>
      <c r="D1" s="568"/>
      <c r="E1" s="568"/>
      <c r="F1" s="552" t="s">
        <v>259</v>
      </c>
      <c r="G1" s="552"/>
      <c r="H1" s="552"/>
      <c r="I1" s="552"/>
      <c r="J1" s="552"/>
      <c r="K1" s="552"/>
      <c r="L1" s="552"/>
      <c r="M1" s="552"/>
      <c r="N1" s="552"/>
      <c r="O1" s="552"/>
      <c r="P1" s="552"/>
      <c r="Q1" s="552"/>
      <c r="R1" s="552"/>
      <c r="S1" s="552"/>
      <c r="T1" s="552"/>
      <c r="U1" s="552"/>
      <c r="V1" s="130"/>
      <c r="W1" s="130"/>
      <c r="X1" s="148"/>
      <c r="Y1" s="148"/>
      <c r="Z1" s="148"/>
      <c r="AA1" s="148"/>
      <c r="AB1" s="148"/>
      <c r="AC1" s="148"/>
      <c r="AD1" s="148"/>
      <c r="AE1" s="148"/>
      <c r="AF1" s="148"/>
      <c r="AG1" s="148"/>
      <c r="AH1" s="148"/>
      <c r="AI1" s="148"/>
    </row>
    <row r="2" spans="1:71" ht="13.5" customHeight="1" x14ac:dyDescent="0.25">
      <c r="A2" s="569" t="s">
        <v>218</v>
      </c>
      <c r="B2" s="570"/>
      <c r="C2" s="570"/>
      <c r="D2" s="570"/>
      <c r="E2" s="570"/>
      <c r="F2" s="558" t="s">
        <v>258</v>
      </c>
      <c r="G2" s="558"/>
      <c r="H2" s="558"/>
      <c r="I2" s="558"/>
      <c r="J2" s="558"/>
      <c r="K2" s="558"/>
      <c r="L2" s="558"/>
      <c r="M2" s="558"/>
      <c r="N2" s="558"/>
      <c r="O2" s="558"/>
      <c r="P2" s="558"/>
      <c r="Q2" s="559"/>
      <c r="R2" s="559"/>
      <c r="S2" s="559"/>
      <c r="T2" s="559"/>
      <c r="U2" s="559"/>
      <c r="V2" s="559"/>
      <c r="W2" s="130"/>
      <c r="X2" s="148"/>
      <c r="Y2" s="148"/>
      <c r="Z2" s="148"/>
      <c r="AA2" s="148"/>
      <c r="AB2" s="148"/>
      <c r="AC2" s="148"/>
      <c r="AD2" s="148"/>
      <c r="AE2" s="148"/>
      <c r="AF2" s="148"/>
      <c r="AG2" s="148"/>
      <c r="AH2" s="148"/>
      <c r="AI2" s="148"/>
    </row>
    <row r="3" spans="1:71" ht="13.5" customHeight="1" x14ac:dyDescent="0.25">
      <c r="A3" s="571" t="s">
        <v>2</v>
      </c>
      <c r="B3" s="572"/>
      <c r="C3" s="572"/>
      <c r="D3" s="572"/>
      <c r="E3" s="572"/>
      <c r="F3" s="587" t="s">
        <v>340</v>
      </c>
      <c r="G3" s="588"/>
      <c r="H3" s="588"/>
      <c r="I3" s="588"/>
      <c r="J3" s="588"/>
      <c r="K3" s="588"/>
      <c r="L3" s="588"/>
      <c r="M3" s="588"/>
      <c r="N3" s="588"/>
      <c r="O3" s="588"/>
      <c r="P3" s="588"/>
      <c r="Q3" s="589"/>
      <c r="R3" s="590"/>
      <c r="S3" s="590"/>
      <c r="T3" s="590"/>
      <c r="U3" s="590"/>
      <c r="V3" s="13"/>
      <c r="W3" s="13"/>
      <c r="X3" s="148"/>
      <c r="Y3" s="148"/>
      <c r="Z3" s="148"/>
      <c r="AA3" s="148"/>
      <c r="AB3" s="148"/>
      <c r="AC3" s="148"/>
      <c r="AD3" s="148"/>
      <c r="AE3" s="148"/>
      <c r="AF3" s="148"/>
      <c r="AG3" s="148"/>
      <c r="AH3" s="148"/>
      <c r="AI3" s="148"/>
    </row>
    <row r="4" spans="1:71" s="8" customFormat="1" ht="10.5" customHeight="1" x14ac:dyDescent="0.25">
      <c r="A4" s="518" t="s">
        <v>200</v>
      </c>
      <c r="B4" s="519"/>
      <c r="C4" s="519"/>
      <c r="D4" s="519"/>
      <c r="E4" s="519"/>
      <c r="F4" s="519"/>
      <c r="G4" s="519"/>
      <c r="H4" s="519"/>
      <c r="I4" s="519"/>
      <c r="J4" s="519"/>
      <c r="K4" s="519"/>
      <c r="L4" s="519"/>
      <c r="M4" s="519"/>
      <c r="N4" s="519"/>
      <c r="O4" s="519"/>
      <c r="P4" s="519"/>
      <c r="Q4" s="519"/>
      <c r="R4" s="519"/>
      <c r="S4" s="520"/>
      <c r="T4" s="553"/>
      <c r="U4" s="554"/>
      <c r="V4" s="555"/>
      <c r="W4" s="555"/>
      <c r="X4" s="148"/>
      <c r="Y4" s="148"/>
      <c r="Z4" s="148"/>
      <c r="AA4" s="148"/>
      <c r="AB4" s="148"/>
      <c r="AC4" s="148"/>
      <c r="AD4" s="148"/>
      <c r="AE4" s="148"/>
      <c r="AF4" s="148"/>
      <c r="AG4" s="148"/>
      <c r="AH4" s="148"/>
      <c r="AI4" s="148"/>
    </row>
    <row r="5" spans="1:71" s="9" customFormat="1" ht="14.25" customHeight="1" x14ac:dyDescent="0.25">
      <c r="A5" s="575"/>
      <c r="B5" s="576"/>
      <c r="C5" s="560">
        <f>'Page 1-3'!D18</f>
        <v>0</v>
      </c>
      <c r="D5" s="560"/>
      <c r="E5" s="560"/>
      <c r="F5" s="560"/>
      <c r="G5" s="560"/>
      <c r="H5" s="561"/>
      <c r="I5" s="561"/>
      <c r="J5" s="561"/>
      <c r="K5" s="561"/>
      <c r="L5" s="561"/>
      <c r="M5" s="561"/>
      <c r="N5" s="561"/>
      <c r="O5" s="561"/>
      <c r="P5" s="561"/>
      <c r="Q5" s="560"/>
      <c r="R5" s="560"/>
      <c r="S5" s="562"/>
      <c r="T5" s="556"/>
      <c r="U5" s="557"/>
      <c r="V5" s="557"/>
      <c r="W5" s="557"/>
      <c r="X5" s="148"/>
      <c r="Y5" s="148"/>
      <c r="Z5" s="148"/>
      <c r="AA5" s="148"/>
      <c r="AB5" s="148"/>
      <c r="AC5" s="148"/>
      <c r="AD5" s="148"/>
      <c r="AE5" s="148"/>
      <c r="AF5" s="148"/>
      <c r="AG5" s="148"/>
      <c r="AH5" s="148"/>
      <c r="AI5" s="148"/>
    </row>
    <row r="6" spans="1:71" ht="10.5" customHeight="1" x14ac:dyDescent="0.25">
      <c r="A6" s="518" t="s">
        <v>158</v>
      </c>
      <c r="B6" s="565"/>
      <c r="C6" s="565"/>
      <c r="D6" s="565"/>
      <c r="E6" s="565"/>
      <c r="F6" s="565"/>
      <c r="G6" s="565"/>
      <c r="H6" s="518" t="s">
        <v>159</v>
      </c>
      <c r="I6" s="523"/>
      <c r="J6" s="565"/>
      <c r="K6" s="565"/>
      <c r="L6" s="565"/>
      <c r="M6" s="565"/>
      <c r="N6" s="524"/>
      <c r="O6" s="524"/>
      <c r="P6" s="525"/>
      <c r="Q6" s="518" t="s">
        <v>160</v>
      </c>
      <c r="R6" s="524"/>
      <c r="S6" s="525"/>
      <c r="T6" s="518" t="s">
        <v>202</v>
      </c>
      <c r="U6" s="523"/>
      <c r="V6" s="565"/>
      <c r="W6" s="566"/>
      <c r="X6" s="148"/>
      <c r="Y6" s="148"/>
      <c r="Z6" s="148"/>
      <c r="AA6" s="148"/>
      <c r="AB6" s="148"/>
      <c r="AC6" s="148"/>
      <c r="AD6" s="148"/>
      <c r="AE6" s="148"/>
      <c r="AF6" s="148"/>
      <c r="AG6" s="148"/>
      <c r="AH6" s="148"/>
      <c r="AI6" s="148"/>
    </row>
    <row r="7" spans="1:71" ht="14.25" customHeight="1" x14ac:dyDescent="0.25">
      <c r="A7" s="540">
        <f>'Page 1-3'!D21</f>
        <v>0</v>
      </c>
      <c r="B7" s="170"/>
      <c r="C7" s="170"/>
      <c r="D7" s="170"/>
      <c r="E7" s="170"/>
      <c r="F7" s="170"/>
      <c r="G7" s="170"/>
      <c r="H7" s="579">
        <f>'Page 1-3'!B22</f>
        <v>0</v>
      </c>
      <c r="I7" s="580"/>
      <c r="J7" s="580"/>
      <c r="K7" s="580"/>
      <c r="L7" s="580"/>
      <c r="M7" s="580"/>
      <c r="N7" s="581"/>
      <c r="O7" s="581"/>
      <c r="P7" s="582"/>
      <c r="Q7" s="540">
        <f>'Page 1-3'!H22</f>
        <v>0</v>
      </c>
      <c r="R7" s="531"/>
      <c r="S7" s="541"/>
      <c r="T7" s="540">
        <f>'Page 1-3'!M22</f>
        <v>0</v>
      </c>
      <c r="U7" s="170"/>
      <c r="V7" s="170"/>
      <c r="W7" s="541"/>
      <c r="X7" s="148"/>
      <c r="Y7" s="148"/>
      <c r="Z7" s="148"/>
      <c r="AA7" s="148"/>
      <c r="AB7" s="148"/>
      <c r="AC7" s="148"/>
      <c r="AD7" s="148"/>
      <c r="AE7" s="148"/>
      <c r="AF7" s="148"/>
      <c r="AG7" s="148"/>
      <c r="AH7" s="148"/>
      <c r="AI7" s="148"/>
    </row>
    <row r="8" spans="1:71" ht="13.5" customHeight="1" x14ac:dyDescent="0.25">
      <c r="A8" s="518" t="s">
        <v>203</v>
      </c>
      <c r="B8" s="565"/>
      <c r="C8" s="565"/>
      <c r="D8" s="565"/>
      <c r="E8" s="565"/>
      <c r="F8" s="565"/>
      <c r="G8" s="566"/>
      <c r="H8" s="518" t="s">
        <v>201</v>
      </c>
      <c r="I8" s="523"/>
      <c r="J8" s="565"/>
      <c r="K8" s="565"/>
      <c r="L8" s="565"/>
      <c r="M8" s="565"/>
      <c r="N8" s="524"/>
      <c r="O8" s="524"/>
      <c r="P8" s="525"/>
      <c r="Q8" s="523" t="s">
        <v>161</v>
      </c>
      <c r="R8" s="524"/>
      <c r="S8" s="525"/>
      <c r="T8" s="515"/>
      <c r="U8" s="516"/>
      <c r="V8" s="516"/>
      <c r="W8" s="517"/>
      <c r="X8" s="148"/>
      <c r="Y8" s="148"/>
      <c r="Z8" s="148"/>
      <c r="AA8" s="148"/>
      <c r="AB8" s="148"/>
      <c r="AC8" s="148"/>
      <c r="AD8" s="148"/>
      <c r="AE8" s="148"/>
      <c r="AF8" s="148"/>
      <c r="AG8" s="148"/>
      <c r="AH8" s="148"/>
      <c r="AI8" s="148"/>
    </row>
    <row r="9" spans="1:71" ht="13.5" customHeight="1" x14ac:dyDescent="0.25">
      <c r="A9" s="540">
        <f>'Page 1-3'!C24</f>
        <v>0</v>
      </c>
      <c r="B9" s="170"/>
      <c r="C9" s="170"/>
      <c r="D9" s="170"/>
      <c r="E9" s="170"/>
      <c r="F9" s="170"/>
      <c r="G9" s="541"/>
      <c r="H9" s="583">
        <f>'Page 1-3'!J23</f>
        <v>0</v>
      </c>
      <c r="I9" s="584"/>
      <c r="J9" s="584"/>
      <c r="K9" s="584"/>
      <c r="L9" s="584"/>
      <c r="M9" s="584"/>
      <c r="N9" s="584"/>
      <c r="O9" s="585"/>
      <c r="P9" s="586"/>
      <c r="Q9" s="523" t="s">
        <v>204</v>
      </c>
      <c r="R9" s="524"/>
      <c r="S9" s="525"/>
      <c r="T9" s="515"/>
      <c r="U9" s="516"/>
      <c r="V9" s="516"/>
      <c r="W9" s="517"/>
      <c r="X9" s="148"/>
      <c r="Y9" s="148"/>
      <c r="Z9" s="148"/>
      <c r="AA9" s="148"/>
      <c r="AB9" s="148"/>
      <c r="AC9" s="148"/>
      <c r="AD9" s="148"/>
      <c r="AE9" s="148"/>
      <c r="AF9" s="148"/>
      <c r="AG9" s="148"/>
      <c r="AH9" s="148"/>
      <c r="AI9" s="148"/>
    </row>
    <row r="10" spans="1:71" ht="14.25" customHeight="1" x14ac:dyDescent="0.25">
      <c r="A10" s="577" t="s">
        <v>162</v>
      </c>
      <c r="B10" s="578"/>
      <c r="C10" s="515">
        <f>'Page 1-3'!E28</f>
        <v>0</v>
      </c>
      <c r="D10" s="516"/>
      <c r="E10" s="516"/>
      <c r="F10" s="516"/>
      <c r="G10" s="563"/>
      <c r="H10" s="564"/>
      <c r="I10" s="573" t="s">
        <v>163</v>
      </c>
      <c r="J10" s="574"/>
      <c r="K10" s="574"/>
      <c r="L10" s="574"/>
      <c r="M10" s="515">
        <f>'Page 1-3'!E29</f>
        <v>0</v>
      </c>
      <c r="N10" s="149"/>
      <c r="O10" s="149"/>
      <c r="P10" s="533"/>
      <c r="Q10" s="542" t="s">
        <v>9</v>
      </c>
      <c r="R10" s="543"/>
      <c r="S10" s="543"/>
      <c r="T10" s="543"/>
      <c r="U10" s="543"/>
      <c r="V10" s="543"/>
      <c r="W10" s="544"/>
      <c r="X10" s="148"/>
      <c r="Y10" s="148"/>
      <c r="Z10" s="148"/>
      <c r="AA10" s="148"/>
      <c r="AB10" s="148"/>
      <c r="AC10" s="148"/>
      <c r="AD10" s="148"/>
      <c r="AE10" s="148"/>
      <c r="AF10" s="148"/>
      <c r="AG10" s="148"/>
      <c r="AH10" s="148"/>
      <c r="AI10" s="148"/>
    </row>
    <row r="11" spans="1:71" ht="12" customHeight="1" x14ac:dyDescent="0.25">
      <c r="A11" s="518" t="s">
        <v>164</v>
      </c>
      <c r="B11" s="519"/>
      <c r="C11" s="526">
        <f>'Page 1-3'!J28</f>
        <v>0</v>
      </c>
      <c r="D11" s="527"/>
      <c r="E11" s="527"/>
      <c r="F11" s="527"/>
      <c r="G11" s="528"/>
      <c r="H11" s="529"/>
      <c r="I11" s="518" t="s">
        <v>165</v>
      </c>
      <c r="J11" s="519"/>
      <c r="K11" s="519"/>
      <c r="L11" s="524"/>
      <c r="M11" s="534">
        <f>'Page 1-3'!J29</f>
        <v>0</v>
      </c>
      <c r="N11" s="535"/>
      <c r="O11" s="535"/>
      <c r="P11" s="536"/>
      <c r="Q11" s="545" t="s">
        <v>10</v>
      </c>
      <c r="R11" s="546"/>
      <c r="S11" s="549" t="s">
        <v>22</v>
      </c>
      <c r="T11" s="129"/>
      <c r="U11" s="549" t="s">
        <v>23</v>
      </c>
      <c r="V11" s="129"/>
      <c r="W11" s="688"/>
      <c r="X11" s="148"/>
      <c r="Y11" s="148"/>
      <c r="Z11" s="148"/>
      <c r="AA11" s="148"/>
      <c r="AB11" s="148"/>
      <c r="AC11" s="148"/>
      <c r="AD11" s="148"/>
      <c r="AE11" s="148"/>
      <c r="AF11" s="148"/>
      <c r="AG11" s="148"/>
      <c r="AH11" s="148"/>
      <c r="AI11" s="148"/>
    </row>
    <row r="12" spans="1:71" ht="3.75" customHeight="1" x14ac:dyDescent="0.25">
      <c r="A12" s="556"/>
      <c r="B12" s="557"/>
      <c r="C12" s="530"/>
      <c r="D12" s="531"/>
      <c r="E12" s="531"/>
      <c r="F12" s="531"/>
      <c r="G12" s="531"/>
      <c r="H12" s="532"/>
      <c r="I12" s="556"/>
      <c r="J12" s="557"/>
      <c r="K12" s="557"/>
      <c r="L12" s="557"/>
      <c r="M12" s="537"/>
      <c r="N12" s="538"/>
      <c r="O12" s="538"/>
      <c r="P12" s="539"/>
      <c r="Q12" s="547"/>
      <c r="R12" s="548"/>
      <c r="S12" s="550"/>
      <c r="T12" s="136"/>
      <c r="U12" s="550"/>
      <c r="V12" s="136"/>
      <c r="W12" s="689"/>
      <c r="X12" s="148"/>
      <c r="Y12" s="148"/>
      <c r="Z12" s="148"/>
      <c r="AA12" s="148"/>
      <c r="AB12" s="148"/>
      <c r="AC12" s="148"/>
      <c r="AD12" s="148"/>
      <c r="AE12" s="148"/>
      <c r="AF12" s="148"/>
      <c r="AG12" s="148"/>
      <c r="AH12" s="148"/>
      <c r="AI12" s="148"/>
      <c r="AJ12" s="9"/>
      <c r="AK12" s="9"/>
      <c r="AL12" s="9"/>
      <c r="AM12" s="9"/>
      <c r="AN12" s="9"/>
      <c r="AO12" s="9"/>
      <c r="AP12" s="9"/>
      <c r="AQ12" s="9"/>
      <c r="AR12" s="9"/>
      <c r="AS12" s="9"/>
      <c r="AT12" s="9"/>
    </row>
    <row r="13" spans="1:71" ht="19.5" customHeight="1" x14ac:dyDescent="0.25">
      <c r="A13" s="696" t="s">
        <v>156</v>
      </c>
      <c r="B13" s="696"/>
      <c r="C13" s="696"/>
      <c r="D13" s="696"/>
      <c r="E13" s="696"/>
      <c r="F13" s="696"/>
      <c r="G13" s="696"/>
      <c r="H13" s="696"/>
      <c r="I13" s="696"/>
      <c r="J13" s="696"/>
      <c r="K13" s="696"/>
      <c r="L13" s="696"/>
      <c r="M13" s="696"/>
      <c r="N13" s="696"/>
      <c r="O13" s="696"/>
      <c r="P13" s="696"/>
      <c r="Q13" s="696"/>
      <c r="R13" s="696"/>
      <c r="S13" s="696"/>
      <c r="T13" s="696"/>
      <c r="U13" s="696"/>
      <c r="V13" s="696"/>
      <c r="W13" s="696"/>
      <c r="X13" s="148"/>
      <c r="Y13" s="148"/>
      <c r="Z13" s="148"/>
      <c r="AA13" s="148"/>
      <c r="AB13" s="148"/>
      <c r="AC13" s="148"/>
      <c r="AD13" s="148"/>
      <c r="AE13" s="148"/>
      <c r="AF13" s="148"/>
      <c r="AG13" s="148"/>
      <c r="AH13" s="148"/>
      <c r="AI13" s="148"/>
      <c r="AJ13" s="9"/>
      <c r="AK13" s="9"/>
      <c r="AL13" s="9"/>
      <c r="AM13" s="9"/>
      <c r="AN13" s="9"/>
      <c r="AO13" s="9"/>
      <c r="AP13" s="9"/>
      <c r="AQ13" s="9"/>
      <c r="AR13" s="9"/>
      <c r="AS13" s="9"/>
      <c r="AT13" s="9"/>
    </row>
    <row r="14" spans="1:71" x14ac:dyDescent="0.25">
      <c r="A14" s="10" t="s">
        <v>138</v>
      </c>
      <c r="B14" s="597" t="s">
        <v>140</v>
      </c>
      <c r="C14" s="598"/>
      <c r="D14" s="598"/>
      <c r="E14" s="599"/>
      <c r="F14" s="10" t="s">
        <v>141</v>
      </c>
      <c r="G14" s="668" t="s">
        <v>142</v>
      </c>
      <c r="H14" s="566"/>
      <c r="I14" s="668" t="s">
        <v>143</v>
      </c>
      <c r="J14" s="612"/>
      <c r="K14" s="668" t="s">
        <v>144</v>
      </c>
      <c r="L14" s="566"/>
      <c r="M14" s="132" t="s">
        <v>146</v>
      </c>
      <c r="N14" s="668" t="s">
        <v>342</v>
      </c>
      <c r="O14" s="694"/>
      <c r="P14" s="668" t="s">
        <v>148</v>
      </c>
      <c r="Q14" s="612"/>
      <c r="R14" s="668" t="s">
        <v>150</v>
      </c>
      <c r="S14" s="566"/>
      <c r="T14" s="611" t="s">
        <v>151</v>
      </c>
      <c r="U14" s="611"/>
      <c r="V14" s="612"/>
      <c r="W14" s="690" t="s">
        <v>205</v>
      </c>
      <c r="X14" s="148"/>
      <c r="Y14" s="148"/>
      <c r="Z14" s="148"/>
      <c r="AA14" s="148"/>
      <c r="AB14" s="148"/>
      <c r="AC14" s="148"/>
      <c r="AD14" s="148"/>
      <c r="AE14" s="148"/>
      <c r="AF14" s="148"/>
      <c r="AG14" s="148"/>
      <c r="AH14" s="148"/>
      <c r="AI14" s="148"/>
      <c r="AJ14" s="9"/>
      <c r="AK14" s="9"/>
      <c r="AL14" s="9"/>
      <c r="AM14" s="9"/>
      <c r="AN14" s="9"/>
      <c r="AO14" s="9"/>
      <c r="AP14" s="9"/>
      <c r="AQ14" s="9"/>
      <c r="AR14" s="9"/>
      <c r="AS14" s="9"/>
      <c r="AT14" s="9"/>
    </row>
    <row r="15" spans="1:71" x14ac:dyDescent="0.25">
      <c r="A15" s="11" t="s">
        <v>139</v>
      </c>
      <c r="B15" s="600"/>
      <c r="C15" s="601"/>
      <c r="D15" s="601"/>
      <c r="E15" s="602"/>
      <c r="F15" s="11" t="s">
        <v>53</v>
      </c>
      <c r="G15" s="695" t="s">
        <v>53</v>
      </c>
      <c r="H15" s="697"/>
      <c r="I15" s="695" t="s">
        <v>53</v>
      </c>
      <c r="J15" s="697"/>
      <c r="K15" s="695" t="s">
        <v>145</v>
      </c>
      <c r="L15" s="431"/>
      <c r="M15" s="134" t="s">
        <v>147</v>
      </c>
      <c r="N15" s="692" t="s">
        <v>405</v>
      </c>
      <c r="O15" s="693"/>
      <c r="P15" s="695" t="s">
        <v>149</v>
      </c>
      <c r="Q15" s="431"/>
      <c r="R15" s="695" t="s">
        <v>54</v>
      </c>
      <c r="S15" s="431"/>
      <c r="T15" s="615" t="s">
        <v>152</v>
      </c>
      <c r="U15" s="615"/>
      <c r="V15" s="616"/>
      <c r="W15" s="691"/>
      <c r="X15" s="148"/>
      <c r="Y15" s="148"/>
      <c r="Z15" s="148"/>
      <c r="AA15" s="148"/>
      <c r="AB15" s="148"/>
      <c r="AC15" s="148"/>
      <c r="AD15" s="148"/>
      <c r="AE15" s="148"/>
      <c r="AF15" s="148"/>
      <c r="AG15" s="148"/>
      <c r="AH15" s="148"/>
      <c r="AI15" s="148"/>
      <c r="AJ15" s="9"/>
      <c r="AK15" s="9"/>
      <c r="AL15" s="9"/>
      <c r="AM15" s="9"/>
      <c r="AN15" s="9"/>
      <c r="AO15" s="9"/>
      <c r="AP15" s="9"/>
      <c r="AQ15" s="9"/>
      <c r="AR15" s="9"/>
      <c r="AS15" s="9"/>
      <c r="AT15" s="9"/>
      <c r="AU15" s="9"/>
      <c r="AV15" s="9"/>
      <c r="AW15" s="9"/>
      <c r="AX15" s="9"/>
      <c r="AY15" s="9"/>
      <c r="AZ15" s="9"/>
      <c r="BA15" s="14"/>
      <c r="BB15" s="14"/>
      <c r="BC15" s="14"/>
      <c r="BD15" s="14"/>
      <c r="BE15" s="14"/>
      <c r="BF15" s="14"/>
      <c r="BG15" s="14"/>
      <c r="BH15" s="14"/>
      <c r="BI15" s="14"/>
      <c r="BJ15" s="14"/>
      <c r="BK15" s="14"/>
      <c r="BL15" s="14"/>
      <c r="BM15" s="14"/>
      <c r="BN15" s="14"/>
      <c r="BO15" s="14"/>
      <c r="BP15" s="14"/>
      <c r="BQ15" s="14"/>
      <c r="BR15" s="14"/>
      <c r="BS15" s="14"/>
    </row>
    <row r="16" spans="1:71" ht="15" customHeight="1" x14ac:dyDescent="0.3">
      <c r="A16" s="60"/>
      <c r="B16" s="502" t="s">
        <v>153</v>
      </c>
      <c r="C16" s="503"/>
      <c r="D16" s="503"/>
      <c r="E16" s="504"/>
      <c r="F16" s="15">
        <v>180</v>
      </c>
      <c r="G16" s="701">
        <f>'Pg. 4 General Questions'!E86</f>
        <v>0</v>
      </c>
      <c r="H16" s="217"/>
      <c r="I16" s="505">
        <f>'Pg. 4 General Questions'!E87</f>
        <v>180</v>
      </c>
      <c r="J16" s="506"/>
      <c r="K16" s="505">
        <f>'Pg. 4 General Questions'!E89</f>
        <v>144</v>
      </c>
      <c r="L16" s="506"/>
      <c r="M16" s="59">
        <f>'Pg. 4 General Questions'!L84</f>
        <v>0</v>
      </c>
      <c r="N16" s="699"/>
      <c r="O16" s="700"/>
      <c r="P16" s="698"/>
      <c r="Q16" s="596"/>
      <c r="R16" s="613"/>
      <c r="S16" s="614"/>
      <c r="T16" s="182"/>
      <c r="U16" s="182"/>
      <c r="V16" s="596"/>
      <c r="W16" s="137"/>
      <c r="X16" s="148"/>
      <c r="Y16" s="148"/>
      <c r="Z16" s="148"/>
      <c r="AA16" s="148"/>
      <c r="AB16" s="148"/>
      <c r="AC16" s="148"/>
      <c r="AD16" s="148"/>
      <c r="AE16" s="148"/>
      <c r="AF16" s="148"/>
      <c r="AG16" s="148"/>
      <c r="AH16" s="148"/>
      <c r="AI16" s="148"/>
      <c r="AJ16" s="9"/>
      <c r="AK16" s="9"/>
      <c r="AL16" s="9"/>
      <c r="AM16" s="9"/>
      <c r="AN16" s="9"/>
      <c r="AO16" s="9"/>
      <c r="AP16" s="9"/>
      <c r="AQ16" s="9"/>
      <c r="AR16" s="9"/>
      <c r="AS16" s="9"/>
      <c r="AT16" s="9"/>
    </row>
    <row r="17" spans="1:46" ht="13.5" customHeight="1" x14ac:dyDescent="0.25">
      <c r="A17" s="606">
        <f>'Page 1-3'!P59</f>
        <v>0</v>
      </c>
      <c r="B17" s="657" t="s">
        <v>154</v>
      </c>
      <c r="C17" s="658"/>
      <c r="D17" s="658"/>
      <c r="E17" s="659"/>
      <c r="F17" s="641">
        <v>410</v>
      </c>
      <c r="G17" s="643">
        <f>'Part 6-Wholesale Distribution'!E197</f>
        <v>0</v>
      </c>
      <c r="H17" s="647"/>
      <c r="I17" s="643">
        <f>'Part 6-Wholesale Distribution'!E198</f>
        <v>410</v>
      </c>
      <c r="J17" s="644"/>
      <c r="K17" s="643">
        <f>'Part 6-Wholesale Distribution'!E200</f>
        <v>328</v>
      </c>
      <c r="L17" s="644"/>
      <c r="M17" s="617">
        <f>'Part 6-Wholesale Distribution'!J195</f>
        <v>0</v>
      </c>
      <c r="N17" s="619"/>
      <c r="O17" s="620"/>
      <c r="P17" s="629"/>
      <c r="Q17" s="630"/>
      <c r="R17" s="623"/>
      <c r="S17" s="625"/>
      <c r="T17" s="623"/>
      <c r="U17" s="624"/>
      <c r="V17" s="625"/>
      <c r="W17" s="651"/>
      <c r="X17" s="148"/>
      <c r="Y17" s="148"/>
      <c r="Z17" s="148"/>
      <c r="AA17" s="148"/>
      <c r="AB17" s="148"/>
      <c r="AC17" s="148"/>
      <c r="AD17" s="148"/>
      <c r="AE17" s="148"/>
      <c r="AF17" s="148"/>
      <c r="AG17" s="148"/>
      <c r="AH17" s="148"/>
      <c r="AI17" s="148"/>
      <c r="AJ17" s="9"/>
      <c r="AK17" s="9"/>
      <c r="AL17" s="9"/>
      <c r="AM17" s="9"/>
      <c r="AN17" s="9"/>
      <c r="AO17" s="9"/>
      <c r="AP17" s="9"/>
      <c r="AQ17" s="9"/>
      <c r="AR17" s="9"/>
      <c r="AS17" s="9"/>
      <c r="AT17" s="9"/>
    </row>
    <row r="18" spans="1:46" ht="13.5" customHeight="1" x14ac:dyDescent="0.25">
      <c r="A18" s="607"/>
      <c r="B18" s="608" t="s">
        <v>3</v>
      </c>
      <c r="C18" s="609"/>
      <c r="D18" s="609"/>
      <c r="E18" s="610"/>
      <c r="F18" s="642"/>
      <c r="G18" s="648"/>
      <c r="H18" s="649"/>
      <c r="I18" s="645"/>
      <c r="J18" s="646"/>
      <c r="K18" s="645"/>
      <c r="L18" s="646"/>
      <c r="M18" s="618"/>
      <c r="N18" s="621"/>
      <c r="O18" s="622"/>
      <c r="P18" s="631"/>
      <c r="Q18" s="632"/>
      <c r="R18" s="626"/>
      <c r="S18" s="628"/>
      <c r="T18" s="626"/>
      <c r="U18" s="627"/>
      <c r="V18" s="628"/>
      <c r="W18" s="651"/>
      <c r="X18" s="148"/>
      <c r="Y18" s="148"/>
      <c r="Z18" s="148"/>
      <c r="AA18" s="148"/>
      <c r="AB18" s="148"/>
      <c r="AC18" s="148"/>
      <c r="AD18" s="148"/>
      <c r="AE18" s="148"/>
      <c r="AF18" s="148"/>
      <c r="AG18" s="148"/>
      <c r="AH18" s="148"/>
      <c r="AI18" s="148"/>
      <c r="AJ18" s="9"/>
      <c r="AK18" s="9"/>
      <c r="AL18" s="9"/>
      <c r="AM18" s="9"/>
      <c r="AN18" s="9"/>
      <c r="AO18" s="9"/>
      <c r="AP18" s="9"/>
      <c r="AQ18" s="9"/>
      <c r="AR18" s="9"/>
      <c r="AS18" s="9"/>
      <c r="AT18" s="9"/>
    </row>
    <row r="19" spans="1:46" ht="13.5" customHeight="1" x14ac:dyDescent="0.25">
      <c r="A19" s="606">
        <f>'Page 1-3'!P61</f>
        <v>0</v>
      </c>
      <c r="B19" s="657" t="s">
        <v>155</v>
      </c>
      <c r="C19" s="658"/>
      <c r="D19" s="658"/>
      <c r="E19" s="659"/>
      <c r="F19" s="641">
        <v>180</v>
      </c>
      <c r="G19" s="643">
        <f>'Part 7-Preventive Food Defense'!E150</f>
        <v>0</v>
      </c>
      <c r="H19" s="647"/>
      <c r="I19" s="643">
        <f>'Part 7-Preventive Food Defense'!E151</f>
        <v>180</v>
      </c>
      <c r="J19" s="644"/>
      <c r="K19" s="643">
        <f>'Part 7-Preventive Food Defense'!E153</f>
        <v>144</v>
      </c>
      <c r="L19" s="644"/>
      <c r="M19" s="617">
        <f>'Part 7-Preventive Food Defense'!J148</f>
        <v>0</v>
      </c>
      <c r="N19" s="619"/>
      <c r="O19" s="620"/>
      <c r="P19" s="653"/>
      <c r="Q19" s="654"/>
      <c r="R19" s="637"/>
      <c r="S19" s="638"/>
      <c r="T19" s="623"/>
      <c r="U19" s="624"/>
      <c r="V19" s="625"/>
      <c r="W19" s="652"/>
      <c r="X19" s="148"/>
      <c r="Y19" s="148"/>
      <c r="Z19" s="148"/>
      <c r="AA19" s="148"/>
      <c r="AB19" s="148"/>
      <c r="AC19" s="148"/>
      <c r="AD19" s="148"/>
      <c r="AE19" s="148"/>
      <c r="AF19" s="148"/>
      <c r="AG19" s="148"/>
      <c r="AH19" s="148"/>
      <c r="AI19" s="148"/>
      <c r="AJ19" s="9"/>
      <c r="AK19" s="9"/>
      <c r="AL19" s="9"/>
      <c r="AM19" s="9"/>
      <c r="AN19" s="9"/>
      <c r="AO19" s="9"/>
      <c r="AP19" s="9"/>
      <c r="AQ19" s="9"/>
      <c r="AR19" s="9"/>
      <c r="AS19" s="9"/>
      <c r="AT19" s="9"/>
    </row>
    <row r="20" spans="1:46" ht="13.5" customHeight="1" x14ac:dyDescent="0.25">
      <c r="A20" s="607"/>
      <c r="B20" s="608" t="s">
        <v>4</v>
      </c>
      <c r="C20" s="609"/>
      <c r="D20" s="609"/>
      <c r="E20" s="610"/>
      <c r="F20" s="642"/>
      <c r="G20" s="648"/>
      <c r="H20" s="649"/>
      <c r="I20" s="645"/>
      <c r="J20" s="646"/>
      <c r="K20" s="645"/>
      <c r="L20" s="646"/>
      <c r="M20" s="618"/>
      <c r="N20" s="621"/>
      <c r="O20" s="622"/>
      <c r="P20" s="655"/>
      <c r="Q20" s="656"/>
      <c r="R20" s="639"/>
      <c r="S20" s="640"/>
      <c r="T20" s="626"/>
      <c r="U20" s="627"/>
      <c r="V20" s="628"/>
      <c r="W20" s="652"/>
      <c r="X20" s="148"/>
      <c r="Y20" s="148"/>
      <c r="Z20" s="148"/>
      <c r="AA20" s="148"/>
      <c r="AB20" s="148"/>
      <c r="AC20" s="148"/>
      <c r="AD20" s="148"/>
      <c r="AE20" s="148"/>
      <c r="AF20" s="148"/>
      <c r="AG20" s="148"/>
      <c r="AH20" s="148"/>
      <c r="AI20" s="148"/>
    </row>
    <row r="21" spans="1:46" ht="18.75" customHeight="1" x14ac:dyDescent="0.25">
      <c r="A21" s="650" t="s">
        <v>5</v>
      </c>
      <c r="B21" s="650"/>
      <c r="C21" s="650"/>
      <c r="D21" s="650"/>
      <c r="E21" s="650"/>
      <c r="F21" s="650"/>
      <c r="G21" s="650"/>
      <c r="H21" s="650"/>
      <c r="I21" s="650"/>
      <c r="J21" s="650"/>
      <c r="K21" s="650"/>
      <c r="L21" s="650"/>
      <c r="M21" s="650"/>
      <c r="N21" s="650"/>
      <c r="O21" s="650"/>
      <c r="P21" s="650"/>
      <c r="Q21" s="650"/>
      <c r="R21" s="650"/>
      <c r="S21" s="650"/>
      <c r="T21" s="650"/>
      <c r="U21" s="650"/>
      <c r="V21" s="650"/>
      <c r="W21" s="650"/>
      <c r="X21" s="148"/>
      <c r="Y21" s="148"/>
      <c r="Z21" s="148"/>
      <c r="AA21" s="148"/>
      <c r="AB21" s="148"/>
      <c r="AC21" s="148"/>
      <c r="AD21" s="148"/>
      <c r="AE21" s="148"/>
      <c r="AF21" s="148"/>
      <c r="AG21" s="148"/>
      <c r="AH21" s="148"/>
      <c r="AI21" s="148"/>
    </row>
    <row r="22" spans="1:46" ht="10.5" customHeight="1" x14ac:dyDescent="0.25">
      <c r="A22" s="668" t="s">
        <v>157</v>
      </c>
      <c r="B22" s="669"/>
      <c r="C22" s="663" t="s">
        <v>207</v>
      </c>
      <c r="D22" s="619"/>
      <c r="E22" s="633"/>
      <c r="F22" s="619"/>
      <c r="G22" s="620"/>
      <c r="H22" s="619"/>
      <c r="I22" s="633"/>
      <c r="J22" s="620"/>
      <c r="K22" s="619"/>
      <c r="L22" s="633"/>
      <c r="M22" s="620"/>
      <c r="N22" s="619"/>
      <c r="O22" s="633"/>
      <c r="P22" s="620"/>
      <c r="Q22" s="619"/>
      <c r="R22" s="620"/>
      <c r="S22" s="619"/>
      <c r="T22" s="633"/>
      <c r="U22" s="620"/>
      <c r="V22" s="619"/>
      <c r="W22" s="620"/>
      <c r="X22" s="148"/>
      <c r="Y22" s="148"/>
      <c r="Z22" s="148"/>
      <c r="AA22" s="148"/>
      <c r="AB22" s="148"/>
      <c r="AC22" s="148"/>
      <c r="AD22" s="148"/>
      <c r="AE22" s="148"/>
      <c r="AF22" s="148"/>
      <c r="AG22" s="148"/>
      <c r="AH22" s="148"/>
      <c r="AI22" s="148"/>
    </row>
    <row r="23" spans="1:46" ht="8.25" customHeight="1" x14ac:dyDescent="0.25">
      <c r="A23" s="670"/>
      <c r="B23" s="671"/>
      <c r="C23" s="664"/>
      <c r="D23" s="621"/>
      <c r="E23" s="634"/>
      <c r="F23" s="621"/>
      <c r="G23" s="622"/>
      <c r="H23" s="621"/>
      <c r="I23" s="634"/>
      <c r="J23" s="622"/>
      <c r="K23" s="621"/>
      <c r="L23" s="634"/>
      <c r="M23" s="622"/>
      <c r="N23" s="621"/>
      <c r="O23" s="634"/>
      <c r="P23" s="622"/>
      <c r="Q23" s="621"/>
      <c r="R23" s="622"/>
      <c r="S23" s="621"/>
      <c r="T23" s="634"/>
      <c r="U23" s="622"/>
      <c r="V23" s="621"/>
      <c r="W23" s="622"/>
      <c r="X23" s="148"/>
      <c r="Y23" s="148"/>
      <c r="Z23" s="148"/>
      <c r="AA23" s="148"/>
      <c r="AB23" s="148"/>
      <c r="AC23" s="148"/>
      <c r="AD23" s="148"/>
      <c r="AE23" s="148"/>
      <c r="AF23" s="148"/>
      <c r="AG23" s="148"/>
      <c r="AH23" s="148"/>
      <c r="AI23" s="148"/>
    </row>
    <row r="24" spans="1:46" ht="8.25" customHeight="1" x14ac:dyDescent="0.25">
      <c r="A24" s="672" t="s">
        <v>256</v>
      </c>
      <c r="B24" s="673"/>
      <c r="C24" s="665" t="s">
        <v>255</v>
      </c>
      <c r="D24" s="591"/>
      <c r="E24" s="635"/>
      <c r="F24" s="591"/>
      <c r="G24" s="592"/>
      <c r="H24" s="591"/>
      <c r="I24" s="635"/>
      <c r="J24" s="592"/>
      <c r="K24" s="591"/>
      <c r="L24" s="635"/>
      <c r="M24" s="592"/>
      <c r="N24" s="591"/>
      <c r="O24" s="635"/>
      <c r="P24" s="592"/>
      <c r="Q24" s="591"/>
      <c r="R24" s="592"/>
      <c r="S24" s="591"/>
      <c r="T24" s="635"/>
      <c r="U24" s="592"/>
      <c r="V24" s="591"/>
      <c r="W24" s="592"/>
      <c r="X24" s="148"/>
      <c r="Y24" s="148"/>
      <c r="Z24" s="148"/>
      <c r="AA24" s="148"/>
      <c r="AB24" s="148"/>
      <c r="AC24" s="148"/>
      <c r="AD24" s="148"/>
      <c r="AE24" s="148"/>
      <c r="AF24" s="148"/>
      <c r="AG24" s="148"/>
      <c r="AH24" s="148"/>
      <c r="AI24" s="148"/>
    </row>
    <row r="25" spans="1:46" ht="10.5" customHeight="1" x14ac:dyDescent="0.25">
      <c r="A25" s="674"/>
      <c r="B25" s="675"/>
      <c r="C25" s="666"/>
      <c r="D25" s="593"/>
      <c r="E25" s="636"/>
      <c r="F25" s="593"/>
      <c r="G25" s="594"/>
      <c r="H25" s="593"/>
      <c r="I25" s="636"/>
      <c r="J25" s="594"/>
      <c r="K25" s="593"/>
      <c r="L25" s="636"/>
      <c r="M25" s="594"/>
      <c r="N25" s="593"/>
      <c r="O25" s="636"/>
      <c r="P25" s="594"/>
      <c r="Q25" s="593"/>
      <c r="R25" s="594"/>
      <c r="S25" s="593"/>
      <c r="T25" s="636"/>
      <c r="U25" s="594"/>
      <c r="V25" s="593"/>
      <c r="W25" s="594"/>
      <c r="X25" s="148"/>
      <c r="Y25" s="148"/>
      <c r="Z25" s="148"/>
      <c r="AA25" s="148"/>
      <c r="AB25" s="148"/>
      <c r="AC25" s="148"/>
      <c r="AD25" s="148"/>
      <c r="AE25" s="148"/>
      <c r="AF25" s="148"/>
      <c r="AG25" s="148"/>
      <c r="AH25" s="148"/>
      <c r="AI25" s="148"/>
    </row>
    <row r="26" spans="1:46" ht="24" customHeight="1" x14ac:dyDescent="0.25">
      <c r="A26" s="660" t="s">
        <v>210</v>
      </c>
      <c r="B26" s="557"/>
      <c r="C26" s="661"/>
      <c r="D26" s="661"/>
      <c r="E26" s="661"/>
      <c r="F26" s="661"/>
      <c r="G26" s="595" t="s">
        <v>211</v>
      </c>
      <c r="H26" s="595"/>
      <c r="I26" s="595"/>
      <c r="J26" s="595"/>
      <c r="K26" s="595"/>
      <c r="L26" s="182"/>
      <c r="M26" s="182"/>
      <c r="N26" s="182"/>
      <c r="O26" s="182"/>
      <c r="P26" s="182"/>
      <c r="Q26" s="595" t="s">
        <v>212</v>
      </c>
      <c r="R26" s="595"/>
      <c r="S26" s="595"/>
      <c r="T26" s="595"/>
      <c r="U26" s="182"/>
      <c r="V26" s="182"/>
      <c r="W26" s="596"/>
      <c r="X26" s="148"/>
      <c r="Y26" s="148"/>
      <c r="Z26" s="148"/>
      <c r="AA26" s="148"/>
      <c r="AB26" s="148"/>
      <c r="AC26" s="148"/>
      <c r="AD26" s="148"/>
      <c r="AE26" s="148"/>
      <c r="AF26" s="148"/>
      <c r="AG26" s="148"/>
      <c r="AH26" s="148"/>
      <c r="AI26" s="148"/>
    </row>
    <row r="27" spans="1:46" ht="27" customHeight="1" x14ac:dyDescent="0.3">
      <c r="A27" s="667" t="s">
        <v>206</v>
      </c>
      <c r="B27" s="667"/>
      <c r="C27" s="667"/>
      <c r="D27" s="603"/>
      <c r="E27" s="145"/>
      <c r="F27" s="145"/>
      <c r="G27" s="145"/>
      <c r="H27" s="145"/>
      <c r="I27" s="676" t="s">
        <v>208</v>
      </c>
      <c r="J27" s="676"/>
      <c r="K27" s="676"/>
      <c r="L27" s="516"/>
      <c r="M27" s="516"/>
      <c r="N27" s="516"/>
      <c r="O27" s="516"/>
      <c r="P27" s="662" t="s">
        <v>257</v>
      </c>
      <c r="Q27" s="662"/>
      <c r="R27" s="516"/>
      <c r="S27" s="182"/>
      <c r="T27" s="182"/>
      <c r="U27" s="182"/>
      <c r="V27" s="182"/>
      <c r="W27" s="182"/>
      <c r="X27" s="148"/>
      <c r="Y27" s="148"/>
      <c r="Z27" s="148"/>
      <c r="AA27" s="148"/>
      <c r="AB27" s="148"/>
      <c r="AC27" s="148"/>
      <c r="AD27" s="148"/>
      <c r="AE27" s="148"/>
      <c r="AF27" s="148"/>
      <c r="AG27" s="148"/>
      <c r="AH27" s="148"/>
      <c r="AI27" s="148"/>
    </row>
    <row r="28" spans="1:46" ht="21.75" customHeight="1" x14ac:dyDescent="0.3">
      <c r="A28" s="551" t="s">
        <v>213</v>
      </c>
      <c r="B28" s="514"/>
      <c r="C28" s="514"/>
      <c r="D28" s="514"/>
      <c r="E28" s="603"/>
      <c r="F28" s="145"/>
      <c r="G28" s="145"/>
      <c r="H28" s="145"/>
      <c r="I28" s="145"/>
      <c r="J28" s="145"/>
      <c r="K28" s="145"/>
      <c r="L28" s="145"/>
      <c r="M28" s="12" t="s">
        <v>166</v>
      </c>
      <c r="N28" s="204"/>
      <c r="O28" s="204"/>
      <c r="P28" s="204"/>
      <c r="Q28" s="204"/>
      <c r="R28" s="604" t="s">
        <v>214</v>
      </c>
      <c r="S28" s="604"/>
      <c r="T28" s="604"/>
      <c r="U28" s="604"/>
      <c r="V28" s="605"/>
      <c r="W28" s="126"/>
      <c r="X28" s="148"/>
      <c r="Y28" s="148"/>
      <c r="Z28" s="148"/>
      <c r="AA28" s="148"/>
      <c r="AB28" s="148"/>
      <c r="AC28" s="148"/>
      <c r="AD28" s="148"/>
      <c r="AE28" s="148"/>
      <c r="AF28" s="148"/>
      <c r="AG28" s="148"/>
      <c r="AH28" s="148"/>
      <c r="AI28" s="148"/>
    </row>
    <row r="29" spans="1:46" x14ac:dyDescent="0.25">
      <c r="A29" s="522"/>
      <c r="B29" s="522"/>
      <c r="C29" s="522"/>
      <c r="D29" s="522"/>
      <c r="E29" s="522"/>
      <c r="F29" s="522"/>
      <c r="G29" s="522"/>
      <c r="H29" s="522"/>
      <c r="I29" s="522"/>
      <c r="J29" s="522"/>
      <c r="K29" s="522"/>
      <c r="L29" s="522"/>
      <c r="M29" s="522"/>
      <c r="N29" s="522"/>
      <c r="O29" s="522"/>
      <c r="P29" s="522"/>
      <c r="Q29" s="522"/>
      <c r="R29" s="522"/>
      <c r="S29" s="522"/>
      <c r="T29" s="522"/>
      <c r="U29" s="522"/>
      <c r="V29" s="522"/>
      <c r="W29" s="522"/>
      <c r="X29" s="148"/>
      <c r="Y29" s="148"/>
      <c r="Z29" s="148"/>
      <c r="AA29" s="148"/>
      <c r="AB29" s="148"/>
      <c r="AC29" s="148"/>
      <c r="AD29" s="148"/>
      <c r="AE29" s="148"/>
      <c r="AF29" s="148"/>
      <c r="AG29" s="148"/>
      <c r="AH29" s="148"/>
      <c r="AI29" s="148"/>
    </row>
    <row r="30" spans="1:46" ht="13.5" customHeight="1" thickBot="1" x14ac:dyDescent="0.3">
      <c r="A30" s="679" t="s">
        <v>260</v>
      </c>
      <c r="B30" s="679"/>
      <c r="C30" s="679"/>
      <c r="D30" s="679"/>
      <c r="E30" s="679"/>
      <c r="F30" s="679"/>
      <c r="G30" s="679"/>
      <c r="H30" s="679"/>
      <c r="I30" s="679"/>
      <c r="J30" s="679"/>
      <c r="K30" s="679"/>
      <c r="L30" s="679"/>
      <c r="M30" s="679"/>
      <c r="N30" s="679"/>
      <c r="O30" s="679"/>
      <c r="P30" s="679"/>
      <c r="Q30" s="679"/>
      <c r="R30" s="679"/>
      <c r="S30" s="679"/>
      <c r="T30" s="679"/>
      <c r="U30" s="679"/>
      <c r="V30" s="679"/>
      <c r="W30" s="679"/>
      <c r="X30" s="148"/>
      <c r="Y30" s="148"/>
      <c r="Z30" s="148"/>
      <c r="AA30" s="148"/>
      <c r="AB30" s="148"/>
      <c r="AC30" s="148"/>
      <c r="AD30" s="148"/>
      <c r="AE30" s="148"/>
      <c r="AF30" s="148"/>
      <c r="AG30" s="148"/>
      <c r="AH30" s="148"/>
      <c r="AI30" s="148"/>
    </row>
    <row r="31" spans="1:46" ht="15.75" customHeight="1" x14ac:dyDescent="0.25">
      <c r="A31" s="510" t="s">
        <v>6</v>
      </c>
      <c r="B31" s="511"/>
      <c r="C31" s="512"/>
      <c r="D31" s="512"/>
      <c r="E31" s="512"/>
      <c r="F31" s="512"/>
      <c r="G31" s="512"/>
      <c r="H31" s="512"/>
      <c r="I31" s="512"/>
      <c r="J31" s="512"/>
      <c r="K31" s="512"/>
      <c r="L31" s="512"/>
      <c r="M31" s="512"/>
      <c r="N31" s="512"/>
      <c r="O31" s="512"/>
      <c r="P31" s="512"/>
      <c r="Q31" s="512"/>
      <c r="R31" s="512"/>
      <c r="S31" s="512"/>
      <c r="T31" s="512"/>
      <c r="U31" s="512"/>
      <c r="V31" s="512"/>
      <c r="W31" s="512"/>
      <c r="X31" s="148"/>
      <c r="Y31" s="148"/>
      <c r="Z31" s="148"/>
      <c r="AA31" s="148"/>
      <c r="AB31" s="148"/>
      <c r="AC31" s="148"/>
      <c r="AD31" s="148"/>
      <c r="AE31" s="148"/>
      <c r="AF31" s="148"/>
      <c r="AG31" s="148"/>
      <c r="AH31" s="148"/>
      <c r="AI31" s="148"/>
    </row>
    <row r="32" spans="1:46" ht="14.25" customHeight="1" x14ac:dyDescent="0.25">
      <c r="A32" s="680" t="s">
        <v>7</v>
      </c>
      <c r="B32" s="681"/>
      <c r="C32" s="681"/>
      <c r="D32" s="145"/>
      <c r="E32" s="145"/>
      <c r="F32" s="145"/>
      <c r="G32" s="145"/>
      <c r="H32" s="145"/>
      <c r="I32" s="145"/>
      <c r="J32" s="145"/>
      <c r="K32" s="683" t="s">
        <v>209</v>
      </c>
      <c r="L32" s="683"/>
      <c r="M32" s="683"/>
      <c r="N32" s="138"/>
      <c r="O32" s="509"/>
      <c r="P32" s="509"/>
      <c r="Q32" s="509"/>
      <c r="R32" s="509"/>
      <c r="S32" s="509"/>
      <c r="T32" s="509"/>
      <c r="U32" s="509"/>
      <c r="V32" s="509"/>
      <c r="W32" s="509"/>
      <c r="X32" s="148"/>
      <c r="Y32" s="148"/>
      <c r="Z32" s="148"/>
      <c r="AA32" s="148"/>
      <c r="AB32" s="148"/>
      <c r="AC32" s="148"/>
      <c r="AD32" s="148"/>
      <c r="AE32" s="148"/>
      <c r="AF32" s="148"/>
      <c r="AG32" s="148"/>
      <c r="AH32" s="148"/>
      <c r="AI32" s="148"/>
    </row>
    <row r="33" spans="1:35" ht="17.25" customHeight="1" x14ac:dyDescent="0.3">
      <c r="A33" s="682" t="s">
        <v>8</v>
      </c>
      <c r="B33" s="682"/>
      <c r="C33" s="139"/>
      <c r="D33" s="684" t="s">
        <v>167</v>
      </c>
      <c r="E33" s="685"/>
      <c r="F33" s="685"/>
      <c r="G33" s="686"/>
      <c r="H33" s="687"/>
      <c r="I33" s="687"/>
      <c r="J33" s="16" t="s">
        <v>168</v>
      </c>
      <c r="K33" s="16"/>
      <c r="L33" s="16"/>
      <c r="M33" s="133"/>
      <c r="N33" s="133"/>
      <c r="O33" s="677"/>
      <c r="P33" s="516"/>
      <c r="Q33" s="516"/>
      <c r="R33" s="131"/>
      <c r="S33" s="678" t="s">
        <v>404</v>
      </c>
      <c r="T33" s="678"/>
      <c r="U33" s="678"/>
      <c r="V33" s="678"/>
      <c r="W33" s="678"/>
      <c r="X33" s="148"/>
      <c r="Y33" s="148"/>
      <c r="Z33" s="148"/>
      <c r="AA33" s="148"/>
      <c r="AB33" s="148"/>
      <c r="AC33" s="148"/>
      <c r="AD33" s="148"/>
      <c r="AE33" s="148"/>
      <c r="AF33" s="148"/>
      <c r="AG33" s="148"/>
      <c r="AH33" s="148"/>
      <c r="AI33" s="148"/>
    </row>
    <row r="34" spans="1:35" ht="12" customHeight="1" x14ac:dyDescent="0.25">
      <c r="A34" s="522"/>
      <c r="B34" s="522"/>
      <c r="C34" s="522"/>
      <c r="D34" s="522"/>
      <c r="E34" s="522"/>
      <c r="F34" s="522"/>
      <c r="G34" s="522"/>
      <c r="H34" s="522"/>
      <c r="I34" s="522"/>
      <c r="J34" s="522"/>
      <c r="K34" s="522"/>
      <c r="L34" s="522"/>
      <c r="M34" s="522"/>
      <c r="N34" s="522"/>
      <c r="O34" s="522"/>
      <c r="P34" s="522"/>
      <c r="Q34" s="522"/>
      <c r="R34" s="140"/>
      <c r="S34" s="521" t="s">
        <v>215</v>
      </c>
      <c r="T34" s="514"/>
      <c r="U34" s="514"/>
      <c r="V34" s="514"/>
      <c r="W34" s="514"/>
      <c r="X34" s="148"/>
      <c r="Y34" s="148"/>
      <c r="Z34" s="148"/>
      <c r="AA34" s="148"/>
      <c r="AB34" s="148"/>
      <c r="AC34" s="148"/>
      <c r="AD34" s="148"/>
      <c r="AE34" s="148"/>
      <c r="AF34" s="148"/>
      <c r="AG34" s="148"/>
      <c r="AH34" s="148"/>
      <c r="AI34" s="148"/>
    </row>
    <row r="35" spans="1:35" ht="11.25" customHeight="1" x14ac:dyDescent="0.25">
      <c r="A35" s="513" t="s">
        <v>216</v>
      </c>
      <c r="B35" s="514"/>
      <c r="C35" s="514"/>
      <c r="D35" s="514"/>
      <c r="E35" s="514"/>
      <c r="F35" s="514"/>
      <c r="G35" s="514"/>
      <c r="H35" s="514"/>
      <c r="I35" s="514"/>
      <c r="J35" s="514"/>
      <c r="K35" s="514"/>
      <c r="L35" s="514"/>
      <c r="M35" s="514"/>
      <c r="N35" s="514"/>
      <c r="O35" s="514"/>
      <c r="P35" s="514"/>
      <c r="Q35" s="514"/>
      <c r="R35" s="141"/>
      <c r="S35" s="521" t="s">
        <v>25</v>
      </c>
      <c r="T35" s="521"/>
      <c r="U35" s="521"/>
      <c r="V35" s="521"/>
      <c r="W35" s="521"/>
      <c r="X35" s="148"/>
      <c r="Y35" s="148"/>
      <c r="Z35" s="148"/>
      <c r="AA35" s="148"/>
      <c r="AB35" s="148"/>
      <c r="AC35" s="148"/>
      <c r="AD35" s="148"/>
      <c r="AE35" s="148"/>
      <c r="AF35" s="148"/>
      <c r="AG35" s="148"/>
      <c r="AH35" s="148"/>
      <c r="AI35" s="148"/>
    </row>
    <row r="36" spans="1:35" x14ac:dyDescent="0.25">
      <c r="A36" s="507"/>
      <c r="B36" s="508"/>
      <c r="C36" s="508"/>
      <c r="D36" s="508"/>
      <c r="E36" s="508"/>
      <c r="F36" s="508"/>
      <c r="G36" s="508"/>
      <c r="H36" s="508"/>
      <c r="I36" s="508"/>
      <c r="J36" s="508"/>
      <c r="K36" s="508"/>
      <c r="L36" s="508"/>
      <c r="M36" s="508"/>
      <c r="N36" s="508"/>
      <c r="O36" s="508"/>
      <c r="P36" s="508"/>
      <c r="Q36" s="508"/>
      <c r="R36" s="508"/>
      <c r="S36" s="508"/>
      <c r="T36" s="508"/>
      <c r="U36" s="508"/>
      <c r="V36" s="508"/>
      <c r="W36" s="508"/>
      <c r="X36" s="148"/>
      <c r="Y36" s="148"/>
      <c r="Z36" s="148"/>
      <c r="AA36" s="148"/>
      <c r="AB36" s="148"/>
      <c r="AC36" s="148"/>
      <c r="AD36" s="148"/>
      <c r="AE36" s="148"/>
      <c r="AF36" s="148"/>
      <c r="AG36" s="148"/>
      <c r="AH36" s="148"/>
      <c r="AI36" s="148"/>
    </row>
    <row r="37" spans="1:35" x14ac:dyDescent="0.25">
      <c r="A37" s="148"/>
      <c r="B37" s="148"/>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c r="AA37" s="148"/>
      <c r="AB37" s="148"/>
      <c r="AC37" s="148"/>
      <c r="AD37" s="148"/>
      <c r="AE37" s="148"/>
      <c r="AF37" s="148"/>
      <c r="AG37" s="148"/>
      <c r="AH37" s="148"/>
      <c r="AI37" s="148"/>
    </row>
    <row r="38" spans="1:35" x14ac:dyDescent="0.25">
      <c r="A38" s="148"/>
      <c r="B38" s="148"/>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c r="AA38" s="148"/>
      <c r="AB38" s="148"/>
      <c r="AC38" s="148"/>
      <c r="AD38" s="148"/>
      <c r="AE38" s="148"/>
      <c r="AF38" s="148"/>
      <c r="AG38" s="148"/>
      <c r="AH38" s="148"/>
      <c r="AI38" s="148"/>
    </row>
    <row r="39" spans="1:35" x14ac:dyDescent="0.25">
      <c r="A39" s="148"/>
      <c r="B39" s="148"/>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c r="AA39" s="148"/>
      <c r="AB39" s="148"/>
      <c r="AC39" s="148"/>
      <c r="AD39" s="148"/>
      <c r="AE39" s="148"/>
      <c r="AF39" s="148"/>
      <c r="AG39" s="148"/>
      <c r="AH39" s="148"/>
      <c r="AI39" s="148"/>
    </row>
    <row r="40" spans="1:35" x14ac:dyDescent="0.25">
      <c r="A40" s="148"/>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c r="AA40" s="148"/>
      <c r="AB40" s="148"/>
      <c r="AC40" s="148"/>
      <c r="AD40" s="148"/>
      <c r="AE40" s="148"/>
      <c r="AF40" s="148"/>
      <c r="AG40" s="148"/>
      <c r="AH40" s="148"/>
      <c r="AI40" s="148"/>
    </row>
    <row r="41" spans="1:35" x14ac:dyDescent="0.25">
      <c r="A41" s="148"/>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c r="AA41" s="148"/>
      <c r="AB41" s="148"/>
      <c r="AC41" s="148"/>
      <c r="AD41" s="148"/>
      <c r="AE41" s="148"/>
      <c r="AF41" s="148"/>
      <c r="AG41" s="148"/>
      <c r="AH41" s="148"/>
      <c r="AI41" s="148"/>
    </row>
    <row r="42" spans="1:35" x14ac:dyDescent="0.25">
      <c r="A42" s="148"/>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c r="AA42" s="148"/>
      <c r="AB42" s="148"/>
      <c r="AC42" s="148"/>
      <c r="AD42" s="148"/>
      <c r="AE42" s="148"/>
      <c r="AF42" s="148"/>
      <c r="AG42" s="148"/>
      <c r="AH42" s="148"/>
      <c r="AI42" s="148"/>
    </row>
    <row r="43" spans="1:35" x14ac:dyDescent="0.25">
      <c r="A43" s="148"/>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c r="AB43" s="148"/>
      <c r="AC43" s="148"/>
      <c r="AD43" s="148"/>
      <c r="AE43" s="148"/>
      <c r="AF43" s="148"/>
      <c r="AG43" s="148"/>
      <c r="AH43" s="148"/>
      <c r="AI43" s="148"/>
    </row>
    <row r="44" spans="1:35" x14ac:dyDescent="0.25">
      <c r="A44" s="148"/>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c r="AB44" s="148"/>
      <c r="AC44" s="148"/>
      <c r="AD44" s="148"/>
      <c r="AE44" s="148"/>
      <c r="AF44" s="148"/>
      <c r="AG44" s="148"/>
      <c r="AH44" s="148"/>
      <c r="AI44" s="148"/>
    </row>
    <row r="45" spans="1:35" x14ac:dyDescent="0.25">
      <c r="A45" s="148"/>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8"/>
      <c r="AH45" s="148"/>
      <c r="AI45" s="148"/>
    </row>
    <row r="46" spans="1:35" x14ac:dyDescent="0.25">
      <c r="A46" s="148"/>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8"/>
      <c r="AF46" s="148"/>
      <c r="AG46" s="148"/>
      <c r="AH46" s="148"/>
      <c r="AI46" s="148"/>
    </row>
    <row r="47" spans="1:35" x14ac:dyDescent="0.25">
      <c r="A47" s="148"/>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c r="AA47" s="148"/>
      <c r="AB47" s="148"/>
      <c r="AC47" s="148"/>
      <c r="AD47" s="148"/>
      <c r="AE47" s="148"/>
      <c r="AF47" s="148"/>
      <c r="AG47" s="148"/>
      <c r="AH47" s="148"/>
      <c r="AI47" s="148"/>
    </row>
    <row r="48" spans="1:35" x14ac:dyDescent="0.25">
      <c r="A48" s="148"/>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c r="AI48" s="148"/>
    </row>
    <row r="49" spans="1:35" x14ac:dyDescent="0.25">
      <c r="A49" s="148"/>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c r="AB49" s="148"/>
      <c r="AC49" s="148"/>
      <c r="AD49" s="148"/>
      <c r="AE49" s="148"/>
      <c r="AF49" s="148"/>
      <c r="AG49" s="148"/>
      <c r="AH49" s="148"/>
      <c r="AI49" s="148"/>
    </row>
    <row r="50" spans="1:35" x14ac:dyDescent="0.25">
      <c r="A50" s="148"/>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row>
    <row r="51" spans="1:35" x14ac:dyDescent="0.25">
      <c r="A51" s="148"/>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148"/>
      <c r="AH51" s="148"/>
      <c r="AI51" s="148"/>
    </row>
    <row r="52" spans="1:35" x14ac:dyDescent="0.25">
      <c r="A52" s="148"/>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c r="AI52" s="148"/>
    </row>
    <row r="53" spans="1:35" x14ac:dyDescent="0.25">
      <c r="A53" s="148"/>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c r="AB53" s="148"/>
      <c r="AC53" s="148"/>
      <c r="AD53" s="148"/>
      <c r="AE53" s="148"/>
      <c r="AF53" s="148"/>
      <c r="AG53" s="148"/>
      <c r="AH53" s="148"/>
      <c r="AI53" s="148"/>
    </row>
    <row r="54" spans="1:35" x14ac:dyDescent="0.25">
      <c r="A54" s="148"/>
      <c r="B54" s="148"/>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c r="AB54" s="148"/>
      <c r="AC54" s="148"/>
      <c r="AD54" s="148"/>
      <c r="AE54" s="148"/>
      <c r="AF54" s="148"/>
      <c r="AG54" s="148"/>
      <c r="AH54" s="148"/>
      <c r="AI54" s="148"/>
    </row>
    <row r="55" spans="1:35" x14ac:dyDescent="0.25">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c r="AI55" s="148"/>
    </row>
    <row r="56" spans="1:35" x14ac:dyDescent="0.25">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c r="AI56" s="148"/>
    </row>
    <row r="57" spans="1:35" x14ac:dyDescent="0.25">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row>
    <row r="58" spans="1:35" x14ac:dyDescent="0.25">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c r="AI58" s="148"/>
    </row>
    <row r="59" spans="1:35" x14ac:dyDescent="0.25">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row>
    <row r="60" spans="1:35" x14ac:dyDescent="0.25">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row>
    <row r="61" spans="1:35" x14ac:dyDescent="0.25">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c r="AI61" s="148"/>
    </row>
    <row r="62" spans="1:35" x14ac:dyDescent="0.25">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row>
    <row r="63" spans="1:35" x14ac:dyDescent="0.25">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row>
    <row r="64" spans="1:35" x14ac:dyDescent="0.25">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148"/>
      <c r="AH64" s="148"/>
      <c r="AI64" s="148"/>
    </row>
    <row r="65" spans="1:35" x14ac:dyDescent="0.2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148"/>
      <c r="AH65" s="148"/>
      <c r="AI65" s="148"/>
    </row>
    <row r="66" spans="1:35" x14ac:dyDescent="0.25">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c r="AH66" s="148"/>
      <c r="AI66" s="148"/>
    </row>
    <row r="67" spans="1:35" x14ac:dyDescent="0.25">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row>
    <row r="68" spans="1:35" x14ac:dyDescent="0.25">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c r="AH68" s="148"/>
      <c r="AI68" s="148"/>
    </row>
    <row r="69" spans="1:35" x14ac:dyDescent="0.25">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c r="AI69" s="148"/>
    </row>
    <row r="70" spans="1:35" x14ac:dyDescent="0.25">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row>
    <row r="71" spans="1:35" x14ac:dyDescent="0.25">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148"/>
      <c r="AH71" s="148"/>
      <c r="AI71" s="148"/>
    </row>
    <row r="72" spans="1:35" x14ac:dyDescent="0.25">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c r="AB72" s="148"/>
      <c r="AC72" s="148"/>
      <c r="AD72" s="148"/>
      <c r="AE72" s="148"/>
      <c r="AF72" s="148"/>
      <c r="AG72" s="148"/>
      <c r="AH72" s="148"/>
      <c r="AI72" s="148"/>
    </row>
    <row r="73" spans="1:35" x14ac:dyDescent="0.25">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c r="AI73" s="148"/>
    </row>
    <row r="74" spans="1:35" x14ac:dyDescent="0.25">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c r="AB74" s="148"/>
      <c r="AC74" s="148"/>
      <c r="AD74" s="148"/>
      <c r="AE74" s="148"/>
      <c r="AF74" s="148"/>
      <c r="AG74" s="148"/>
      <c r="AH74" s="148"/>
      <c r="AI74" s="148"/>
    </row>
  </sheetData>
  <sheetProtection password="D6D7" sheet="1" objects="1" scenarios="1"/>
  <dataConsolidate link="1">
    <dataRefs count="1">
      <dataRef ref="A4" sheet="Audit Scoresheet"/>
    </dataRefs>
  </dataConsolidate>
  <mergeCells count="146">
    <mergeCell ref="W11:W12"/>
    <mergeCell ref="W14:W15"/>
    <mergeCell ref="N15:O15"/>
    <mergeCell ref="N14:O14"/>
    <mergeCell ref="R14:S14"/>
    <mergeCell ref="R15:S15"/>
    <mergeCell ref="U11:U12"/>
    <mergeCell ref="I11:L12"/>
    <mergeCell ref="B19:E19"/>
    <mergeCell ref="F19:F20"/>
    <mergeCell ref="G14:H14"/>
    <mergeCell ref="P14:Q14"/>
    <mergeCell ref="P15:Q15"/>
    <mergeCell ref="A11:B12"/>
    <mergeCell ref="A13:W13"/>
    <mergeCell ref="I14:J14"/>
    <mergeCell ref="I15:J15"/>
    <mergeCell ref="K14:L14"/>
    <mergeCell ref="K15:L15"/>
    <mergeCell ref="G15:H15"/>
    <mergeCell ref="P16:Q16"/>
    <mergeCell ref="N16:O16"/>
    <mergeCell ref="G16:H16"/>
    <mergeCell ref="I16:J16"/>
    <mergeCell ref="O33:Q33"/>
    <mergeCell ref="S33:W33"/>
    <mergeCell ref="A30:W30"/>
    <mergeCell ref="A32:C32"/>
    <mergeCell ref="A33:B33"/>
    <mergeCell ref="D32:J32"/>
    <mergeCell ref="K32:M32"/>
    <mergeCell ref="D33:F33"/>
    <mergeCell ref="G33:I33"/>
    <mergeCell ref="D27:H27"/>
    <mergeCell ref="A26:F26"/>
    <mergeCell ref="G26:K26"/>
    <mergeCell ref="P27:Q27"/>
    <mergeCell ref="C22:C23"/>
    <mergeCell ref="L27:O27"/>
    <mergeCell ref="D22:E23"/>
    <mergeCell ref="C24:C25"/>
    <mergeCell ref="A27:C27"/>
    <mergeCell ref="H22:J23"/>
    <mergeCell ref="H24:J25"/>
    <mergeCell ref="K22:M23"/>
    <mergeCell ref="K24:M25"/>
    <mergeCell ref="L26:P26"/>
    <mergeCell ref="D24:E25"/>
    <mergeCell ref="F24:G25"/>
    <mergeCell ref="A22:B23"/>
    <mergeCell ref="A24:B25"/>
    <mergeCell ref="I27:K27"/>
    <mergeCell ref="S24:U25"/>
    <mergeCell ref="V22:W23"/>
    <mergeCell ref="F22:G23"/>
    <mergeCell ref="R19:S20"/>
    <mergeCell ref="Q22:R23"/>
    <mergeCell ref="N22:P23"/>
    <mergeCell ref="F17:F18"/>
    <mergeCell ref="M17:M18"/>
    <mergeCell ref="I17:J18"/>
    <mergeCell ref="G19:H20"/>
    <mergeCell ref="G17:H18"/>
    <mergeCell ref="A21:W21"/>
    <mergeCell ref="W17:W18"/>
    <mergeCell ref="W19:W20"/>
    <mergeCell ref="K19:L20"/>
    <mergeCell ref="P19:Q20"/>
    <mergeCell ref="Q24:R25"/>
    <mergeCell ref="N24:P25"/>
    <mergeCell ref="I19:J20"/>
    <mergeCell ref="K17:L18"/>
    <mergeCell ref="A19:A20"/>
    <mergeCell ref="B17:E17"/>
    <mergeCell ref="B18:E18"/>
    <mergeCell ref="S35:W35"/>
    <mergeCell ref="V24:W25"/>
    <mergeCell ref="Q26:T26"/>
    <mergeCell ref="U26:W26"/>
    <mergeCell ref="A29:W29"/>
    <mergeCell ref="B14:E15"/>
    <mergeCell ref="E28:L28"/>
    <mergeCell ref="R27:W27"/>
    <mergeCell ref="N28:Q28"/>
    <mergeCell ref="R28:V28"/>
    <mergeCell ref="A17:A18"/>
    <mergeCell ref="B20:E20"/>
    <mergeCell ref="T14:V14"/>
    <mergeCell ref="R16:S16"/>
    <mergeCell ref="T16:V16"/>
    <mergeCell ref="T15:V15"/>
    <mergeCell ref="M19:M20"/>
    <mergeCell ref="N19:O20"/>
    <mergeCell ref="T19:V20"/>
    <mergeCell ref="R17:S18"/>
    <mergeCell ref="N17:O18"/>
    <mergeCell ref="P17:Q18"/>
    <mergeCell ref="T17:V18"/>
    <mergeCell ref="S22:U23"/>
    <mergeCell ref="T4:W5"/>
    <mergeCell ref="F2:V2"/>
    <mergeCell ref="A7:G7"/>
    <mergeCell ref="C5:S5"/>
    <mergeCell ref="C10:H10"/>
    <mergeCell ref="T6:W6"/>
    <mergeCell ref="A1:E1"/>
    <mergeCell ref="F1:P1"/>
    <mergeCell ref="A2:E2"/>
    <mergeCell ref="A3:E3"/>
    <mergeCell ref="T7:W7"/>
    <mergeCell ref="I10:L10"/>
    <mergeCell ref="H6:P6"/>
    <mergeCell ref="A6:G6"/>
    <mergeCell ref="A5:B5"/>
    <mergeCell ref="A8:G8"/>
    <mergeCell ref="A9:G9"/>
    <mergeCell ref="A10:B10"/>
    <mergeCell ref="H7:P7"/>
    <mergeCell ref="H8:P8"/>
    <mergeCell ref="H9:P9"/>
    <mergeCell ref="F3:P3"/>
    <mergeCell ref="Q3:U3"/>
    <mergeCell ref="B16:E16"/>
    <mergeCell ref="K16:L16"/>
    <mergeCell ref="A36:AI74"/>
    <mergeCell ref="X1:AI35"/>
    <mergeCell ref="O32:W32"/>
    <mergeCell ref="A31:W31"/>
    <mergeCell ref="A35:Q35"/>
    <mergeCell ref="T8:W8"/>
    <mergeCell ref="A4:S4"/>
    <mergeCell ref="S34:W34"/>
    <mergeCell ref="A34:Q34"/>
    <mergeCell ref="Q8:S8"/>
    <mergeCell ref="C11:H12"/>
    <mergeCell ref="M10:P10"/>
    <mergeCell ref="M11:P12"/>
    <mergeCell ref="Q6:S6"/>
    <mergeCell ref="Q7:S7"/>
    <mergeCell ref="Q10:W10"/>
    <mergeCell ref="Q11:R12"/>
    <mergeCell ref="S11:S12"/>
    <mergeCell ref="A28:D28"/>
    <mergeCell ref="T9:W9"/>
    <mergeCell ref="Q9:S9"/>
    <mergeCell ref="Q1:U1"/>
  </mergeCells>
  <phoneticPr fontId="8" type="noConversion"/>
  <dataValidations count="2">
    <dataValidation type="list" allowBlank="1" showInputMessage="1" showErrorMessage="1" sqref="N16:O20">
      <formula1>$N$14:$N$15</formula1>
    </dataValidation>
    <dataValidation type="list" allowBlank="1" showInputMessage="1" showErrorMessage="1" sqref="T11 V11">
      <formula1>"✓, -----"</formula1>
    </dataValidation>
  </dataValidations>
  <pageMargins left="0.25" right="0.25" top="0.75" bottom="0.75" header="0.3" footer="0.3"/>
  <pageSetup orientation="landscape" r:id="rId1"/>
  <headerFooter>
    <oddFooter xml:space="preserve">&amp;LFor Official Government Use Only
USDA, AMS, FVP, Fresh Products Branch
&amp;RJanuary 26, 2012
Page &amp;P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view="pageLayout" zoomScaleNormal="100" workbookViewId="0">
      <selection activeCell="A3" sqref="A3:Q3"/>
    </sheetView>
  </sheetViews>
  <sheetFormatPr defaultColWidth="9.109375" defaultRowHeight="14.4" x14ac:dyDescent="0.3"/>
  <cols>
    <col min="1" max="16384" width="9.109375" style="107"/>
  </cols>
  <sheetData>
    <row r="1" spans="1:9" ht="17.399999999999999" x14ac:dyDescent="0.3">
      <c r="A1" s="703" t="s">
        <v>380</v>
      </c>
      <c r="B1" s="703"/>
      <c r="C1" s="703"/>
      <c r="D1" s="703"/>
      <c r="E1" s="703"/>
      <c r="F1" s="703"/>
      <c r="G1" s="703"/>
      <c r="H1" s="703"/>
      <c r="I1" s="703"/>
    </row>
    <row r="2" spans="1:9" ht="17.399999999999999" x14ac:dyDescent="0.3">
      <c r="A2" s="703"/>
      <c r="B2" s="703"/>
      <c r="C2" s="703"/>
      <c r="D2" s="703"/>
      <c r="E2" s="703"/>
      <c r="F2" s="703"/>
      <c r="G2" s="703"/>
      <c r="H2" s="703"/>
      <c r="I2" s="703"/>
    </row>
    <row r="3" spans="1:9" ht="75.75" customHeight="1" x14ac:dyDescent="0.3">
      <c r="A3" s="704" t="s">
        <v>381</v>
      </c>
      <c r="B3" s="704"/>
      <c r="C3" s="704"/>
      <c r="D3" s="704"/>
      <c r="E3" s="704"/>
      <c r="F3" s="704"/>
      <c r="G3" s="704"/>
      <c r="H3" s="704"/>
      <c r="I3" s="704"/>
    </row>
    <row r="4" spans="1:9" x14ac:dyDescent="0.3">
      <c r="B4" s="704" t="s">
        <v>382</v>
      </c>
      <c r="C4" s="704"/>
      <c r="D4" s="704"/>
      <c r="E4" s="704"/>
      <c r="F4" s="704"/>
      <c r="G4" s="704"/>
    </row>
    <row r="5" spans="1:9" ht="15.75" customHeight="1" x14ac:dyDescent="0.3">
      <c r="B5" s="704"/>
      <c r="C5" s="704"/>
      <c r="D5" s="704"/>
      <c r="E5" s="704"/>
      <c r="F5" s="704"/>
      <c r="G5" s="704"/>
    </row>
    <row r="6" spans="1:9" x14ac:dyDescent="0.3">
      <c r="B6" s="702" t="s">
        <v>383</v>
      </c>
      <c r="C6" s="702"/>
      <c r="D6" s="702"/>
      <c r="E6" s="702"/>
      <c r="F6" s="702"/>
      <c r="G6" s="702"/>
    </row>
    <row r="7" spans="1:9" ht="2.25" customHeight="1" x14ac:dyDescent="0.3">
      <c r="B7" s="702"/>
      <c r="C7" s="702"/>
      <c r="D7" s="702"/>
      <c r="E7" s="702"/>
      <c r="F7" s="702"/>
      <c r="G7" s="702"/>
    </row>
    <row r="8" spans="1:9" x14ac:dyDescent="0.3">
      <c r="B8" s="702" t="s">
        <v>384</v>
      </c>
      <c r="C8" s="702"/>
      <c r="D8" s="702"/>
      <c r="E8" s="702"/>
      <c r="F8" s="702"/>
      <c r="G8" s="702"/>
    </row>
    <row r="9" spans="1:9" ht="4.5" customHeight="1" x14ac:dyDescent="0.3">
      <c r="B9" s="702"/>
      <c r="C9" s="702"/>
      <c r="D9" s="702"/>
      <c r="E9" s="702"/>
      <c r="F9" s="702"/>
      <c r="G9" s="702"/>
    </row>
    <row r="10" spans="1:9" x14ac:dyDescent="0.3">
      <c r="B10" s="702" t="s">
        <v>385</v>
      </c>
      <c r="C10" s="702"/>
      <c r="D10" s="702"/>
      <c r="E10" s="702"/>
      <c r="F10" s="702"/>
      <c r="G10" s="702"/>
    </row>
    <row r="11" spans="1:9" ht="3.75" customHeight="1" x14ac:dyDescent="0.3">
      <c r="B11" s="702"/>
      <c r="C11" s="702"/>
      <c r="D11" s="702"/>
      <c r="E11" s="702"/>
      <c r="F11" s="702"/>
      <c r="G11" s="702"/>
    </row>
    <row r="12" spans="1:9" x14ac:dyDescent="0.3">
      <c r="B12" s="702" t="s">
        <v>386</v>
      </c>
      <c r="C12" s="702"/>
      <c r="D12" s="702"/>
      <c r="E12" s="702"/>
      <c r="F12" s="702"/>
      <c r="G12" s="702"/>
    </row>
    <row r="13" spans="1:9" x14ac:dyDescent="0.3">
      <c r="B13" s="702"/>
      <c r="C13" s="702"/>
      <c r="D13" s="702"/>
      <c r="E13" s="702"/>
      <c r="F13" s="702"/>
      <c r="G13" s="702"/>
    </row>
  </sheetData>
  <sheetProtection password="D6D7" sheet="1" objects="1" scenarios="1"/>
  <mergeCells count="8">
    <mergeCell ref="B10:G11"/>
    <mergeCell ref="B12:G13"/>
    <mergeCell ref="A1:I1"/>
    <mergeCell ref="A2:I2"/>
    <mergeCell ref="A3:I3"/>
    <mergeCell ref="B4:G5"/>
    <mergeCell ref="B6:G7"/>
    <mergeCell ref="B8:G9"/>
  </mergeCells>
  <pageMargins left="0.75" right="0.75" top="1" bottom="1" header="0" footer="0"/>
  <pageSetup orientation="portrait" r:id="rId1"/>
  <headerFooter>
    <oddFooter xml:space="preserve">&amp;LFor Official Government Use Only
USDA, AMS, FVP, Fresh Products Branch
&amp;RJanuary 26, 2012
Page &amp;P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view="pageLayout" zoomScaleNormal="100" workbookViewId="0">
      <selection activeCell="A3" sqref="A3:Q3"/>
    </sheetView>
  </sheetViews>
  <sheetFormatPr defaultColWidth="9.109375" defaultRowHeight="14.4" x14ac:dyDescent="0.3"/>
  <cols>
    <col min="1" max="1" width="15.109375" style="107" customWidth="1"/>
    <col min="2" max="2" width="7.109375" style="107" customWidth="1"/>
    <col min="3" max="3" width="9.109375" style="107"/>
    <col min="4" max="4" width="12.33203125" style="107" customWidth="1"/>
    <col min="5" max="5" width="12.88671875" style="107" customWidth="1"/>
    <col min="6" max="6" width="8.5546875" style="107" customWidth="1"/>
    <col min="7" max="7" width="9.109375" style="107" customWidth="1"/>
    <col min="8" max="8" width="3.44140625" style="107" customWidth="1"/>
    <col min="9" max="9" width="9.109375" style="107" customWidth="1"/>
    <col min="10" max="16384" width="9.109375" style="107"/>
  </cols>
  <sheetData>
    <row r="1" spans="1:9" ht="18" x14ac:dyDescent="0.35">
      <c r="A1" s="735" t="s">
        <v>403</v>
      </c>
      <c r="B1" s="736"/>
      <c r="C1" s="736"/>
      <c r="D1" s="736"/>
      <c r="E1" s="736"/>
      <c r="F1" s="736"/>
      <c r="G1" s="736"/>
      <c r="H1" s="736"/>
      <c r="I1" s="736"/>
    </row>
    <row r="2" spans="1:9" ht="17.399999999999999" x14ac:dyDescent="0.3">
      <c r="A2" s="735" t="s">
        <v>387</v>
      </c>
      <c r="B2" s="735"/>
      <c r="C2" s="735"/>
      <c r="D2" s="735"/>
      <c r="E2" s="735"/>
      <c r="F2" s="735"/>
      <c r="G2" s="735"/>
      <c r="H2" s="735"/>
      <c r="I2" s="735"/>
    </row>
    <row r="3" spans="1:9" ht="7.5" customHeight="1" x14ac:dyDescent="0.3">
      <c r="A3" s="108"/>
      <c r="B3" s="108"/>
      <c r="C3" s="108"/>
      <c r="D3" s="108"/>
      <c r="E3" s="108"/>
      <c r="F3" s="108"/>
      <c r="G3" s="108"/>
      <c r="H3" s="108"/>
      <c r="I3" s="108"/>
    </row>
    <row r="4" spans="1:9" x14ac:dyDescent="0.3">
      <c r="A4" s="737" t="s">
        <v>388</v>
      </c>
      <c r="B4" s="738"/>
      <c r="C4" s="738"/>
      <c r="D4" s="738"/>
      <c r="E4" s="739"/>
      <c r="F4" s="740" t="s">
        <v>389</v>
      </c>
      <c r="G4" s="741"/>
      <c r="H4" s="741"/>
      <c r="I4" s="742"/>
    </row>
    <row r="5" spans="1:9" ht="15.75" customHeight="1" x14ac:dyDescent="0.3">
      <c r="A5" s="743" t="s">
        <v>390</v>
      </c>
      <c r="B5" s="744"/>
      <c r="C5" s="744"/>
      <c r="D5" s="744"/>
      <c r="E5" s="745"/>
      <c r="F5" s="109"/>
      <c r="G5" s="110"/>
      <c r="H5" s="111" t="s">
        <v>391</v>
      </c>
      <c r="I5" s="112"/>
    </row>
    <row r="6" spans="1:9" x14ac:dyDescent="0.3">
      <c r="A6" s="746" t="s">
        <v>392</v>
      </c>
      <c r="B6" s="747"/>
      <c r="C6" s="747"/>
      <c r="D6" s="747"/>
      <c r="E6" s="748"/>
      <c r="F6" s="725"/>
      <c r="G6" s="726"/>
      <c r="H6" s="726"/>
      <c r="I6" s="727"/>
    </row>
    <row r="7" spans="1:9" x14ac:dyDescent="0.3">
      <c r="A7" s="113" t="s">
        <v>393</v>
      </c>
      <c r="B7" s="114"/>
      <c r="C7" s="749">
        <f>'Page 1-3'!D18</f>
        <v>0</v>
      </c>
      <c r="D7" s="749"/>
      <c r="E7" s="750"/>
      <c r="F7" s="113" t="s">
        <v>166</v>
      </c>
      <c r="G7" s="753"/>
      <c r="H7" s="753"/>
      <c r="I7" s="754"/>
    </row>
    <row r="8" spans="1:9" x14ac:dyDescent="0.3">
      <c r="A8" s="115"/>
      <c r="B8" s="116"/>
      <c r="C8" s="751"/>
      <c r="D8" s="751"/>
      <c r="E8" s="752"/>
      <c r="F8" s="117"/>
      <c r="G8" s="755"/>
      <c r="H8" s="755"/>
      <c r="I8" s="756"/>
    </row>
    <row r="9" spans="1:9" x14ac:dyDescent="0.3">
      <c r="A9" s="740" t="s">
        <v>394</v>
      </c>
      <c r="B9" s="741"/>
      <c r="C9" s="757"/>
      <c r="D9" s="757"/>
      <c r="E9" s="757"/>
      <c r="F9" s="757"/>
      <c r="G9" s="757"/>
      <c r="H9" s="757"/>
      <c r="I9" s="758"/>
    </row>
    <row r="10" spans="1:9" x14ac:dyDescent="0.3">
      <c r="A10" s="725"/>
      <c r="B10" s="726"/>
      <c r="C10" s="759"/>
      <c r="D10" s="759"/>
      <c r="E10" s="759"/>
      <c r="F10" s="759"/>
      <c r="G10" s="759"/>
      <c r="H10" s="759"/>
      <c r="I10" s="760"/>
    </row>
    <row r="11" spans="1:9" x14ac:dyDescent="0.3">
      <c r="A11" s="113" t="s">
        <v>395</v>
      </c>
      <c r="B11" s="731"/>
      <c r="C11" s="731"/>
      <c r="D11" s="731"/>
      <c r="E11" s="731"/>
      <c r="F11" s="731"/>
      <c r="G11" s="731"/>
      <c r="H11" s="731"/>
      <c r="I11" s="732"/>
    </row>
    <row r="12" spans="1:9" x14ac:dyDescent="0.3">
      <c r="A12" s="115"/>
      <c r="B12" s="733"/>
      <c r="C12" s="733"/>
      <c r="D12" s="733"/>
      <c r="E12" s="733"/>
      <c r="F12" s="733"/>
      <c r="G12" s="733"/>
      <c r="H12" s="733"/>
      <c r="I12" s="734"/>
    </row>
    <row r="13" spans="1:9" ht="24.75" customHeight="1" x14ac:dyDescent="0.3">
      <c r="A13" s="118" t="s">
        <v>396</v>
      </c>
      <c r="B13" s="711"/>
      <c r="C13" s="711"/>
      <c r="D13" s="711"/>
      <c r="E13" s="711"/>
      <c r="F13" s="711"/>
      <c r="G13" s="711"/>
      <c r="H13" s="711"/>
      <c r="I13" s="712"/>
    </row>
    <row r="14" spans="1:9" x14ac:dyDescent="0.3">
      <c r="A14" s="117"/>
      <c r="B14" s="713"/>
      <c r="C14" s="713"/>
      <c r="D14" s="713"/>
      <c r="E14" s="713"/>
      <c r="F14" s="713"/>
      <c r="G14" s="713"/>
      <c r="H14" s="713"/>
      <c r="I14" s="714"/>
    </row>
    <row r="15" spans="1:9" x14ac:dyDescent="0.3">
      <c r="A15" s="117"/>
      <c r="B15" s="713"/>
      <c r="C15" s="713"/>
      <c r="D15" s="713"/>
      <c r="E15" s="713"/>
      <c r="F15" s="713"/>
      <c r="G15" s="713"/>
      <c r="H15" s="713"/>
      <c r="I15" s="714"/>
    </row>
    <row r="16" spans="1:9" x14ac:dyDescent="0.3">
      <c r="A16" s="117"/>
      <c r="B16" s="713"/>
      <c r="C16" s="713"/>
      <c r="D16" s="713"/>
      <c r="E16" s="713"/>
      <c r="F16" s="713"/>
      <c r="G16" s="713"/>
      <c r="H16" s="713"/>
      <c r="I16" s="714"/>
    </row>
    <row r="17" spans="1:9" x14ac:dyDescent="0.3">
      <c r="A17" s="117"/>
      <c r="B17" s="713"/>
      <c r="C17" s="713"/>
      <c r="D17" s="713"/>
      <c r="E17" s="713"/>
      <c r="F17" s="713"/>
      <c r="G17" s="713"/>
      <c r="H17" s="713"/>
      <c r="I17" s="714"/>
    </row>
    <row r="18" spans="1:9" x14ac:dyDescent="0.3">
      <c r="A18" s="117"/>
      <c r="B18" s="713"/>
      <c r="C18" s="713"/>
      <c r="D18" s="713"/>
      <c r="E18" s="713"/>
      <c r="F18" s="713"/>
      <c r="G18" s="713"/>
      <c r="H18" s="713"/>
      <c r="I18" s="714"/>
    </row>
    <row r="19" spans="1:9" x14ac:dyDescent="0.3">
      <c r="A19" s="117"/>
      <c r="B19" s="713"/>
      <c r="C19" s="713"/>
      <c r="D19" s="713"/>
      <c r="E19" s="713"/>
      <c r="F19" s="713"/>
      <c r="G19" s="713"/>
      <c r="H19" s="713"/>
      <c r="I19" s="714"/>
    </row>
    <row r="20" spans="1:9" x14ac:dyDescent="0.3">
      <c r="A20" s="117"/>
      <c r="B20" s="713"/>
      <c r="C20" s="713"/>
      <c r="D20" s="713"/>
      <c r="E20" s="713"/>
      <c r="F20" s="713"/>
      <c r="G20" s="713"/>
      <c r="H20" s="713"/>
      <c r="I20" s="714"/>
    </row>
    <row r="21" spans="1:9" x14ac:dyDescent="0.3">
      <c r="A21" s="715" t="s">
        <v>397</v>
      </c>
      <c r="B21" s="716"/>
      <c r="C21" s="716"/>
      <c r="D21" s="716"/>
      <c r="E21" s="110"/>
      <c r="F21" s="119"/>
      <c r="G21" s="119"/>
      <c r="H21" s="119"/>
      <c r="I21" s="120"/>
    </row>
    <row r="22" spans="1:9" ht="4.5" customHeight="1" x14ac:dyDescent="0.3">
      <c r="A22" s="115"/>
      <c r="B22" s="116"/>
      <c r="C22" s="116"/>
      <c r="D22" s="116"/>
      <c r="E22" s="116"/>
      <c r="F22" s="116"/>
      <c r="G22" s="116"/>
      <c r="H22" s="116"/>
      <c r="I22" s="121"/>
    </row>
    <row r="23" spans="1:9" ht="15.75" customHeight="1" x14ac:dyDescent="0.3">
      <c r="A23" s="122" t="s">
        <v>398</v>
      </c>
      <c r="I23" s="123"/>
    </row>
    <row r="24" spans="1:9" ht="4.5" customHeight="1" thickBot="1" x14ac:dyDescent="0.35">
      <c r="A24" s="117"/>
      <c r="B24" s="119"/>
      <c r="C24" s="119"/>
      <c r="D24" s="119"/>
      <c r="E24" s="119"/>
      <c r="F24" s="119"/>
      <c r="G24" s="119"/>
      <c r="H24" s="119"/>
      <c r="I24" s="120"/>
    </row>
    <row r="25" spans="1:9" x14ac:dyDescent="0.3">
      <c r="A25" s="717" t="s">
        <v>399</v>
      </c>
      <c r="B25" s="718"/>
      <c r="C25" s="718"/>
      <c r="D25" s="719"/>
      <c r="E25" s="719"/>
      <c r="F25" s="719"/>
      <c r="G25" s="719"/>
      <c r="H25" s="719"/>
      <c r="I25" s="720"/>
    </row>
    <row r="26" spans="1:9" x14ac:dyDescent="0.3">
      <c r="A26" s="117"/>
      <c r="B26" s="119"/>
      <c r="C26" s="119"/>
      <c r="D26" s="706"/>
      <c r="E26" s="706"/>
      <c r="F26" s="706"/>
      <c r="G26" s="706"/>
      <c r="H26" s="706"/>
      <c r="I26" s="707"/>
    </row>
    <row r="27" spans="1:9" x14ac:dyDescent="0.3">
      <c r="A27" s="115"/>
      <c r="B27" s="116"/>
      <c r="C27" s="124" t="s">
        <v>400</v>
      </c>
      <c r="D27" s="116"/>
      <c r="E27" s="116"/>
      <c r="F27" s="116"/>
      <c r="G27" s="116"/>
      <c r="H27" s="116"/>
      <c r="I27" s="121"/>
    </row>
    <row r="28" spans="1:9" x14ac:dyDescent="0.3">
      <c r="A28" s="113" t="s">
        <v>401</v>
      </c>
      <c r="B28" s="114"/>
      <c r="C28" s="114"/>
      <c r="D28" s="114"/>
      <c r="E28" s="114"/>
      <c r="F28" s="114"/>
      <c r="G28" s="114"/>
      <c r="H28" s="114"/>
      <c r="I28" s="125"/>
    </row>
    <row r="29" spans="1:9" ht="15" customHeight="1" x14ac:dyDescent="0.3">
      <c r="A29" s="721"/>
      <c r="B29" s="722"/>
      <c r="C29" s="722"/>
      <c r="D29" s="722"/>
      <c r="E29" s="722"/>
      <c r="F29" s="722"/>
      <c r="G29" s="722"/>
      <c r="H29" s="722"/>
      <c r="I29" s="723"/>
    </row>
    <row r="30" spans="1:9" x14ac:dyDescent="0.3">
      <c r="A30" s="724"/>
      <c r="B30" s="722"/>
      <c r="C30" s="722"/>
      <c r="D30" s="722"/>
      <c r="E30" s="722"/>
      <c r="F30" s="722"/>
      <c r="G30" s="722"/>
      <c r="H30" s="722"/>
      <c r="I30" s="723"/>
    </row>
    <row r="31" spans="1:9" x14ac:dyDescent="0.3">
      <c r="A31" s="724"/>
      <c r="B31" s="722"/>
      <c r="C31" s="722"/>
      <c r="D31" s="722"/>
      <c r="E31" s="722"/>
      <c r="F31" s="722"/>
      <c r="G31" s="722"/>
      <c r="H31" s="722"/>
      <c r="I31" s="723"/>
    </row>
    <row r="32" spans="1:9" x14ac:dyDescent="0.3">
      <c r="A32" s="724"/>
      <c r="B32" s="722"/>
      <c r="C32" s="722"/>
      <c r="D32" s="722"/>
      <c r="E32" s="722"/>
      <c r="F32" s="722"/>
      <c r="G32" s="722"/>
      <c r="H32" s="722"/>
      <c r="I32" s="723"/>
    </row>
    <row r="33" spans="1:9" x14ac:dyDescent="0.3">
      <c r="A33" s="724"/>
      <c r="B33" s="722"/>
      <c r="C33" s="722"/>
      <c r="D33" s="722"/>
      <c r="E33" s="722"/>
      <c r="F33" s="722"/>
      <c r="G33" s="722"/>
      <c r="H33" s="722"/>
      <c r="I33" s="723"/>
    </row>
    <row r="34" spans="1:9" x14ac:dyDescent="0.3">
      <c r="A34" s="724"/>
      <c r="B34" s="722"/>
      <c r="C34" s="722"/>
      <c r="D34" s="722"/>
      <c r="E34" s="722"/>
      <c r="F34" s="722"/>
      <c r="G34" s="722"/>
      <c r="H34" s="722"/>
      <c r="I34" s="723"/>
    </row>
    <row r="35" spans="1:9" x14ac:dyDescent="0.3">
      <c r="A35" s="724"/>
      <c r="B35" s="722"/>
      <c r="C35" s="722"/>
      <c r="D35" s="722"/>
      <c r="E35" s="722"/>
      <c r="F35" s="722"/>
      <c r="G35" s="722"/>
      <c r="H35" s="722"/>
      <c r="I35" s="723"/>
    </row>
    <row r="36" spans="1:9" x14ac:dyDescent="0.3">
      <c r="A36" s="724"/>
      <c r="B36" s="722"/>
      <c r="C36" s="722"/>
      <c r="D36" s="722"/>
      <c r="E36" s="722"/>
      <c r="F36" s="722"/>
      <c r="G36" s="722"/>
      <c r="H36" s="722"/>
      <c r="I36" s="723"/>
    </row>
    <row r="37" spans="1:9" x14ac:dyDescent="0.3">
      <c r="A37" s="725"/>
      <c r="B37" s="726"/>
      <c r="C37" s="726"/>
      <c r="D37" s="726"/>
      <c r="E37" s="726"/>
      <c r="F37" s="726"/>
      <c r="G37" s="726"/>
      <c r="H37" s="726"/>
      <c r="I37" s="727"/>
    </row>
    <row r="38" spans="1:9" x14ac:dyDescent="0.3">
      <c r="A38" s="728" t="s">
        <v>402</v>
      </c>
      <c r="B38" s="729"/>
      <c r="C38" s="729"/>
      <c r="D38" s="729"/>
      <c r="E38" s="729"/>
      <c r="F38" s="729"/>
      <c r="G38" s="729"/>
      <c r="H38" s="729"/>
      <c r="I38" s="730"/>
    </row>
    <row r="39" spans="1:9" x14ac:dyDescent="0.3">
      <c r="A39" s="705"/>
      <c r="B39" s="706"/>
      <c r="C39" s="706"/>
      <c r="D39" s="706"/>
      <c r="E39" s="706"/>
      <c r="F39" s="706"/>
      <c r="G39" s="706"/>
      <c r="H39" s="706"/>
      <c r="I39" s="707"/>
    </row>
    <row r="40" spans="1:9" x14ac:dyDescent="0.3">
      <c r="A40" s="708"/>
      <c r="B40" s="709"/>
      <c r="C40" s="709"/>
      <c r="D40" s="709"/>
      <c r="E40" s="709"/>
      <c r="F40" s="709"/>
      <c r="G40" s="709"/>
      <c r="H40" s="709"/>
      <c r="I40" s="710"/>
    </row>
  </sheetData>
  <sheetProtection password="D6D7" sheet="1" objects="1" scenarios="1"/>
  <dataConsolidate/>
  <mergeCells count="20">
    <mergeCell ref="B11:I12"/>
    <mergeCell ref="A1:I1"/>
    <mergeCell ref="A2:I2"/>
    <mergeCell ref="A4:E4"/>
    <mergeCell ref="F4:I4"/>
    <mergeCell ref="A5:E5"/>
    <mergeCell ref="A6:E6"/>
    <mergeCell ref="F6:I6"/>
    <mergeCell ref="C7:E8"/>
    <mergeCell ref="G7:I8"/>
    <mergeCell ref="A9:B9"/>
    <mergeCell ref="C9:I10"/>
    <mergeCell ref="A10:B10"/>
    <mergeCell ref="A39:I40"/>
    <mergeCell ref="B13:I20"/>
    <mergeCell ref="A21:D21"/>
    <mergeCell ref="A25:C25"/>
    <mergeCell ref="D25:I26"/>
    <mergeCell ref="A29:I37"/>
    <mergeCell ref="A38:I38"/>
  </mergeCells>
  <dataValidations count="1">
    <dataValidation type="list" allowBlank="1" showErrorMessage="1" sqref="E21">
      <formula1>"Yes, No"</formula1>
    </dataValidation>
  </dataValidations>
  <pageMargins left="0.75" right="0.75" top="1" bottom="1" header="0" footer="0"/>
  <pageSetup orientation="portrait" r:id="rId1"/>
  <headerFooter>
    <oddFooter xml:space="preserve">&amp;LFor Official Government Use Only
USDA, AMS, FVP, Fresh Products Branch
&amp;RJanuary 26, 2012
Page &amp;P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Page 1-3</vt:lpstr>
      <vt:lpstr>Pg. 4 General Questions</vt:lpstr>
      <vt:lpstr>Part 6-Wholesale Distribution</vt:lpstr>
      <vt:lpstr>Part 7-Preventive Food Defense</vt:lpstr>
      <vt:lpstr>Audit Scoresheet</vt:lpstr>
      <vt:lpstr>CAR Duplication Instructions</vt:lpstr>
      <vt:lpstr>Corrective Action Report</vt:lpstr>
      <vt:lpstr>Facility</vt:lpstr>
      <vt:lpstr>'Audit Scoresheet'!Print_Area</vt:lpstr>
      <vt:lpstr>'Page 1-3'!Print_Area</vt:lpstr>
      <vt:lpstr>'Pg. 4 General Questions'!Print_Area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dc:creator>
  <cp:lastModifiedBy>Burke-Fonda, Donna - AMS</cp:lastModifiedBy>
  <cp:lastPrinted>2013-03-20T13:26:07Z</cp:lastPrinted>
  <dcterms:created xsi:type="dcterms:W3CDTF">2009-02-16T23:21:18Z</dcterms:created>
  <dcterms:modified xsi:type="dcterms:W3CDTF">2013-03-20T13:26:13Z</dcterms:modified>
</cp:coreProperties>
</file>