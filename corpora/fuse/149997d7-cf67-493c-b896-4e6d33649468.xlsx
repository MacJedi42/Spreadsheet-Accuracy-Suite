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310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\">[1]Formula!#REF!</definedName>
    <definedName name="\a">[1]Formula!#REF!</definedName>
    <definedName name="\b">[1]Formula!#REF!</definedName>
    <definedName name="\c">[1]Formula!#REF!</definedName>
    <definedName name="\p">[1]Formula!#REF!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6">#N/A</definedName>
    <definedName name="_8">#N/A</definedName>
    <definedName name="_9">#N/A</definedName>
    <definedName name="_Order1" hidden="1">255</definedName>
    <definedName name="AV9_15">#N/A</definedName>
    <definedName name="BUDGET">#N/A</definedName>
    <definedName name="CAREA">#N/A</definedName>
    <definedName name="CEBUDGET">#N/A</definedName>
    <definedName name="CF">#N/A</definedName>
    <definedName name="CL">#N/A</definedName>
    <definedName name="CTACC">#N/A</definedName>
    <definedName name="DSM">#N/A</definedName>
    <definedName name="FMP">#N/A</definedName>
    <definedName name="JTOT">#N/A</definedName>
    <definedName name="LETTER">#N/A</definedName>
    <definedName name="MACRO">[1]Formula!#REF!</definedName>
    <definedName name="p">#N/A</definedName>
    <definedName name="PCAP">#N/A</definedName>
    <definedName name="PCODE">#N/A</definedName>
    <definedName name="POINT">#N/A</definedName>
    <definedName name="PREMIUM">#N/A</definedName>
    <definedName name="_xlnm.Print_Area" localSheetId="0">Sheet1!$B$1:$S$66</definedName>
    <definedName name="Print_Area_MI">[1]Formula!#REF!</definedName>
    <definedName name="PRYBASE">#N/A</definedName>
    <definedName name="REP">#N/A</definedName>
    <definedName name="RMP">#N/A</definedName>
    <definedName name="RMV">#N/A</definedName>
    <definedName name="Sched3Mail">#REF!</definedName>
    <definedName name="SCODE">#N/A</definedName>
    <definedName name="SECBASE">#N/A</definedName>
    <definedName name="SENMail">#REF!</definedName>
    <definedName name="T_Finance">#REF!</definedName>
    <definedName name="TOT">#N/A</definedName>
    <definedName name="WMACRO">#N/A</definedName>
    <definedName name="WMEALS">#N/A</definedName>
    <definedName name="Z">#N/A</definedName>
  </definedNames>
  <calcPr calcId="145621"/>
</workbook>
</file>

<file path=xl/calcChain.xml><?xml version="1.0" encoding="utf-8"?>
<calcChain xmlns="http://schemas.openxmlformats.org/spreadsheetml/2006/main">
  <c r="S22" i="1" l="1"/>
  <c r="S60" i="1" l="1"/>
  <c r="S59" i="1"/>
  <c r="R62" i="1" l="1"/>
  <c r="J62" i="1"/>
  <c r="Z57" i="1"/>
  <c r="Y57" i="1"/>
  <c r="X57" i="1"/>
  <c r="W57" i="1"/>
  <c r="V57" i="1"/>
  <c r="U57" i="1"/>
  <c r="T57" i="1"/>
  <c r="S57" i="1"/>
  <c r="Z56" i="1"/>
  <c r="Y56" i="1"/>
  <c r="X56" i="1"/>
  <c r="W56" i="1"/>
  <c r="V56" i="1"/>
  <c r="U56" i="1"/>
  <c r="T56" i="1"/>
  <c r="S56" i="1"/>
  <c r="Z55" i="1"/>
  <c r="Y55" i="1"/>
  <c r="X55" i="1"/>
  <c r="W55" i="1"/>
  <c r="V55" i="1"/>
  <c r="U55" i="1"/>
  <c r="T55" i="1"/>
  <c r="S55" i="1"/>
  <c r="Z54" i="1"/>
  <c r="Y54" i="1"/>
  <c r="X54" i="1"/>
  <c r="W54" i="1"/>
  <c r="V54" i="1"/>
  <c r="U54" i="1"/>
  <c r="T54" i="1"/>
  <c r="S54" i="1"/>
  <c r="Z53" i="1"/>
  <c r="Y53" i="1"/>
  <c r="X53" i="1"/>
  <c r="W53" i="1"/>
  <c r="V53" i="1"/>
  <c r="U53" i="1"/>
  <c r="T53" i="1"/>
  <c r="S53" i="1"/>
  <c r="Z52" i="1"/>
  <c r="Y52" i="1"/>
  <c r="X52" i="1"/>
  <c r="W52" i="1"/>
  <c r="V52" i="1"/>
  <c r="U52" i="1"/>
  <c r="T52" i="1"/>
  <c r="S52" i="1"/>
  <c r="Z51" i="1"/>
  <c r="Y51" i="1"/>
  <c r="X51" i="1"/>
  <c r="W51" i="1"/>
  <c r="V51" i="1"/>
  <c r="U51" i="1"/>
  <c r="T51" i="1"/>
  <c r="S51" i="1"/>
  <c r="Z50" i="1"/>
  <c r="Y50" i="1"/>
  <c r="X50" i="1"/>
  <c r="W50" i="1"/>
  <c r="V50" i="1"/>
  <c r="U50" i="1"/>
  <c r="T50" i="1"/>
  <c r="S50" i="1"/>
  <c r="Z49" i="1"/>
  <c r="Y49" i="1"/>
  <c r="X49" i="1"/>
  <c r="W49" i="1"/>
  <c r="V49" i="1"/>
  <c r="U49" i="1"/>
  <c r="T49" i="1"/>
  <c r="S49" i="1"/>
  <c r="Z48" i="1"/>
  <c r="Y48" i="1"/>
  <c r="X48" i="1"/>
  <c r="W48" i="1"/>
  <c r="V48" i="1"/>
  <c r="U48" i="1"/>
  <c r="T48" i="1"/>
  <c r="S48" i="1"/>
  <c r="Z47" i="1"/>
  <c r="Y47" i="1"/>
  <c r="X47" i="1"/>
  <c r="W47" i="1"/>
  <c r="V47" i="1"/>
  <c r="U47" i="1"/>
  <c r="T47" i="1"/>
  <c r="S47" i="1"/>
  <c r="Z46" i="1"/>
  <c r="Y46" i="1"/>
  <c r="X46" i="1"/>
  <c r="W46" i="1"/>
  <c r="V46" i="1"/>
  <c r="U46" i="1"/>
  <c r="T46" i="1"/>
  <c r="S46" i="1"/>
  <c r="Z45" i="1"/>
  <c r="Y45" i="1"/>
  <c r="X45" i="1"/>
  <c r="W45" i="1"/>
  <c r="V45" i="1"/>
  <c r="U45" i="1"/>
  <c r="T45" i="1"/>
  <c r="S45" i="1"/>
  <c r="Z44" i="1"/>
  <c r="Y44" i="1"/>
  <c r="X44" i="1"/>
  <c r="W44" i="1"/>
  <c r="V44" i="1"/>
  <c r="U44" i="1"/>
  <c r="T44" i="1"/>
  <c r="S44" i="1"/>
  <c r="Z43" i="1"/>
  <c r="Y43" i="1"/>
  <c r="X43" i="1"/>
  <c r="W43" i="1"/>
  <c r="V43" i="1"/>
  <c r="U43" i="1"/>
  <c r="T43" i="1"/>
  <c r="S43" i="1"/>
  <c r="S42" i="1"/>
  <c r="Q42" i="1"/>
  <c r="M42" i="1"/>
  <c r="P42" i="1" s="1"/>
  <c r="F42" i="1"/>
  <c r="Z41" i="1"/>
  <c r="Y41" i="1"/>
  <c r="X41" i="1"/>
  <c r="W41" i="1"/>
  <c r="V41" i="1"/>
  <c r="U41" i="1"/>
  <c r="T41" i="1"/>
  <c r="S41" i="1"/>
  <c r="Q41" i="1"/>
  <c r="M41" i="1"/>
  <c r="P41" i="1" s="1"/>
  <c r="L41" i="1"/>
  <c r="F41" i="1"/>
  <c r="G41" i="1" s="1"/>
  <c r="S40" i="1"/>
  <c r="M40" i="1"/>
  <c r="P40" i="1" s="1"/>
  <c r="L40" i="1"/>
  <c r="F40" i="1"/>
  <c r="G40" i="1" s="1"/>
  <c r="Z39" i="1"/>
  <c r="Y39" i="1"/>
  <c r="X39" i="1"/>
  <c r="W39" i="1"/>
  <c r="V39" i="1"/>
  <c r="U39" i="1"/>
  <c r="T39" i="1"/>
  <c r="S39" i="1"/>
  <c r="Q39" i="1"/>
  <c r="M39" i="1"/>
  <c r="P39" i="1" s="1"/>
  <c r="L39" i="1"/>
  <c r="F39" i="1"/>
  <c r="G39" i="1" s="1"/>
  <c r="Z38" i="1"/>
  <c r="Y38" i="1"/>
  <c r="X38" i="1"/>
  <c r="W38" i="1"/>
  <c r="V38" i="1"/>
  <c r="U38" i="1"/>
  <c r="T38" i="1"/>
  <c r="S38" i="1"/>
  <c r="Q38" i="1"/>
  <c r="M38" i="1"/>
  <c r="P38" i="1" s="1"/>
  <c r="L38" i="1"/>
  <c r="F38" i="1"/>
  <c r="G38" i="1" s="1"/>
  <c r="Z37" i="1"/>
  <c r="Y37" i="1"/>
  <c r="X37" i="1"/>
  <c r="W37" i="1"/>
  <c r="V37" i="1"/>
  <c r="U37" i="1"/>
  <c r="T37" i="1"/>
  <c r="S37" i="1"/>
  <c r="Q37" i="1"/>
  <c r="M37" i="1"/>
  <c r="P37" i="1" s="1"/>
  <c r="L37" i="1"/>
  <c r="F37" i="1"/>
  <c r="G37" i="1" s="1"/>
  <c r="Z36" i="1"/>
  <c r="Y36" i="1"/>
  <c r="X36" i="1"/>
  <c r="W36" i="1"/>
  <c r="V36" i="1"/>
  <c r="U36" i="1"/>
  <c r="T36" i="1"/>
  <c r="S36" i="1"/>
  <c r="Q36" i="1"/>
  <c r="P36" i="1"/>
  <c r="O36" i="1"/>
  <c r="Z35" i="1"/>
  <c r="Y35" i="1"/>
  <c r="X35" i="1"/>
  <c r="W35" i="1"/>
  <c r="V35" i="1"/>
  <c r="U35" i="1"/>
  <c r="T35" i="1"/>
  <c r="S35" i="1"/>
  <c r="Q35" i="1"/>
  <c r="M35" i="1"/>
  <c r="P35" i="1" s="1"/>
  <c r="L35" i="1"/>
  <c r="F35" i="1"/>
  <c r="G35" i="1" s="1"/>
  <c r="Z34" i="1"/>
  <c r="Y34" i="1"/>
  <c r="X34" i="1"/>
  <c r="W34" i="1"/>
  <c r="V34" i="1"/>
  <c r="U34" i="1"/>
  <c r="T34" i="1"/>
  <c r="S34" i="1"/>
  <c r="Q34" i="1"/>
  <c r="M34" i="1"/>
  <c r="P34" i="1" s="1"/>
  <c r="L34" i="1"/>
  <c r="F34" i="1"/>
  <c r="G34" i="1" s="1"/>
  <c r="S33" i="1"/>
  <c r="P33" i="1"/>
  <c r="O33" i="1"/>
  <c r="Z32" i="1"/>
  <c r="Y32" i="1"/>
  <c r="X32" i="1"/>
  <c r="W32" i="1"/>
  <c r="V32" i="1"/>
  <c r="U32" i="1"/>
  <c r="T32" i="1"/>
  <c r="S32" i="1"/>
  <c r="Q32" i="1"/>
  <c r="P32" i="1"/>
  <c r="O32" i="1"/>
  <c r="Z31" i="1"/>
  <c r="Y31" i="1"/>
  <c r="X31" i="1"/>
  <c r="W31" i="1"/>
  <c r="V31" i="1"/>
  <c r="U31" i="1"/>
  <c r="T31" i="1"/>
  <c r="S31" i="1"/>
  <c r="Q31" i="1"/>
  <c r="P31" i="1"/>
  <c r="O31" i="1"/>
  <c r="Z30" i="1"/>
  <c r="Y30" i="1"/>
  <c r="X30" i="1"/>
  <c r="W30" i="1"/>
  <c r="V30" i="1"/>
  <c r="U30" i="1"/>
  <c r="T30" i="1"/>
  <c r="S30" i="1"/>
  <c r="Q30" i="1"/>
  <c r="P30" i="1"/>
  <c r="O30" i="1"/>
  <c r="S29" i="1"/>
  <c r="M29" i="1"/>
  <c r="P29" i="1" s="1"/>
  <c r="L29" i="1"/>
  <c r="F29" i="1"/>
  <c r="G29" i="1" s="1"/>
  <c r="Z28" i="1"/>
  <c r="Y28" i="1"/>
  <c r="X28" i="1"/>
  <c r="W28" i="1"/>
  <c r="V28" i="1"/>
  <c r="U28" i="1"/>
  <c r="T28" i="1"/>
  <c r="S28" i="1"/>
  <c r="Q28" i="1"/>
  <c r="M28" i="1"/>
  <c r="P28" i="1" s="1"/>
  <c r="L28" i="1"/>
  <c r="F28" i="1"/>
  <c r="G28" i="1" s="1"/>
  <c r="Z27" i="1"/>
  <c r="Y27" i="1"/>
  <c r="X27" i="1"/>
  <c r="W27" i="1"/>
  <c r="V27" i="1"/>
  <c r="U27" i="1"/>
  <c r="T27" i="1"/>
  <c r="S27" i="1"/>
  <c r="Q27" i="1"/>
  <c r="P27" i="1"/>
  <c r="O27" i="1"/>
  <c r="Z26" i="1"/>
  <c r="Y26" i="1"/>
  <c r="X26" i="1"/>
  <c r="W26" i="1"/>
  <c r="V26" i="1"/>
  <c r="U26" i="1"/>
  <c r="T26" i="1"/>
  <c r="S26" i="1"/>
  <c r="Q26" i="1"/>
  <c r="M26" i="1"/>
  <c r="P26" i="1" s="1"/>
  <c r="L26" i="1"/>
  <c r="F26" i="1"/>
  <c r="G26" i="1" s="1"/>
  <c r="Z25" i="1"/>
  <c r="Y25" i="1"/>
  <c r="X25" i="1"/>
  <c r="W25" i="1"/>
  <c r="V25" i="1"/>
  <c r="U25" i="1"/>
  <c r="T25" i="1"/>
  <c r="S25" i="1"/>
  <c r="Q25" i="1"/>
  <c r="M25" i="1"/>
  <c r="P25" i="1" s="1"/>
  <c r="L25" i="1"/>
  <c r="F25" i="1"/>
  <c r="G25" i="1" s="1"/>
  <c r="Z24" i="1"/>
  <c r="Y24" i="1"/>
  <c r="X24" i="1"/>
  <c r="W24" i="1"/>
  <c r="V24" i="1"/>
  <c r="U24" i="1"/>
  <c r="T24" i="1"/>
  <c r="S24" i="1"/>
  <c r="Q24" i="1"/>
  <c r="P24" i="1"/>
  <c r="O24" i="1"/>
  <c r="Z23" i="1"/>
  <c r="Y23" i="1"/>
  <c r="X23" i="1"/>
  <c r="W23" i="1"/>
  <c r="V23" i="1"/>
  <c r="U23" i="1"/>
  <c r="T23" i="1"/>
  <c r="S23" i="1"/>
  <c r="Q23" i="1"/>
  <c r="M23" i="1"/>
  <c r="P23" i="1" s="1"/>
  <c r="L23" i="1"/>
  <c r="F23" i="1"/>
  <c r="G23" i="1" s="1"/>
  <c r="Z22" i="1"/>
  <c r="Y22" i="1"/>
  <c r="X22" i="1"/>
  <c r="W22" i="1"/>
  <c r="V22" i="1"/>
  <c r="U22" i="1"/>
  <c r="T22" i="1"/>
  <c r="Q22" i="1"/>
  <c r="P22" i="1"/>
  <c r="O22" i="1"/>
  <c r="L22" i="1"/>
  <c r="F22" i="1"/>
  <c r="G22" i="1" s="1"/>
  <c r="Z21" i="1"/>
  <c r="Y21" i="1"/>
  <c r="X21" i="1"/>
  <c r="W21" i="1"/>
  <c r="V21" i="1"/>
  <c r="U21" i="1"/>
  <c r="T21" i="1"/>
  <c r="S21" i="1"/>
  <c r="Q21" i="1"/>
  <c r="P21" i="1"/>
  <c r="O21" i="1"/>
  <c r="Z20" i="1"/>
  <c r="Y20" i="1"/>
  <c r="X20" i="1"/>
  <c r="W20" i="1"/>
  <c r="V20" i="1"/>
  <c r="U20" i="1"/>
  <c r="T20" i="1"/>
  <c r="S20" i="1"/>
  <c r="Q20" i="1"/>
  <c r="P20" i="1"/>
  <c r="O20" i="1"/>
  <c r="Z19" i="1"/>
  <c r="Y19" i="1"/>
  <c r="X19" i="1"/>
  <c r="W19" i="1"/>
  <c r="V19" i="1"/>
  <c r="U19" i="1"/>
  <c r="T19" i="1"/>
  <c r="S19" i="1"/>
  <c r="Q19" i="1"/>
  <c r="M19" i="1"/>
  <c r="P19" i="1" s="1"/>
  <c r="L19" i="1"/>
  <c r="F19" i="1"/>
  <c r="G19" i="1" s="1"/>
  <c r="Z18" i="1"/>
  <c r="Y18" i="1"/>
  <c r="X18" i="1"/>
  <c r="W18" i="1"/>
  <c r="V18" i="1"/>
  <c r="U18" i="1"/>
  <c r="T18" i="1"/>
  <c r="S18" i="1"/>
  <c r="Q18" i="1"/>
  <c r="M18" i="1"/>
  <c r="P18" i="1" s="1"/>
  <c r="L18" i="1"/>
  <c r="F18" i="1"/>
  <c r="G18" i="1" s="1"/>
  <c r="Z17" i="1"/>
  <c r="Y17" i="1"/>
  <c r="X17" i="1"/>
  <c r="W17" i="1"/>
  <c r="V17" i="1"/>
  <c r="U17" i="1"/>
  <c r="T17" i="1"/>
  <c r="S17" i="1"/>
  <c r="Q17" i="1"/>
  <c r="P17" i="1"/>
  <c r="O17" i="1"/>
  <c r="S16" i="1"/>
  <c r="S15" i="1"/>
  <c r="Z14" i="1"/>
  <c r="Y14" i="1"/>
  <c r="X14" i="1"/>
  <c r="W14" i="1"/>
  <c r="V14" i="1"/>
  <c r="U14" i="1"/>
  <c r="T14" i="1"/>
  <c r="S14" i="1"/>
  <c r="Q14" i="1"/>
  <c r="M14" i="1"/>
  <c r="P14" i="1" s="1"/>
  <c r="L14" i="1"/>
  <c r="F14" i="1"/>
  <c r="G14" i="1" s="1"/>
  <c r="Z13" i="1"/>
  <c r="Y13" i="1"/>
  <c r="X13" i="1"/>
  <c r="W13" i="1"/>
  <c r="V13" i="1"/>
  <c r="U13" i="1"/>
  <c r="T13" i="1"/>
  <c r="S13" i="1"/>
  <c r="Q13" i="1"/>
  <c r="M13" i="1"/>
  <c r="P13" i="1" s="1"/>
  <c r="L13" i="1"/>
  <c r="F13" i="1"/>
  <c r="G13" i="1" s="1"/>
  <c r="Z12" i="1"/>
  <c r="Y12" i="1"/>
  <c r="X12" i="1"/>
  <c r="W12" i="1"/>
  <c r="V12" i="1"/>
  <c r="U12" i="1"/>
  <c r="T12" i="1"/>
  <c r="S12" i="1"/>
  <c r="Q12" i="1"/>
  <c r="M12" i="1"/>
  <c r="P12" i="1" s="1"/>
  <c r="L12" i="1"/>
  <c r="F12" i="1"/>
  <c r="G12" i="1" s="1"/>
  <c r="Z11" i="1"/>
  <c r="Y11" i="1"/>
  <c r="X11" i="1"/>
  <c r="W11" i="1"/>
  <c r="V11" i="1"/>
  <c r="U11" i="1"/>
  <c r="T11" i="1"/>
  <c r="S11" i="1"/>
  <c r="Q11" i="1"/>
  <c r="M11" i="1"/>
  <c r="O11" i="1" s="1"/>
  <c r="L11" i="1"/>
  <c r="F11" i="1"/>
  <c r="G11" i="1" s="1"/>
  <c r="O18" i="1" l="1"/>
  <c r="S62" i="1"/>
  <c r="Q62" i="1"/>
  <c r="Q66" i="1" s="1"/>
  <c r="O13" i="1"/>
  <c r="O14" i="1"/>
  <c r="O23" i="1"/>
  <c r="O25" i="1"/>
  <c r="O29" i="1"/>
  <c r="O35" i="1"/>
  <c r="O37" i="1"/>
  <c r="O39" i="1"/>
  <c r="O41" i="1"/>
  <c r="G62" i="1"/>
  <c r="P11" i="1"/>
  <c r="P62" i="1" s="1"/>
  <c r="O12" i="1"/>
  <c r="O19" i="1"/>
  <c r="O26" i="1"/>
  <c r="O28" i="1"/>
  <c r="O34" i="1"/>
  <c r="O38" i="1"/>
  <c r="O40" i="1"/>
  <c r="O42" i="1"/>
  <c r="O62" i="1" l="1"/>
  <c r="O64" i="1" s="1"/>
  <c r="O66" i="1" s="1"/>
</calcChain>
</file>

<file path=xl/sharedStrings.xml><?xml version="1.0" encoding="utf-8"?>
<sst xmlns="http://schemas.openxmlformats.org/spreadsheetml/2006/main" count="106" uniqueCount="99">
  <si>
    <t>Variation by Year Group</t>
  </si>
  <si>
    <t>Cost Centre</t>
  </si>
  <si>
    <t>DfE No</t>
  </si>
  <si>
    <t>School</t>
  </si>
  <si>
    <t>Growth in 
Year Group in
Sept  2012</t>
  </si>
  <si>
    <t>Estimate
Increase</t>
  </si>
  <si>
    <t>AWPU
Rate</t>
  </si>
  <si>
    <t>Estimated Allocation</t>
  </si>
  <si>
    <t>Actual
Increase@
Oct 12</t>
  </si>
  <si>
    <t>Funding
Allocation</t>
  </si>
  <si>
    <t>Growth in 
Year Group in
Sept  2013</t>
  </si>
  <si>
    <t>Current Pupil
Entitlement
Estimate</t>
  </si>
  <si>
    <t>Actual
Oct 13
Pupil
Variation</t>
  </si>
  <si>
    <t>No of 
Places to be
Funded</t>
  </si>
  <si>
    <t>Amount
To be Allocated</t>
  </si>
  <si>
    <t>Rec</t>
  </si>
  <si>
    <t>Y1</t>
  </si>
  <si>
    <t>Y2</t>
  </si>
  <si>
    <t>Y3</t>
  </si>
  <si>
    <t>Y4</t>
  </si>
  <si>
    <t>Y5</t>
  </si>
  <si>
    <t>Y6</t>
  </si>
  <si>
    <t>REABY</t>
  </si>
  <si>
    <t>BROOKFIELDS</t>
  </si>
  <si>
    <t>REAKC</t>
  </si>
  <si>
    <t>REGENTS PARK</t>
  </si>
  <si>
    <t>REAEG</t>
  </si>
  <si>
    <t>GREET</t>
  </si>
  <si>
    <t>REAPK</t>
  </si>
  <si>
    <t>WARD END</t>
  </si>
  <si>
    <t>Migration</t>
  </si>
  <si>
    <t>from Novem</t>
  </si>
  <si>
    <t>NANSEN</t>
  </si>
  <si>
    <t>NELSON</t>
  </si>
  <si>
    <t>REAJF</t>
  </si>
  <si>
    <t>PAGET</t>
  </si>
  <si>
    <t>REAJG</t>
  </si>
  <si>
    <t>PARK HILL</t>
  </si>
  <si>
    <t>REDNALL HILL</t>
  </si>
  <si>
    <t>REANQ</t>
  </si>
  <si>
    <t>STARBANK</t>
  </si>
  <si>
    <t>REANR</t>
  </si>
  <si>
    <t>STECHFORD</t>
  </si>
  <si>
    <t>FEATHERSTONE</t>
  </si>
  <si>
    <t>REAAN</t>
  </si>
  <si>
    <t>ARDEN</t>
  </si>
  <si>
    <t>REACD</t>
  </si>
  <si>
    <t>CHAD VALE</t>
  </si>
  <si>
    <t>WORLDS END</t>
  </si>
  <si>
    <t>REAQB</t>
  </si>
  <si>
    <t>OVAL, THE</t>
  </si>
  <si>
    <t>REAKE</t>
  </si>
  <si>
    <t>ROBIN HOOD</t>
  </si>
  <si>
    <t>WHITEHOUSE COMMON</t>
  </si>
  <si>
    <t>ANGLESY</t>
  </si>
  <si>
    <t>ST MARY'S CE (B29)</t>
  </si>
  <si>
    <t>ST MICHAEL'S CE (B32)</t>
  </si>
  <si>
    <t>REAMW</t>
  </si>
  <si>
    <t>ST MARY'S RC (B17)</t>
  </si>
  <si>
    <t>REALP</t>
  </si>
  <si>
    <t>ST DUNSTAN'S RC</t>
  </si>
  <si>
    <t>AUDLEY</t>
  </si>
  <si>
    <t>REARQ</t>
  </si>
  <si>
    <t>YARDLEY</t>
  </si>
  <si>
    <t>REABX</t>
  </si>
  <si>
    <t>HODGE HILL</t>
  </si>
  <si>
    <t>REACN</t>
  </si>
  <si>
    <t>CLIFTON</t>
  </si>
  <si>
    <t>REAHF</t>
  </si>
  <si>
    <t>MOOR GREEN</t>
  </si>
  <si>
    <t>REAAE</t>
  </si>
  <si>
    <t>AL-FURQAN</t>
  </si>
  <si>
    <t>WAVERLEY</t>
  </si>
  <si>
    <t>R</t>
  </si>
  <si>
    <t>The Meadows Primary School</t>
  </si>
  <si>
    <t>GEORGE DIXON JUNIOR &amp; INFANT</t>
  </si>
  <si>
    <t>Wychall Primary School</t>
  </si>
  <si>
    <t>PAGANEL PRIMARY SCHOOL</t>
  </si>
  <si>
    <t>Grendon Primary School (N.C.)</t>
  </si>
  <si>
    <t>Wheelers Lane Primary School</t>
  </si>
  <si>
    <t>Aston Tower Primary School</t>
  </si>
  <si>
    <t>Hall Green Junior School</t>
  </si>
  <si>
    <t>Colmore Junior School</t>
  </si>
  <si>
    <t>SS. Mary and John Catholic Primary School</t>
  </si>
  <si>
    <t>New Hall Primary &amp; Children's Centre</t>
  </si>
  <si>
    <t>St Wilfrid's Catholic J I School</t>
  </si>
  <si>
    <t>Yardley Wood Community School (NC)</t>
  </si>
  <si>
    <t>Allens Croft Primary School</t>
  </si>
  <si>
    <t>Bordesley Village Primary School</t>
  </si>
  <si>
    <t>Schools with Growth After October 2012, not included in school budget share for 2013/14??</t>
  </si>
  <si>
    <t>Migration Spring</t>
  </si>
  <si>
    <t>Migration Autumn</t>
  </si>
  <si>
    <t>International School</t>
  </si>
  <si>
    <t>APPENDIX 1</t>
  </si>
  <si>
    <t>Allocations from the Growth Fund 2013/14</t>
  </si>
  <si>
    <t>NB:</t>
  </si>
  <si>
    <t>Migration: There has been a significant increase in the numbers of families coming to live in Birmingham.</t>
  </si>
  <si>
    <t>This has resulted in some schools accepting significant numbers of additional pupils for which,</t>
  </si>
  <si>
    <t>the LA has provided funding, from the growth fund, to support the educational provision to these pupils.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</si>
</sst>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5" fillId="0" borderId="0"/>
    <xf numFmtId="0" fontId="6" fillId="0" borderId="0"/>
  </cellStyleXfs>
  <cellXfs count="64">
    <xf numFmtId="0" fontId="0" fillId="0" borderId="0" xfId="0"/>
    <xf numFmtId="0" fontId="3" fillId="0" borderId="0" xfId="0" applyFont="1"/>
    <xf numFmtId="0" fontId="0" fillId="0" borderId="0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164" fontId="0" fillId="0" borderId="10" xfId="1" applyNumberFormat="1" applyFont="1" applyBorder="1"/>
    <xf numFmtId="164" fontId="0" fillId="0" borderId="12" xfId="1" applyNumberFormat="1" applyFont="1" applyBorder="1"/>
    <xf numFmtId="0" fontId="0" fillId="0" borderId="0" xfId="0" applyFill="1" applyBorder="1"/>
    <xf numFmtId="0" fontId="0" fillId="0" borderId="11" xfId="0" applyFill="1" applyBorder="1" applyAlignment="1">
      <alignment horizontal="left" indent="1"/>
    </xf>
    <xf numFmtId="164" fontId="0" fillId="0" borderId="0" xfId="1" applyNumberFormat="1" applyFont="1" applyBorder="1"/>
    <xf numFmtId="164" fontId="2" fillId="0" borderId="12" xfId="1" applyNumberFormat="1" applyBorder="1"/>
    <xf numFmtId="164" fontId="2" fillId="0" borderId="0" xfId="1" applyNumberFormat="1" applyBorder="1"/>
    <xf numFmtId="0" fontId="0" fillId="0" borderId="10" xfId="0" applyBorder="1" applyAlignment="1">
      <alignment horizontal="center"/>
    </xf>
    <xf numFmtId="43" fontId="0" fillId="0" borderId="0" xfId="1" applyFont="1" applyBorder="1"/>
    <xf numFmtId="43" fontId="0" fillId="0" borderId="0" xfId="0" applyNumberFormat="1"/>
    <xf numFmtId="0" fontId="0" fillId="3" borderId="0" xfId="0" applyFill="1"/>
    <xf numFmtId="164" fontId="2" fillId="0" borderId="10" xfId="1" applyNumberFormat="1" applyBorder="1"/>
    <xf numFmtId="0" fontId="4" fillId="0" borderId="10" xfId="0" applyFont="1" applyBorder="1" applyAlignment="1">
      <alignment horizontal="center"/>
    </xf>
    <xf numFmtId="164" fontId="2" fillId="0" borderId="0" xfId="1" applyNumberFormat="1" applyFill="1" applyBorder="1"/>
    <xf numFmtId="164" fontId="0" fillId="0" borderId="0" xfId="1" applyNumberFormat="1" applyFont="1" applyFill="1" applyBorder="1"/>
    <xf numFmtId="0" fontId="0" fillId="0" borderId="10" xfId="0" applyFill="1" applyBorder="1"/>
    <xf numFmtId="164" fontId="0" fillId="0" borderId="0" xfId="0" applyNumberFormat="1"/>
    <xf numFmtId="0" fontId="0" fillId="4" borderId="10" xfId="0" applyFill="1" applyBorder="1"/>
    <xf numFmtId="0" fontId="4" fillId="0" borderId="11" xfId="0" applyFont="1" applyFill="1" applyBorder="1" applyAlignment="1">
      <alignment horizontal="left" indent="1"/>
    </xf>
    <xf numFmtId="0" fontId="0" fillId="0" borderId="1" xfId="0" applyFill="1" applyBorder="1"/>
    <xf numFmtId="164" fontId="0" fillId="0" borderId="1" xfId="1" applyNumberFormat="1" applyFont="1" applyBorder="1"/>
    <xf numFmtId="164" fontId="2" fillId="0" borderId="15" xfId="1" applyNumberFormat="1" applyBorder="1"/>
    <xf numFmtId="164" fontId="2" fillId="0" borderId="1" xfId="1" applyNumberFormat="1" applyBorder="1"/>
    <xf numFmtId="164" fontId="2" fillId="0" borderId="13" xfId="1" applyNumberFormat="1" applyBorder="1"/>
    <xf numFmtId="0" fontId="0" fillId="0" borderId="1" xfId="0" applyBorder="1"/>
    <xf numFmtId="0" fontId="0" fillId="0" borderId="13" xfId="0" applyBorder="1" applyAlignment="1">
      <alignment horizontal="center"/>
    </xf>
    <xf numFmtId="43" fontId="0" fillId="0" borderId="1" xfId="1" applyFont="1" applyBorder="1"/>
    <xf numFmtId="164" fontId="0" fillId="0" borderId="15" xfId="1" applyNumberFormat="1" applyFont="1" applyBorder="1"/>
    <xf numFmtId="43" fontId="0" fillId="0" borderId="1" xfId="0" applyNumberFormat="1" applyBorder="1"/>
    <xf numFmtId="0" fontId="0" fillId="0" borderId="0" xfId="0" applyFill="1" applyBorder="1" applyAlignment="1">
      <alignment horizontal="left" indent="1"/>
    </xf>
    <xf numFmtId="43" fontId="0" fillId="0" borderId="0" xfId="0" applyNumberFormat="1" applyBorder="1"/>
    <xf numFmtId="164" fontId="0" fillId="0" borderId="16" xfId="0" applyNumberFormat="1" applyBorder="1"/>
    <xf numFmtId="164" fontId="0" fillId="0" borderId="0" xfId="0" applyNumberFormat="1" applyBorder="1"/>
    <xf numFmtId="164" fontId="3" fillId="0" borderId="17" xfId="1" applyNumberFormat="1" applyFont="1" applyBorder="1"/>
    <xf numFmtId="164" fontId="0" fillId="0" borderId="0" xfId="1" applyNumberFormat="1" applyFont="1"/>
    <xf numFmtId="0" fontId="7" fillId="0" borderId="0" xfId="0" applyFont="1"/>
    <xf numFmtId="0" fontId="4" fillId="0" borderId="14" xfId="0" applyFont="1" applyFill="1" applyBorder="1" applyAlignment="1">
      <alignment horizontal="left" indent="1"/>
    </xf>
    <xf numFmtId="164" fontId="3" fillId="0" borderId="16" xfId="0" applyNumberFormat="1" applyFont="1" applyBorder="1"/>
    <xf numFmtId="0" fontId="1" fillId="0" borderId="0" xfId="2" applyFill="1"/>
    <xf numFmtId="0" fontId="1" fillId="0" borderId="1" xfId="2" applyFill="1" applyBorder="1"/>
    <xf numFmtId="0" fontId="1" fillId="0" borderId="0" xfId="2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20% - Accent2" xfId="2" builtinId="34"/>
    <cellStyle name="Comma" xfId="1" builtinId="3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ORMULA\99_2000\WORKINGS\GM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LRDCLR05\HomeShare\CHEXE\Edubmkps\Copy%20of%20T_Finance%206-11-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air%20Funding%20Team\A1Formula\13_14%20Actual\Workings\Other\SBS%20Additions\PupilNumberVariationEstim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ormula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 Maintained"/>
      <sheetName val="Sheet1"/>
    </sheetNames>
    <sheetDataSet>
      <sheetData sheetId="0"/>
      <sheetData sheetId="1">
        <row r="6">
          <cell r="A6">
            <v>3304009</v>
          </cell>
          <cell r="B6" t="str">
            <v>Waverley School</v>
          </cell>
          <cell r="C6">
            <v>1</v>
          </cell>
          <cell r="D6">
            <v>0</v>
          </cell>
          <cell r="E6">
            <v>0</v>
          </cell>
          <cell r="F6">
            <v>943</v>
          </cell>
          <cell r="G6">
            <v>1066</v>
          </cell>
          <cell r="H6">
            <v>123</v>
          </cell>
        </row>
        <row r="7">
          <cell r="A7">
            <v>3302179</v>
          </cell>
          <cell r="B7" t="str">
            <v>Starbank Primary School</v>
          </cell>
          <cell r="C7">
            <v>1</v>
          </cell>
          <cell r="D7">
            <v>0</v>
          </cell>
          <cell r="E7">
            <v>0</v>
          </cell>
          <cell r="F7">
            <v>848</v>
          </cell>
          <cell r="G7">
            <v>949</v>
          </cell>
          <cell r="H7">
            <v>101</v>
          </cell>
        </row>
        <row r="8">
          <cell r="A8">
            <v>3302246</v>
          </cell>
          <cell r="B8" t="str">
            <v>The Meadows Primary School</v>
          </cell>
          <cell r="C8">
            <v>1</v>
          </cell>
          <cell r="D8">
            <v>0</v>
          </cell>
          <cell r="E8">
            <v>0</v>
          </cell>
          <cell r="F8">
            <v>397</v>
          </cell>
          <cell r="G8">
            <v>466</v>
          </cell>
          <cell r="H8">
            <v>69</v>
          </cell>
        </row>
        <row r="9">
          <cell r="A9">
            <v>3302079</v>
          </cell>
          <cell r="B9" t="str">
            <v>GEORGE DIXON JUNIOR &amp; INFANT</v>
          </cell>
          <cell r="C9">
            <v>1</v>
          </cell>
          <cell r="D9">
            <v>0</v>
          </cell>
          <cell r="E9">
            <v>0</v>
          </cell>
          <cell r="F9">
            <v>243</v>
          </cell>
          <cell r="G9">
            <v>303</v>
          </cell>
          <cell r="H9">
            <v>60</v>
          </cell>
        </row>
        <row r="10">
          <cell r="A10">
            <v>3302273</v>
          </cell>
          <cell r="B10" t="str">
            <v>Topcliffe Primary School</v>
          </cell>
          <cell r="C10">
            <v>1</v>
          </cell>
          <cell r="D10">
            <v>0</v>
          </cell>
          <cell r="E10">
            <v>0</v>
          </cell>
          <cell r="F10">
            <v>194</v>
          </cell>
          <cell r="G10">
            <v>252</v>
          </cell>
          <cell r="H10">
            <v>58</v>
          </cell>
        </row>
        <row r="11">
          <cell r="A11">
            <v>3303430</v>
          </cell>
          <cell r="B11" t="str">
            <v>Hodge Hill Primary School</v>
          </cell>
          <cell r="C11">
            <v>1</v>
          </cell>
          <cell r="D11">
            <v>0</v>
          </cell>
          <cell r="E11">
            <v>0</v>
          </cell>
          <cell r="F11">
            <v>663</v>
          </cell>
          <cell r="G11">
            <v>720</v>
          </cell>
          <cell r="H11">
            <v>57</v>
          </cell>
        </row>
        <row r="12">
          <cell r="A12">
            <v>3302454</v>
          </cell>
          <cell r="B12" t="str">
            <v>Elms Farm Primary School</v>
          </cell>
          <cell r="C12">
            <v>1</v>
          </cell>
          <cell r="D12">
            <v>0</v>
          </cell>
          <cell r="E12">
            <v>0</v>
          </cell>
          <cell r="F12">
            <v>286</v>
          </cell>
          <cell r="G12">
            <v>339</v>
          </cell>
          <cell r="H12">
            <v>53</v>
          </cell>
        </row>
        <row r="13">
          <cell r="A13">
            <v>3302108</v>
          </cell>
          <cell r="B13" t="str">
            <v>Ward End Primary School</v>
          </cell>
          <cell r="C13">
            <v>1</v>
          </cell>
          <cell r="D13">
            <v>0</v>
          </cell>
          <cell r="E13">
            <v>0</v>
          </cell>
          <cell r="F13">
            <v>569</v>
          </cell>
          <cell r="G13">
            <v>620</v>
          </cell>
          <cell r="H13">
            <v>51</v>
          </cell>
        </row>
        <row r="14">
          <cell r="A14">
            <v>3302034</v>
          </cell>
          <cell r="B14" t="str">
            <v>Brookfields Primary School</v>
          </cell>
          <cell r="C14">
            <v>1</v>
          </cell>
          <cell r="D14">
            <v>0</v>
          </cell>
          <cell r="E14">
            <v>0</v>
          </cell>
          <cell r="F14">
            <v>252</v>
          </cell>
          <cell r="G14">
            <v>300</v>
          </cell>
          <cell r="H14">
            <v>48</v>
          </cell>
        </row>
        <row r="15">
          <cell r="A15">
            <v>3302160</v>
          </cell>
          <cell r="B15" t="str">
            <v>Rednal Hill Junior School</v>
          </cell>
          <cell r="C15">
            <v>1</v>
          </cell>
          <cell r="D15">
            <v>0</v>
          </cell>
          <cell r="E15">
            <v>0</v>
          </cell>
          <cell r="F15">
            <v>218</v>
          </cell>
          <cell r="G15">
            <v>259</v>
          </cell>
          <cell r="H15">
            <v>41</v>
          </cell>
        </row>
        <row r="16">
          <cell r="A16">
            <v>3302480</v>
          </cell>
          <cell r="B16" t="str">
            <v>Wychall Primary School</v>
          </cell>
          <cell r="C16">
            <v>1</v>
          </cell>
          <cell r="D16">
            <v>0</v>
          </cell>
          <cell r="E16">
            <v>0</v>
          </cell>
          <cell r="F16">
            <v>339</v>
          </cell>
          <cell r="G16">
            <v>379</v>
          </cell>
          <cell r="H16">
            <v>40</v>
          </cell>
        </row>
        <row r="17">
          <cell r="A17">
            <v>3302021</v>
          </cell>
          <cell r="B17" t="str">
            <v>PAGANEL PRIMARY SCHOOL</v>
          </cell>
          <cell r="C17">
            <v>1</v>
          </cell>
          <cell r="D17">
            <v>0</v>
          </cell>
          <cell r="E17">
            <v>0</v>
          </cell>
          <cell r="F17">
            <v>195</v>
          </cell>
          <cell r="G17">
            <v>232</v>
          </cell>
          <cell r="H17">
            <v>37</v>
          </cell>
        </row>
        <row r="18">
          <cell r="A18">
            <v>3302149</v>
          </cell>
          <cell r="B18" t="str">
            <v>Paget Primary School</v>
          </cell>
          <cell r="C18">
            <v>1</v>
          </cell>
          <cell r="D18">
            <v>0</v>
          </cell>
          <cell r="E18">
            <v>0</v>
          </cell>
          <cell r="F18">
            <v>249</v>
          </cell>
          <cell r="G18">
            <v>286</v>
          </cell>
          <cell r="H18">
            <v>37</v>
          </cell>
        </row>
        <row r="19">
          <cell r="A19">
            <v>3302441</v>
          </cell>
          <cell r="B19" t="str">
            <v>Kingsthorne School (NC)</v>
          </cell>
          <cell r="C19">
            <v>1</v>
          </cell>
          <cell r="D19">
            <v>0</v>
          </cell>
          <cell r="E19">
            <v>0</v>
          </cell>
          <cell r="F19">
            <v>305</v>
          </cell>
          <cell r="G19">
            <v>342</v>
          </cell>
          <cell r="H19">
            <v>37</v>
          </cell>
        </row>
        <row r="20">
          <cell r="A20">
            <v>3302263</v>
          </cell>
          <cell r="B20" t="str">
            <v>NORTHFIELD MANOR PRIMARY SCHOOL</v>
          </cell>
          <cell r="C20">
            <v>1</v>
          </cell>
          <cell r="D20">
            <v>0</v>
          </cell>
          <cell r="E20">
            <v>0</v>
          </cell>
          <cell r="F20">
            <v>327</v>
          </cell>
          <cell r="G20">
            <v>362</v>
          </cell>
          <cell r="H20">
            <v>35</v>
          </cell>
        </row>
        <row r="21">
          <cell r="A21">
            <v>3302300</v>
          </cell>
          <cell r="B21" t="str">
            <v>ARDEN PRIMARY SCHOOL NC</v>
          </cell>
          <cell r="C21">
            <v>1</v>
          </cell>
          <cell r="D21">
            <v>0</v>
          </cell>
          <cell r="E21">
            <v>0</v>
          </cell>
          <cell r="F21">
            <v>565</v>
          </cell>
          <cell r="G21">
            <v>600</v>
          </cell>
          <cell r="H21">
            <v>35</v>
          </cell>
        </row>
        <row r="22">
          <cell r="A22">
            <v>3305204</v>
          </cell>
          <cell r="B22" t="str">
            <v>Manor Park Primary School</v>
          </cell>
          <cell r="C22">
            <v>1</v>
          </cell>
          <cell r="D22">
            <v>0</v>
          </cell>
          <cell r="E22">
            <v>0</v>
          </cell>
          <cell r="F22">
            <v>353</v>
          </cell>
          <cell r="G22">
            <v>388</v>
          </cell>
          <cell r="H22">
            <v>35</v>
          </cell>
        </row>
        <row r="23">
          <cell r="A23">
            <v>3302063</v>
          </cell>
          <cell r="B23" t="str">
            <v>Regents Park Community Primary School</v>
          </cell>
          <cell r="C23">
            <v>1</v>
          </cell>
          <cell r="D23">
            <v>0</v>
          </cell>
          <cell r="E23">
            <v>0</v>
          </cell>
          <cell r="F23">
            <v>472</v>
          </cell>
          <cell r="G23">
            <v>506</v>
          </cell>
          <cell r="H23">
            <v>34</v>
          </cell>
        </row>
        <row r="24">
          <cell r="A24">
            <v>3302087</v>
          </cell>
          <cell r="B24" t="str">
            <v>Grendon Primary School (N.C.)</v>
          </cell>
          <cell r="C24">
            <v>1</v>
          </cell>
          <cell r="D24">
            <v>0</v>
          </cell>
          <cell r="E24">
            <v>0</v>
          </cell>
          <cell r="F24">
            <v>223</v>
          </cell>
          <cell r="G24">
            <v>257</v>
          </cell>
          <cell r="H24">
            <v>34</v>
          </cell>
        </row>
        <row r="25">
          <cell r="A25">
            <v>3302447</v>
          </cell>
          <cell r="B25" t="str">
            <v>The Oval Primary School</v>
          </cell>
          <cell r="C25">
            <v>1</v>
          </cell>
          <cell r="D25">
            <v>0</v>
          </cell>
          <cell r="E25">
            <v>0</v>
          </cell>
          <cell r="F25">
            <v>533</v>
          </cell>
          <cell r="G25">
            <v>567</v>
          </cell>
          <cell r="H25">
            <v>34</v>
          </cell>
        </row>
        <row r="26">
          <cell r="A26">
            <v>3303363</v>
          </cell>
          <cell r="B26" t="str">
            <v>St. Dunstan's Catholic Primary School</v>
          </cell>
          <cell r="C26">
            <v>1</v>
          </cell>
          <cell r="D26">
            <v>0</v>
          </cell>
          <cell r="E26">
            <v>0</v>
          </cell>
          <cell r="F26">
            <v>312</v>
          </cell>
          <cell r="G26">
            <v>346</v>
          </cell>
          <cell r="H26">
            <v>34</v>
          </cell>
        </row>
        <row r="27">
          <cell r="A27">
            <v>3302184</v>
          </cell>
          <cell r="B27" t="str">
            <v>STECHFORD PRIMARY SCHOOL</v>
          </cell>
          <cell r="C27">
            <v>1</v>
          </cell>
          <cell r="D27">
            <v>0</v>
          </cell>
          <cell r="E27">
            <v>0</v>
          </cell>
          <cell r="F27">
            <v>267</v>
          </cell>
          <cell r="G27">
            <v>300</v>
          </cell>
          <cell r="H27">
            <v>33</v>
          </cell>
        </row>
        <row r="28">
          <cell r="A28">
            <v>3302312</v>
          </cell>
          <cell r="B28" t="str">
            <v>CHAD VALE PRIMARY SCHOOL</v>
          </cell>
          <cell r="C28">
            <v>1</v>
          </cell>
          <cell r="D28">
            <v>0</v>
          </cell>
          <cell r="E28">
            <v>0</v>
          </cell>
          <cell r="F28">
            <v>299</v>
          </cell>
          <cell r="G28">
            <v>332</v>
          </cell>
          <cell r="H28">
            <v>33</v>
          </cell>
        </row>
        <row r="29">
          <cell r="A29">
            <v>3303412</v>
          </cell>
          <cell r="B29" t="str">
            <v>Audley Primary School</v>
          </cell>
          <cell r="C29">
            <v>1</v>
          </cell>
          <cell r="D29">
            <v>0</v>
          </cell>
          <cell r="E29">
            <v>0</v>
          </cell>
          <cell r="F29">
            <v>664</v>
          </cell>
          <cell r="G29">
            <v>697</v>
          </cell>
          <cell r="H29">
            <v>33</v>
          </cell>
        </row>
        <row r="30">
          <cell r="A30">
            <v>3302011</v>
          </cell>
          <cell r="B30" t="str">
            <v>Wheelers Lane Primary School</v>
          </cell>
          <cell r="C30">
            <v>1</v>
          </cell>
          <cell r="D30">
            <v>0</v>
          </cell>
          <cell r="E30">
            <v>0</v>
          </cell>
          <cell r="F30">
            <v>595</v>
          </cell>
          <cell r="G30">
            <v>627</v>
          </cell>
          <cell r="H30">
            <v>32</v>
          </cell>
        </row>
        <row r="31">
          <cell r="A31">
            <v>3302443</v>
          </cell>
          <cell r="B31" t="str">
            <v>Aston Tower Primary School</v>
          </cell>
          <cell r="C31">
            <v>1</v>
          </cell>
          <cell r="D31">
            <v>0</v>
          </cell>
          <cell r="E31">
            <v>0</v>
          </cell>
          <cell r="F31">
            <v>366</v>
          </cell>
          <cell r="G31">
            <v>398</v>
          </cell>
          <cell r="H31">
            <v>32</v>
          </cell>
        </row>
        <row r="32">
          <cell r="A32">
            <v>3302067</v>
          </cell>
          <cell r="B32" t="str">
            <v>SUMMERFIELD J.I. SCHOOL (N.C.)</v>
          </cell>
          <cell r="C32">
            <v>1</v>
          </cell>
          <cell r="D32">
            <v>0</v>
          </cell>
          <cell r="E32">
            <v>0</v>
          </cell>
          <cell r="F32">
            <v>314</v>
          </cell>
          <cell r="G32">
            <v>345</v>
          </cell>
          <cell r="H32">
            <v>31</v>
          </cell>
        </row>
        <row r="33">
          <cell r="A33">
            <v>3302086</v>
          </cell>
          <cell r="B33" t="str">
            <v>Greet Primary School</v>
          </cell>
          <cell r="C33">
            <v>1</v>
          </cell>
          <cell r="D33">
            <v>0</v>
          </cell>
          <cell r="E33">
            <v>0</v>
          </cell>
          <cell r="F33">
            <v>720</v>
          </cell>
          <cell r="G33">
            <v>751</v>
          </cell>
          <cell r="H33">
            <v>31</v>
          </cell>
        </row>
        <row r="34">
          <cell r="A34">
            <v>3302317</v>
          </cell>
          <cell r="B34" t="str">
            <v>Worlds End Infant NC School</v>
          </cell>
          <cell r="C34">
            <v>1</v>
          </cell>
          <cell r="D34">
            <v>0</v>
          </cell>
          <cell r="E34">
            <v>0</v>
          </cell>
          <cell r="F34">
            <v>207</v>
          </cell>
          <cell r="G34">
            <v>238</v>
          </cell>
          <cell r="H34">
            <v>31</v>
          </cell>
        </row>
        <row r="35">
          <cell r="A35">
            <v>3303344</v>
          </cell>
          <cell r="B35" t="str">
            <v>St Mary's Catholic Primary</v>
          </cell>
          <cell r="C35">
            <v>1</v>
          </cell>
          <cell r="D35">
            <v>0</v>
          </cell>
          <cell r="E35">
            <v>0</v>
          </cell>
          <cell r="F35">
            <v>275</v>
          </cell>
          <cell r="G35">
            <v>306</v>
          </cell>
          <cell r="H35">
            <v>31</v>
          </cell>
        </row>
        <row r="36">
          <cell r="A36">
            <v>3302092</v>
          </cell>
          <cell r="B36" t="str">
            <v>Hall Green Junior School</v>
          </cell>
          <cell r="C36">
            <v>1</v>
          </cell>
          <cell r="D36">
            <v>0</v>
          </cell>
          <cell r="E36">
            <v>0</v>
          </cell>
          <cell r="F36">
            <v>360</v>
          </cell>
          <cell r="G36">
            <v>390</v>
          </cell>
          <cell r="H36">
            <v>30</v>
          </cell>
        </row>
        <row r="37">
          <cell r="A37">
            <v>3302142</v>
          </cell>
          <cell r="B37" t="str">
            <v>Nelson Primary School</v>
          </cell>
          <cell r="C37">
            <v>1</v>
          </cell>
          <cell r="D37">
            <v>0</v>
          </cell>
          <cell r="E37">
            <v>0</v>
          </cell>
          <cell r="F37">
            <v>202</v>
          </cell>
          <cell r="G37">
            <v>231</v>
          </cell>
          <cell r="H37">
            <v>29</v>
          </cell>
        </row>
        <row r="38">
          <cell r="A38">
            <v>3302294</v>
          </cell>
          <cell r="B38" t="str">
            <v>Featherstone Primary School</v>
          </cell>
          <cell r="C38">
            <v>1</v>
          </cell>
          <cell r="D38">
            <v>0</v>
          </cell>
          <cell r="E38">
            <v>0</v>
          </cell>
          <cell r="F38">
            <v>223</v>
          </cell>
          <cell r="G38">
            <v>252</v>
          </cell>
          <cell r="H38">
            <v>29</v>
          </cell>
        </row>
        <row r="39">
          <cell r="A39">
            <v>3302053</v>
          </cell>
          <cell r="B39" t="str">
            <v>Colmore Junior School</v>
          </cell>
          <cell r="C39">
            <v>1</v>
          </cell>
          <cell r="D39">
            <v>0</v>
          </cell>
          <cell r="E39">
            <v>0</v>
          </cell>
          <cell r="F39">
            <v>362</v>
          </cell>
          <cell r="G39">
            <v>390</v>
          </cell>
          <cell r="H39">
            <v>28</v>
          </cell>
        </row>
        <row r="40">
          <cell r="A40">
            <v>3303025</v>
          </cell>
          <cell r="B40" t="str">
            <v>St. Mary's C.E. Primary School</v>
          </cell>
          <cell r="C40">
            <v>1</v>
          </cell>
          <cell r="D40">
            <v>0</v>
          </cell>
          <cell r="E40">
            <v>0</v>
          </cell>
          <cell r="F40">
            <v>234</v>
          </cell>
          <cell r="G40">
            <v>262</v>
          </cell>
          <cell r="H40">
            <v>28</v>
          </cell>
        </row>
        <row r="41">
          <cell r="A41">
            <v>3303421</v>
          </cell>
          <cell r="B41" t="str">
            <v>Yardley Primary School</v>
          </cell>
          <cell r="C41">
            <v>1</v>
          </cell>
          <cell r="D41">
            <v>0</v>
          </cell>
          <cell r="E41">
            <v>0</v>
          </cell>
          <cell r="F41">
            <v>689</v>
          </cell>
          <cell r="G41">
            <v>717</v>
          </cell>
          <cell r="H41">
            <v>28</v>
          </cell>
        </row>
        <row r="42">
          <cell r="A42">
            <v>3302150</v>
          </cell>
          <cell r="B42" t="str">
            <v>Park Hill Primary School</v>
          </cell>
          <cell r="C42">
            <v>1</v>
          </cell>
          <cell r="D42">
            <v>0</v>
          </cell>
          <cell r="E42">
            <v>0</v>
          </cell>
          <cell r="F42">
            <v>486</v>
          </cell>
          <cell r="G42">
            <v>513</v>
          </cell>
          <cell r="H42">
            <v>27</v>
          </cell>
        </row>
        <row r="43">
          <cell r="A43">
            <v>3303350</v>
          </cell>
          <cell r="B43" t="str">
            <v>SS. Mary and John Catholic Primary School</v>
          </cell>
          <cell r="C43">
            <v>1</v>
          </cell>
          <cell r="D43">
            <v>0</v>
          </cell>
          <cell r="E43">
            <v>0</v>
          </cell>
          <cell r="F43">
            <v>381</v>
          </cell>
          <cell r="G43">
            <v>408</v>
          </cell>
          <cell r="H43">
            <v>27</v>
          </cell>
        </row>
        <row r="44">
          <cell r="A44">
            <v>3303432</v>
          </cell>
          <cell r="B44" t="str">
            <v>Clifton Primary School</v>
          </cell>
          <cell r="C44">
            <v>1</v>
          </cell>
          <cell r="D44">
            <v>0</v>
          </cell>
          <cell r="E44">
            <v>0</v>
          </cell>
          <cell r="F44">
            <v>686</v>
          </cell>
          <cell r="G44">
            <v>713</v>
          </cell>
          <cell r="H44">
            <v>27</v>
          </cell>
        </row>
        <row r="45">
          <cell r="A45">
            <v>3302469</v>
          </cell>
          <cell r="B45" t="str">
            <v>New Hall Primary &amp; Children's Centre</v>
          </cell>
          <cell r="C45">
            <v>1</v>
          </cell>
          <cell r="D45">
            <v>0</v>
          </cell>
          <cell r="E45">
            <v>0</v>
          </cell>
          <cell r="F45">
            <v>238</v>
          </cell>
          <cell r="G45">
            <v>264</v>
          </cell>
          <cell r="H45">
            <v>26</v>
          </cell>
        </row>
        <row r="46">
          <cell r="A46">
            <v>3302406</v>
          </cell>
          <cell r="B46" t="str">
            <v>Minworth Junior/Infant</v>
          </cell>
          <cell r="C46">
            <v>1</v>
          </cell>
          <cell r="D46">
            <v>0</v>
          </cell>
          <cell r="E46">
            <v>0</v>
          </cell>
          <cell r="F46">
            <v>164</v>
          </cell>
          <cell r="G46">
            <v>189</v>
          </cell>
          <cell r="H46">
            <v>25</v>
          </cell>
        </row>
        <row r="47">
          <cell r="A47">
            <v>3302437</v>
          </cell>
          <cell r="B47" t="str">
            <v>Foundry Primary School</v>
          </cell>
          <cell r="C47">
            <v>1</v>
          </cell>
          <cell r="D47">
            <v>0</v>
          </cell>
          <cell r="E47">
            <v>0</v>
          </cell>
          <cell r="F47">
            <v>162</v>
          </cell>
          <cell r="G47">
            <v>187</v>
          </cell>
          <cell r="H47">
            <v>25</v>
          </cell>
        </row>
        <row r="48">
          <cell r="A48">
            <v>3303359</v>
          </cell>
          <cell r="B48" t="str">
            <v>St Wilfrid's Catholic J I School</v>
          </cell>
          <cell r="C48">
            <v>1</v>
          </cell>
          <cell r="D48">
            <v>0</v>
          </cell>
          <cell r="E48">
            <v>0</v>
          </cell>
          <cell r="F48">
            <v>223</v>
          </cell>
          <cell r="G48">
            <v>248</v>
          </cell>
          <cell r="H48">
            <v>25</v>
          </cell>
        </row>
        <row r="49">
          <cell r="A49">
            <v>3302227</v>
          </cell>
          <cell r="B49" t="str">
            <v>Yardley Wood Community School (NC)</v>
          </cell>
          <cell r="C49">
            <v>1</v>
          </cell>
          <cell r="D49">
            <v>0</v>
          </cell>
          <cell r="E49">
            <v>0</v>
          </cell>
          <cell r="F49">
            <v>198</v>
          </cell>
          <cell r="G49">
            <v>222</v>
          </cell>
          <cell r="H49">
            <v>24</v>
          </cell>
        </row>
        <row r="50">
          <cell r="A50">
            <v>3302018</v>
          </cell>
          <cell r="B50" t="str">
            <v>The Oaks Primary School</v>
          </cell>
          <cell r="C50">
            <v>1</v>
          </cell>
          <cell r="D50">
            <v>0</v>
          </cell>
          <cell r="E50">
            <v>0</v>
          </cell>
          <cell r="F50">
            <v>192</v>
          </cell>
          <cell r="G50">
            <v>215</v>
          </cell>
          <cell r="H50">
            <v>23</v>
          </cell>
        </row>
        <row r="51">
          <cell r="A51">
            <v>3302099</v>
          </cell>
          <cell r="B51" t="str">
            <v>Hawthorn Primary School</v>
          </cell>
          <cell r="C51">
            <v>1</v>
          </cell>
          <cell r="D51">
            <v>0</v>
          </cell>
          <cell r="E51">
            <v>0</v>
          </cell>
          <cell r="F51">
            <v>184</v>
          </cell>
          <cell r="G51">
            <v>207</v>
          </cell>
          <cell r="H51">
            <v>23</v>
          </cell>
        </row>
        <row r="52">
          <cell r="A52">
            <v>3302153</v>
          </cell>
          <cell r="B52" t="str">
            <v>Allens Croft Primary School</v>
          </cell>
          <cell r="C52">
            <v>1</v>
          </cell>
          <cell r="D52">
            <v>0</v>
          </cell>
          <cell r="E52">
            <v>0</v>
          </cell>
          <cell r="F52">
            <v>202</v>
          </cell>
          <cell r="G52">
            <v>224</v>
          </cell>
          <cell r="H52">
            <v>22</v>
          </cell>
        </row>
        <row r="53">
          <cell r="A53">
            <v>3302002</v>
          </cell>
          <cell r="B53" t="str">
            <v>Bordesley Village Primary School</v>
          </cell>
          <cell r="C53">
            <v>1</v>
          </cell>
          <cell r="D53">
            <v>0</v>
          </cell>
          <cell r="E53">
            <v>0</v>
          </cell>
          <cell r="F53">
            <v>408</v>
          </cell>
          <cell r="G53">
            <v>429</v>
          </cell>
          <cell r="H53">
            <v>21</v>
          </cell>
        </row>
        <row r="54">
          <cell r="A54">
            <v>3302010</v>
          </cell>
          <cell r="B54" t="str">
            <v>Adderley Primary School</v>
          </cell>
          <cell r="C54">
            <v>1</v>
          </cell>
          <cell r="D54">
            <v>0</v>
          </cell>
          <cell r="E54">
            <v>0</v>
          </cell>
          <cell r="F54">
            <v>608</v>
          </cell>
          <cell r="G54">
            <v>629</v>
          </cell>
          <cell r="H54">
            <v>21</v>
          </cell>
        </row>
        <row r="55">
          <cell r="A55">
            <v>3302479</v>
          </cell>
          <cell r="B55" t="str">
            <v>Anglesey Primary School</v>
          </cell>
          <cell r="C55">
            <v>1</v>
          </cell>
          <cell r="D55">
            <v>0</v>
          </cell>
          <cell r="E55">
            <v>0</v>
          </cell>
          <cell r="F55">
            <v>644</v>
          </cell>
          <cell r="G55">
            <v>665</v>
          </cell>
          <cell r="H55">
            <v>21</v>
          </cell>
        </row>
        <row r="56">
          <cell r="A56">
            <v>3302111</v>
          </cell>
          <cell r="B56" t="str">
            <v>Jervoise School</v>
          </cell>
          <cell r="C56">
            <v>1</v>
          </cell>
          <cell r="D56">
            <v>0</v>
          </cell>
          <cell r="E56">
            <v>0</v>
          </cell>
          <cell r="F56">
            <v>177</v>
          </cell>
          <cell r="G56">
            <v>197</v>
          </cell>
          <cell r="H56">
            <v>20</v>
          </cell>
        </row>
        <row r="57">
          <cell r="A57">
            <v>3302024</v>
          </cell>
          <cell r="B57" t="str">
            <v>Birches Green Junior School</v>
          </cell>
          <cell r="C57">
            <v>1</v>
          </cell>
          <cell r="D57">
            <v>0</v>
          </cell>
          <cell r="E57">
            <v>0</v>
          </cell>
          <cell r="F57">
            <v>206</v>
          </cell>
          <cell r="G57">
            <v>225</v>
          </cell>
          <cell r="H57">
            <v>19</v>
          </cell>
        </row>
        <row r="58">
          <cell r="A58">
            <v>3302289</v>
          </cell>
          <cell r="B58" t="str">
            <v>Cofton Primary</v>
          </cell>
          <cell r="C58">
            <v>1</v>
          </cell>
          <cell r="D58">
            <v>0</v>
          </cell>
          <cell r="E58">
            <v>0</v>
          </cell>
          <cell r="F58">
            <v>212</v>
          </cell>
          <cell r="G58">
            <v>231</v>
          </cell>
          <cell r="H58">
            <v>19</v>
          </cell>
        </row>
        <row r="59">
          <cell r="A59">
            <v>3302155</v>
          </cell>
          <cell r="B59" t="str">
            <v>Princethorpe Junior School</v>
          </cell>
          <cell r="C59">
            <v>1</v>
          </cell>
          <cell r="D59">
            <v>0</v>
          </cell>
          <cell r="E59">
            <v>0</v>
          </cell>
          <cell r="F59">
            <v>211</v>
          </cell>
          <cell r="G59">
            <v>229</v>
          </cell>
          <cell r="H59">
            <v>18</v>
          </cell>
        </row>
        <row r="60">
          <cell r="A60">
            <v>3302485</v>
          </cell>
          <cell r="B60" t="str">
            <v>Yenton Primary School</v>
          </cell>
          <cell r="C60">
            <v>1</v>
          </cell>
          <cell r="D60">
            <v>0</v>
          </cell>
          <cell r="E60">
            <v>0</v>
          </cell>
          <cell r="F60">
            <v>371</v>
          </cell>
          <cell r="G60">
            <v>389</v>
          </cell>
          <cell r="H60">
            <v>18</v>
          </cell>
        </row>
        <row r="61">
          <cell r="A61">
            <v>3305949</v>
          </cell>
          <cell r="B61" t="str">
            <v>Al-Furqan</v>
          </cell>
          <cell r="C61">
            <v>1</v>
          </cell>
          <cell r="D61">
            <v>0</v>
          </cell>
          <cell r="E61">
            <v>0</v>
          </cell>
          <cell r="F61">
            <v>438</v>
          </cell>
          <cell r="G61">
            <v>456</v>
          </cell>
          <cell r="H61">
            <v>18</v>
          </cell>
        </row>
        <row r="62">
          <cell r="A62">
            <v>3303351</v>
          </cell>
          <cell r="B62" t="str">
            <v>Our Lady and St Rose of Lima Catholic Primary &amp; Nursery School</v>
          </cell>
          <cell r="C62">
            <v>1</v>
          </cell>
          <cell r="D62">
            <v>0</v>
          </cell>
          <cell r="E62">
            <v>0</v>
          </cell>
          <cell r="F62">
            <v>186</v>
          </cell>
          <cell r="G62">
            <v>203</v>
          </cell>
          <cell r="H62">
            <v>17</v>
          </cell>
        </row>
        <row r="63">
          <cell r="A63">
            <v>3303411</v>
          </cell>
          <cell r="B63" t="str">
            <v>Holly Hill Infant &amp; Nursery School</v>
          </cell>
          <cell r="C63">
            <v>1</v>
          </cell>
          <cell r="D63">
            <v>0</v>
          </cell>
          <cell r="E63">
            <v>0</v>
          </cell>
          <cell r="F63">
            <v>152</v>
          </cell>
          <cell r="G63">
            <v>169</v>
          </cell>
          <cell r="H63">
            <v>17</v>
          </cell>
        </row>
        <row r="64">
          <cell r="A64">
            <v>3302014</v>
          </cell>
          <cell r="B64" t="str">
            <v>Barford Primary School</v>
          </cell>
          <cell r="C64">
            <v>1</v>
          </cell>
          <cell r="D64">
            <v>0</v>
          </cell>
          <cell r="E64">
            <v>0</v>
          </cell>
          <cell r="F64">
            <v>396</v>
          </cell>
          <cell r="G64">
            <v>412</v>
          </cell>
          <cell r="H64">
            <v>16</v>
          </cell>
        </row>
        <row r="65">
          <cell r="A65">
            <v>3302161</v>
          </cell>
          <cell r="B65" t="str">
            <v>Rednal Hill Infant School (N.C.)</v>
          </cell>
          <cell r="C65">
            <v>1</v>
          </cell>
          <cell r="D65">
            <v>0</v>
          </cell>
          <cell r="E65">
            <v>0</v>
          </cell>
          <cell r="F65">
            <v>196</v>
          </cell>
          <cell r="G65">
            <v>212</v>
          </cell>
          <cell r="H65">
            <v>16</v>
          </cell>
        </row>
        <row r="66">
          <cell r="A66">
            <v>3302241</v>
          </cell>
          <cell r="B66" t="str">
            <v>Bellfield Junior School</v>
          </cell>
          <cell r="C66">
            <v>1</v>
          </cell>
          <cell r="D66">
            <v>0</v>
          </cell>
          <cell r="E66">
            <v>0</v>
          </cell>
          <cell r="F66">
            <v>193</v>
          </cell>
          <cell r="G66">
            <v>208</v>
          </cell>
          <cell r="H66">
            <v>15</v>
          </cell>
        </row>
        <row r="67">
          <cell r="A67">
            <v>3302471</v>
          </cell>
          <cell r="B67" t="str">
            <v>Westminster Primary School</v>
          </cell>
          <cell r="C67">
            <v>1</v>
          </cell>
          <cell r="D67">
            <v>0</v>
          </cell>
          <cell r="E67">
            <v>0</v>
          </cell>
          <cell r="F67">
            <v>403</v>
          </cell>
          <cell r="G67">
            <v>418</v>
          </cell>
          <cell r="H67">
            <v>15</v>
          </cell>
        </row>
        <row r="68">
          <cell r="A68">
            <v>3302288</v>
          </cell>
          <cell r="B68" t="str">
            <v>HOLLYWOOD Primary School</v>
          </cell>
          <cell r="C68">
            <v>1</v>
          </cell>
          <cell r="D68">
            <v>0</v>
          </cell>
          <cell r="E68">
            <v>0</v>
          </cell>
          <cell r="F68">
            <v>401</v>
          </cell>
          <cell r="G68">
            <v>415</v>
          </cell>
          <cell r="H68">
            <v>14</v>
          </cell>
        </row>
        <row r="69">
          <cell r="A69">
            <v>3302128</v>
          </cell>
          <cell r="B69" t="str">
            <v>Lyndon Green Junior School</v>
          </cell>
          <cell r="C69">
            <v>1</v>
          </cell>
          <cell r="D69">
            <v>0</v>
          </cell>
          <cell r="E69">
            <v>0</v>
          </cell>
          <cell r="F69">
            <v>360</v>
          </cell>
          <cell r="G69">
            <v>373</v>
          </cell>
          <cell r="H69">
            <v>13</v>
          </cell>
        </row>
        <row r="70">
          <cell r="A70">
            <v>3302435</v>
          </cell>
          <cell r="B70" t="str">
            <v>BENSON COMMUNITY SCHOOL</v>
          </cell>
          <cell r="C70">
            <v>1</v>
          </cell>
          <cell r="D70">
            <v>0</v>
          </cell>
          <cell r="E70">
            <v>0</v>
          </cell>
          <cell r="F70">
            <v>406</v>
          </cell>
          <cell r="G70">
            <v>419</v>
          </cell>
          <cell r="H70">
            <v>13</v>
          </cell>
        </row>
        <row r="71">
          <cell r="A71">
            <v>3303337</v>
          </cell>
          <cell r="B71" t="str">
            <v>St Chads</v>
          </cell>
          <cell r="C71">
            <v>1</v>
          </cell>
          <cell r="D71">
            <v>0</v>
          </cell>
          <cell r="E71">
            <v>0</v>
          </cell>
          <cell r="F71">
            <v>190</v>
          </cell>
          <cell r="G71">
            <v>203</v>
          </cell>
          <cell r="H71">
            <v>13</v>
          </cell>
        </row>
        <row r="72">
          <cell r="A72">
            <v>3302188</v>
          </cell>
          <cell r="B72" t="str">
            <v>Stirchley Community School</v>
          </cell>
          <cell r="C72">
            <v>1</v>
          </cell>
          <cell r="D72">
            <v>0</v>
          </cell>
          <cell r="E72">
            <v>0</v>
          </cell>
          <cell r="F72">
            <v>185</v>
          </cell>
          <cell r="G72">
            <v>197</v>
          </cell>
          <cell r="H72">
            <v>12</v>
          </cell>
        </row>
        <row r="73">
          <cell r="A73">
            <v>3302296</v>
          </cell>
          <cell r="B73" t="str">
            <v>Glenmead Primary School</v>
          </cell>
          <cell r="C73">
            <v>1</v>
          </cell>
          <cell r="D73">
            <v>0</v>
          </cell>
          <cell r="E73">
            <v>0</v>
          </cell>
          <cell r="F73">
            <v>374</v>
          </cell>
          <cell r="G73">
            <v>386</v>
          </cell>
          <cell r="H73">
            <v>12</v>
          </cell>
        </row>
        <row r="74">
          <cell r="A74">
            <v>3302305</v>
          </cell>
          <cell r="B74" t="str">
            <v>Chandos Primary School</v>
          </cell>
          <cell r="C74">
            <v>1</v>
          </cell>
          <cell r="D74">
            <v>0</v>
          </cell>
          <cell r="E74">
            <v>0</v>
          </cell>
          <cell r="F74">
            <v>397</v>
          </cell>
          <cell r="G74">
            <v>409</v>
          </cell>
          <cell r="H74">
            <v>12</v>
          </cell>
        </row>
        <row r="75">
          <cell r="A75">
            <v>3302315</v>
          </cell>
          <cell r="B75" t="str">
            <v>NONSUCH PRIMARY SCHOOL</v>
          </cell>
          <cell r="C75">
            <v>1</v>
          </cell>
          <cell r="D75">
            <v>0</v>
          </cell>
          <cell r="E75">
            <v>0</v>
          </cell>
          <cell r="F75">
            <v>193</v>
          </cell>
          <cell r="G75">
            <v>205</v>
          </cell>
          <cell r="H75">
            <v>12</v>
          </cell>
        </row>
        <row r="76">
          <cell r="A76">
            <v>3302129</v>
          </cell>
          <cell r="B76" t="str">
            <v>Lyndon Green Infant School</v>
          </cell>
          <cell r="C76">
            <v>1</v>
          </cell>
          <cell r="D76">
            <v>0</v>
          </cell>
          <cell r="E76">
            <v>0</v>
          </cell>
          <cell r="F76">
            <v>270</v>
          </cell>
          <cell r="G76">
            <v>281</v>
          </cell>
          <cell r="H76">
            <v>11</v>
          </cell>
        </row>
        <row r="77">
          <cell r="A77">
            <v>3302412</v>
          </cell>
          <cell r="B77" t="str">
            <v>Wylde Green Primary School</v>
          </cell>
          <cell r="C77">
            <v>1</v>
          </cell>
          <cell r="D77">
            <v>0</v>
          </cell>
          <cell r="E77">
            <v>0</v>
          </cell>
          <cell r="F77">
            <v>410</v>
          </cell>
          <cell r="G77">
            <v>421</v>
          </cell>
          <cell r="H77">
            <v>11</v>
          </cell>
        </row>
        <row r="78">
          <cell r="A78">
            <v>3303377</v>
          </cell>
          <cell r="B78" t="str">
            <v>St Judes Primary School</v>
          </cell>
          <cell r="C78">
            <v>1</v>
          </cell>
          <cell r="D78">
            <v>0</v>
          </cell>
          <cell r="E78">
            <v>0</v>
          </cell>
          <cell r="F78">
            <v>184</v>
          </cell>
          <cell r="G78">
            <v>195</v>
          </cell>
          <cell r="H78">
            <v>11</v>
          </cell>
        </row>
        <row r="79">
          <cell r="A79">
            <v>3302115</v>
          </cell>
          <cell r="B79" t="str">
            <v>Kingsland Primary School</v>
          </cell>
          <cell r="C79">
            <v>1</v>
          </cell>
          <cell r="D79">
            <v>0</v>
          </cell>
          <cell r="E79">
            <v>0</v>
          </cell>
          <cell r="F79">
            <v>244</v>
          </cell>
          <cell r="G79">
            <v>254</v>
          </cell>
          <cell r="H79">
            <v>10</v>
          </cell>
        </row>
        <row r="80">
          <cell r="A80">
            <v>3302436</v>
          </cell>
          <cell r="B80" t="str">
            <v>Osborne Primary School</v>
          </cell>
          <cell r="C80">
            <v>1</v>
          </cell>
          <cell r="D80">
            <v>0</v>
          </cell>
          <cell r="E80">
            <v>0</v>
          </cell>
          <cell r="F80">
            <v>197</v>
          </cell>
          <cell r="G80">
            <v>207</v>
          </cell>
          <cell r="H80">
            <v>10</v>
          </cell>
        </row>
        <row r="81">
          <cell r="A81">
            <v>3303310</v>
          </cell>
          <cell r="B81" t="str">
            <v>St Vincent's Catholic Primary School</v>
          </cell>
          <cell r="C81">
            <v>1</v>
          </cell>
          <cell r="D81">
            <v>0</v>
          </cell>
          <cell r="E81">
            <v>0</v>
          </cell>
          <cell r="F81">
            <v>202</v>
          </cell>
          <cell r="G81">
            <v>212</v>
          </cell>
          <cell r="H81">
            <v>10</v>
          </cell>
        </row>
        <row r="82">
          <cell r="A82">
            <v>3303428</v>
          </cell>
          <cell r="B82" t="str">
            <v>St Peter's C.E. Primary School</v>
          </cell>
          <cell r="C82">
            <v>1</v>
          </cell>
          <cell r="D82">
            <v>0</v>
          </cell>
          <cell r="E82">
            <v>0</v>
          </cell>
          <cell r="F82">
            <v>405</v>
          </cell>
          <cell r="G82">
            <v>415</v>
          </cell>
          <cell r="H82">
            <v>10</v>
          </cell>
        </row>
        <row r="83">
          <cell r="A83">
            <v>3302245</v>
          </cell>
          <cell r="B83" t="str">
            <v>Welsh House Farm Community School</v>
          </cell>
          <cell r="C83">
            <v>1</v>
          </cell>
          <cell r="D83">
            <v>0</v>
          </cell>
          <cell r="E83">
            <v>0</v>
          </cell>
          <cell r="F83">
            <v>184</v>
          </cell>
          <cell r="G83">
            <v>193</v>
          </cell>
          <cell r="H83">
            <v>9</v>
          </cell>
        </row>
        <row r="84">
          <cell r="A84">
            <v>3302321</v>
          </cell>
          <cell r="B84" t="str">
            <v>Kitwell Primary School</v>
          </cell>
          <cell r="C84">
            <v>1</v>
          </cell>
          <cell r="D84">
            <v>0</v>
          </cell>
          <cell r="E84">
            <v>0</v>
          </cell>
          <cell r="F84">
            <v>199</v>
          </cell>
          <cell r="G84">
            <v>208</v>
          </cell>
          <cell r="H84">
            <v>9</v>
          </cell>
        </row>
        <row r="85">
          <cell r="A85">
            <v>3302457</v>
          </cell>
          <cell r="B85" t="str">
            <v>NELSON MANDELA SCHOOL</v>
          </cell>
          <cell r="C85">
            <v>1</v>
          </cell>
          <cell r="D85">
            <v>0</v>
          </cell>
          <cell r="E85">
            <v>0</v>
          </cell>
          <cell r="F85">
            <v>411</v>
          </cell>
          <cell r="G85">
            <v>420</v>
          </cell>
          <cell r="H85">
            <v>9</v>
          </cell>
        </row>
        <row r="86">
          <cell r="A86">
            <v>3302465</v>
          </cell>
          <cell r="B86" t="str">
            <v>Calshot Primary School</v>
          </cell>
          <cell r="C86">
            <v>1</v>
          </cell>
          <cell r="D86">
            <v>0</v>
          </cell>
          <cell r="E86">
            <v>0</v>
          </cell>
          <cell r="F86">
            <v>396</v>
          </cell>
          <cell r="G86">
            <v>405</v>
          </cell>
          <cell r="H86">
            <v>9</v>
          </cell>
        </row>
        <row r="87">
          <cell r="A87">
            <v>3303303</v>
          </cell>
          <cell r="B87" t="str">
            <v>Holy Trinity C.E. Primary School</v>
          </cell>
          <cell r="C87">
            <v>1</v>
          </cell>
          <cell r="D87">
            <v>0</v>
          </cell>
          <cell r="E87">
            <v>0</v>
          </cell>
          <cell r="F87">
            <v>195</v>
          </cell>
          <cell r="G87">
            <v>204</v>
          </cell>
          <cell r="H87">
            <v>9</v>
          </cell>
        </row>
        <row r="88">
          <cell r="A88">
            <v>3303314</v>
          </cell>
          <cell r="B88" t="str">
            <v>ST Thomas C.E. Primary School</v>
          </cell>
          <cell r="C88">
            <v>1</v>
          </cell>
          <cell r="D88">
            <v>0</v>
          </cell>
          <cell r="E88">
            <v>0</v>
          </cell>
          <cell r="F88">
            <v>193</v>
          </cell>
          <cell r="G88">
            <v>202</v>
          </cell>
          <cell r="H88">
            <v>9</v>
          </cell>
        </row>
        <row r="89">
          <cell r="A89">
            <v>3303383</v>
          </cell>
          <cell r="B89" t="str">
            <v>St Mark's Catholic Primary School</v>
          </cell>
          <cell r="C89">
            <v>1</v>
          </cell>
          <cell r="D89">
            <v>0</v>
          </cell>
          <cell r="E89">
            <v>0</v>
          </cell>
          <cell r="F89">
            <v>201</v>
          </cell>
          <cell r="G89">
            <v>210</v>
          </cell>
          <cell r="H89">
            <v>9</v>
          </cell>
        </row>
        <row r="90">
          <cell r="A90">
            <v>3303431</v>
          </cell>
          <cell r="B90" t="str">
            <v>New Oscott Primary School</v>
          </cell>
          <cell r="C90">
            <v>1</v>
          </cell>
          <cell r="D90">
            <v>0</v>
          </cell>
          <cell r="E90">
            <v>0</v>
          </cell>
          <cell r="F90">
            <v>615</v>
          </cell>
          <cell r="G90">
            <v>624</v>
          </cell>
          <cell r="H90">
            <v>9</v>
          </cell>
        </row>
        <row r="91">
          <cell r="A91">
            <v>3303433</v>
          </cell>
          <cell r="B91" t="str">
            <v>Albert Bradbeer Primary School</v>
          </cell>
          <cell r="C91">
            <v>1</v>
          </cell>
          <cell r="D91">
            <v>0</v>
          </cell>
          <cell r="E91">
            <v>0</v>
          </cell>
          <cell r="F91">
            <v>390</v>
          </cell>
          <cell r="G91">
            <v>399</v>
          </cell>
          <cell r="H91">
            <v>9</v>
          </cell>
        </row>
        <row r="92">
          <cell r="A92">
            <v>3302169</v>
          </cell>
          <cell r="B92" t="str">
            <v>Severne Primary School</v>
          </cell>
          <cell r="C92">
            <v>1</v>
          </cell>
          <cell r="D92">
            <v>0</v>
          </cell>
          <cell r="E92">
            <v>0</v>
          </cell>
          <cell r="F92">
            <v>391</v>
          </cell>
          <cell r="G92">
            <v>399</v>
          </cell>
          <cell r="H92">
            <v>8</v>
          </cell>
        </row>
        <row r="93">
          <cell r="A93">
            <v>3302180</v>
          </cell>
          <cell r="B93" t="str">
            <v>Yew Tree Community School</v>
          </cell>
          <cell r="C93">
            <v>1</v>
          </cell>
          <cell r="D93">
            <v>0</v>
          </cell>
          <cell r="E93">
            <v>0</v>
          </cell>
          <cell r="F93">
            <v>416</v>
          </cell>
          <cell r="G93">
            <v>424</v>
          </cell>
          <cell r="H93">
            <v>8</v>
          </cell>
        </row>
        <row r="94">
          <cell r="A94">
            <v>3303320</v>
          </cell>
          <cell r="B94" t="str">
            <v>Corpus Christi Catholic Primary School</v>
          </cell>
          <cell r="C94">
            <v>1</v>
          </cell>
          <cell r="D94">
            <v>0</v>
          </cell>
          <cell r="E94">
            <v>0</v>
          </cell>
          <cell r="F94">
            <v>407</v>
          </cell>
          <cell r="G94">
            <v>415</v>
          </cell>
          <cell r="H94">
            <v>8</v>
          </cell>
        </row>
        <row r="95">
          <cell r="A95">
            <v>3302004</v>
          </cell>
          <cell r="B95" t="str">
            <v>Mapledene Primary School</v>
          </cell>
          <cell r="C95">
            <v>1</v>
          </cell>
          <cell r="D95">
            <v>0</v>
          </cell>
          <cell r="E95">
            <v>0</v>
          </cell>
          <cell r="F95">
            <v>300</v>
          </cell>
          <cell r="G95">
            <v>307</v>
          </cell>
          <cell r="H95">
            <v>7</v>
          </cell>
        </row>
        <row r="96">
          <cell r="A96">
            <v>3302016</v>
          </cell>
          <cell r="B96" t="str">
            <v>Perry Beeches Junior School</v>
          </cell>
          <cell r="C96">
            <v>1</v>
          </cell>
          <cell r="D96">
            <v>0</v>
          </cell>
          <cell r="E96">
            <v>0</v>
          </cell>
          <cell r="F96">
            <v>340</v>
          </cell>
          <cell r="G96">
            <v>347</v>
          </cell>
          <cell r="H96">
            <v>7</v>
          </cell>
        </row>
        <row r="97">
          <cell r="A97">
            <v>3302019</v>
          </cell>
          <cell r="B97" t="str">
            <v>West Heath Primary School</v>
          </cell>
          <cell r="C97">
            <v>1</v>
          </cell>
          <cell r="D97">
            <v>0</v>
          </cell>
          <cell r="E97">
            <v>0</v>
          </cell>
          <cell r="F97">
            <v>368</v>
          </cell>
          <cell r="G97">
            <v>375</v>
          </cell>
          <cell r="H97">
            <v>7</v>
          </cell>
        </row>
        <row r="98">
          <cell r="A98">
            <v>3302157</v>
          </cell>
          <cell r="B98" t="str">
            <v>Raddlebarn Primary School</v>
          </cell>
          <cell r="C98">
            <v>1</v>
          </cell>
          <cell r="D98">
            <v>0</v>
          </cell>
          <cell r="E98">
            <v>0</v>
          </cell>
          <cell r="F98">
            <v>391</v>
          </cell>
          <cell r="G98">
            <v>398</v>
          </cell>
          <cell r="H98">
            <v>7</v>
          </cell>
        </row>
        <row r="99">
          <cell r="A99">
            <v>3302192</v>
          </cell>
          <cell r="B99" t="str">
            <v>Thornton Primary School</v>
          </cell>
          <cell r="C99">
            <v>1</v>
          </cell>
          <cell r="D99">
            <v>0</v>
          </cell>
          <cell r="E99">
            <v>0</v>
          </cell>
          <cell r="F99">
            <v>714</v>
          </cell>
          <cell r="G99">
            <v>721</v>
          </cell>
          <cell r="H99">
            <v>7</v>
          </cell>
        </row>
        <row r="100">
          <cell r="A100">
            <v>3302445</v>
          </cell>
          <cell r="B100" t="str">
            <v>WOODCOCK HILL PRIMARY SCHOOL</v>
          </cell>
          <cell r="C100">
            <v>1</v>
          </cell>
          <cell r="D100">
            <v>0</v>
          </cell>
          <cell r="E100">
            <v>0</v>
          </cell>
          <cell r="F100">
            <v>196</v>
          </cell>
          <cell r="G100">
            <v>203</v>
          </cell>
          <cell r="H100">
            <v>7</v>
          </cell>
        </row>
        <row r="101">
          <cell r="A101">
            <v>3302466</v>
          </cell>
          <cell r="B101" t="str">
            <v>Grove Junior and Infant School</v>
          </cell>
          <cell r="C101">
            <v>1</v>
          </cell>
          <cell r="D101">
            <v>0</v>
          </cell>
          <cell r="E101">
            <v>0</v>
          </cell>
          <cell r="F101">
            <v>613</v>
          </cell>
          <cell r="G101">
            <v>620</v>
          </cell>
          <cell r="H101">
            <v>7</v>
          </cell>
        </row>
        <row r="102">
          <cell r="A102">
            <v>3302478</v>
          </cell>
          <cell r="B102" t="str">
            <v>Whitehouse Common Primary School</v>
          </cell>
          <cell r="C102">
            <v>1</v>
          </cell>
          <cell r="D102">
            <v>0</v>
          </cell>
          <cell r="E102">
            <v>0</v>
          </cell>
          <cell r="F102">
            <v>444</v>
          </cell>
          <cell r="G102">
            <v>451</v>
          </cell>
          <cell r="H102">
            <v>7</v>
          </cell>
        </row>
        <row r="103">
          <cell r="A103">
            <v>3303004</v>
          </cell>
          <cell r="B103" t="str">
            <v>Quinton Church Primary School</v>
          </cell>
          <cell r="C103">
            <v>1</v>
          </cell>
          <cell r="D103">
            <v>0</v>
          </cell>
          <cell r="E103">
            <v>0</v>
          </cell>
          <cell r="F103">
            <v>204</v>
          </cell>
          <cell r="G103">
            <v>211</v>
          </cell>
          <cell r="H103">
            <v>7</v>
          </cell>
        </row>
        <row r="104">
          <cell r="A104">
            <v>3303316</v>
          </cell>
          <cell r="B104" t="str">
            <v>Guardian Angels Catholic Primary School</v>
          </cell>
          <cell r="C104">
            <v>1</v>
          </cell>
          <cell r="D104">
            <v>0</v>
          </cell>
          <cell r="E104">
            <v>0</v>
          </cell>
          <cell r="F104">
            <v>211</v>
          </cell>
          <cell r="G104">
            <v>218</v>
          </cell>
          <cell r="H104">
            <v>7</v>
          </cell>
        </row>
        <row r="105">
          <cell r="A105">
            <v>3303330</v>
          </cell>
          <cell r="B105" t="str">
            <v>St. Brigid's Catholic Primary School</v>
          </cell>
          <cell r="C105">
            <v>1</v>
          </cell>
          <cell r="D105">
            <v>0</v>
          </cell>
          <cell r="E105">
            <v>0</v>
          </cell>
          <cell r="F105">
            <v>406</v>
          </cell>
          <cell r="G105">
            <v>413</v>
          </cell>
          <cell r="H105">
            <v>7</v>
          </cell>
        </row>
        <row r="106">
          <cell r="A106">
            <v>3303342</v>
          </cell>
          <cell r="B106" t="str">
            <v>St. Francis'  Catholic Primary School</v>
          </cell>
          <cell r="C106">
            <v>1</v>
          </cell>
          <cell r="D106">
            <v>0</v>
          </cell>
          <cell r="E106">
            <v>0</v>
          </cell>
          <cell r="F106">
            <v>403</v>
          </cell>
          <cell r="G106">
            <v>410</v>
          </cell>
          <cell r="H106">
            <v>7</v>
          </cell>
        </row>
        <row r="107">
          <cell r="A107">
            <v>3303356</v>
          </cell>
          <cell r="B107" t="str">
            <v>St. Joseph's Catholic Primary School (B30)</v>
          </cell>
          <cell r="C107">
            <v>1</v>
          </cell>
          <cell r="D107">
            <v>0</v>
          </cell>
          <cell r="E107">
            <v>0</v>
          </cell>
          <cell r="F107">
            <v>203</v>
          </cell>
          <cell r="G107">
            <v>210</v>
          </cell>
          <cell r="H107">
            <v>7</v>
          </cell>
        </row>
        <row r="108">
          <cell r="A108">
            <v>3302039</v>
          </cell>
          <cell r="B108" t="str">
            <v>Canterbury Cross Primary School (NC)</v>
          </cell>
          <cell r="C108">
            <v>1</v>
          </cell>
          <cell r="D108">
            <v>0</v>
          </cell>
          <cell r="E108">
            <v>0</v>
          </cell>
          <cell r="F108">
            <v>421</v>
          </cell>
          <cell r="G108">
            <v>427</v>
          </cell>
          <cell r="H108">
            <v>6</v>
          </cell>
        </row>
        <row r="109">
          <cell r="A109">
            <v>3302101</v>
          </cell>
          <cell r="B109" t="str">
            <v>Highfield Junior and Infant School</v>
          </cell>
          <cell r="C109">
            <v>1</v>
          </cell>
          <cell r="D109">
            <v>0</v>
          </cell>
          <cell r="E109">
            <v>0</v>
          </cell>
          <cell r="F109">
            <v>833</v>
          </cell>
          <cell r="G109">
            <v>839</v>
          </cell>
          <cell r="H109">
            <v>6</v>
          </cell>
        </row>
        <row r="110">
          <cell r="A110">
            <v>3302132</v>
          </cell>
          <cell r="B110" t="str">
            <v>MARLBOROUGH INFANTS SCHOOL</v>
          </cell>
          <cell r="C110">
            <v>1</v>
          </cell>
          <cell r="D110">
            <v>0</v>
          </cell>
          <cell r="E110">
            <v>0</v>
          </cell>
          <cell r="F110">
            <v>264</v>
          </cell>
          <cell r="G110">
            <v>270</v>
          </cell>
          <cell r="H110">
            <v>6</v>
          </cell>
        </row>
        <row r="111">
          <cell r="A111">
            <v>3302434</v>
          </cell>
          <cell r="B111" t="str">
            <v>Hillstone Primary School</v>
          </cell>
          <cell r="C111">
            <v>1</v>
          </cell>
          <cell r="D111">
            <v>0</v>
          </cell>
          <cell r="E111">
            <v>0</v>
          </cell>
          <cell r="F111">
            <v>398</v>
          </cell>
          <cell r="G111">
            <v>404</v>
          </cell>
          <cell r="H111">
            <v>6</v>
          </cell>
        </row>
        <row r="112">
          <cell r="A112">
            <v>3302449</v>
          </cell>
          <cell r="B112" t="str">
            <v>Twickenham Primary School</v>
          </cell>
          <cell r="C112">
            <v>1</v>
          </cell>
          <cell r="D112">
            <v>0</v>
          </cell>
          <cell r="E112">
            <v>0</v>
          </cell>
          <cell r="F112">
            <v>414</v>
          </cell>
          <cell r="G112">
            <v>420</v>
          </cell>
          <cell r="H112">
            <v>6</v>
          </cell>
        </row>
        <row r="113">
          <cell r="A113">
            <v>3303307</v>
          </cell>
          <cell r="B113" t="str">
            <v>St. Laurence Church Junior School</v>
          </cell>
          <cell r="C113">
            <v>1</v>
          </cell>
          <cell r="D113">
            <v>0</v>
          </cell>
          <cell r="E113">
            <v>0</v>
          </cell>
          <cell r="F113">
            <v>349</v>
          </cell>
          <cell r="G113">
            <v>355</v>
          </cell>
          <cell r="H113">
            <v>6</v>
          </cell>
        </row>
        <row r="114">
          <cell r="A114">
            <v>3302005</v>
          </cell>
          <cell r="B114" t="str">
            <v>Kings Heath Primary School</v>
          </cell>
          <cell r="C114">
            <v>1</v>
          </cell>
          <cell r="D114">
            <v>0</v>
          </cell>
          <cell r="E114">
            <v>0</v>
          </cell>
          <cell r="F114">
            <v>623</v>
          </cell>
          <cell r="G114">
            <v>628</v>
          </cell>
          <cell r="H114">
            <v>5</v>
          </cell>
        </row>
        <row r="115">
          <cell r="A115">
            <v>3302026</v>
          </cell>
          <cell r="B115" t="str">
            <v>Banners Gate Primary School</v>
          </cell>
          <cell r="C115">
            <v>1</v>
          </cell>
          <cell r="D115">
            <v>0</v>
          </cell>
          <cell r="E115">
            <v>0</v>
          </cell>
          <cell r="F115">
            <v>339</v>
          </cell>
          <cell r="G115">
            <v>344</v>
          </cell>
          <cell r="H115">
            <v>5</v>
          </cell>
        </row>
        <row r="116">
          <cell r="A116">
            <v>3302040</v>
          </cell>
          <cell r="B116" t="str">
            <v>Cherry Orchard Primary School</v>
          </cell>
          <cell r="C116">
            <v>1</v>
          </cell>
          <cell r="D116">
            <v>0</v>
          </cell>
          <cell r="E116">
            <v>0</v>
          </cell>
          <cell r="F116">
            <v>417</v>
          </cell>
          <cell r="G116">
            <v>422</v>
          </cell>
          <cell r="H116">
            <v>5</v>
          </cell>
        </row>
        <row r="117">
          <cell r="A117">
            <v>3302127</v>
          </cell>
          <cell r="B117" t="str">
            <v>LOZELLS PRIMARY SCHOOL</v>
          </cell>
          <cell r="C117">
            <v>1</v>
          </cell>
          <cell r="D117">
            <v>0</v>
          </cell>
          <cell r="E117">
            <v>0</v>
          </cell>
          <cell r="F117">
            <v>414</v>
          </cell>
          <cell r="G117">
            <v>419</v>
          </cell>
          <cell r="H117">
            <v>5</v>
          </cell>
        </row>
        <row r="118">
          <cell r="A118">
            <v>3302448</v>
          </cell>
          <cell r="B118" t="str">
            <v>GOSSEY LANE JI &amp; NURSERY SCH</v>
          </cell>
          <cell r="C118">
            <v>1</v>
          </cell>
          <cell r="D118">
            <v>0</v>
          </cell>
          <cell r="E118">
            <v>0</v>
          </cell>
          <cell r="F118">
            <v>203</v>
          </cell>
          <cell r="G118">
            <v>208</v>
          </cell>
          <cell r="H118">
            <v>5</v>
          </cell>
        </row>
        <row r="119">
          <cell r="A119">
            <v>3302474</v>
          </cell>
          <cell r="B119" t="str">
            <v>HOLLYFIELD PRIMARY SCHOOL</v>
          </cell>
          <cell r="C119">
            <v>1</v>
          </cell>
          <cell r="D119">
            <v>0</v>
          </cell>
          <cell r="E119">
            <v>0</v>
          </cell>
          <cell r="F119">
            <v>397</v>
          </cell>
          <cell r="G119">
            <v>402</v>
          </cell>
          <cell r="H119">
            <v>5</v>
          </cell>
        </row>
        <row r="120">
          <cell r="A120">
            <v>3303002</v>
          </cell>
          <cell r="B120" t="str">
            <v>Christ Church C.E. Primary (NC) School</v>
          </cell>
          <cell r="C120">
            <v>1</v>
          </cell>
          <cell r="D120">
            <v>0</v>
          </cell>
          <cell r="E120">
            <v>0</v>
          </cell>
          <cell r="F120">
            <v>204</v>
          </cell>
          <cell r="G120">
            <v>209</v>
          </cell>
          <cell r="H120">
            <v>5</v>
          </cell>
        </row>
        <row r="121">
          <cell r="A121">
            <v>3303010</v>
          </cell>
          <cell r="B121" t="str">
            <v>St. James' CE Primary School</v>
          </cell>
          <cell r="C121">
            <v>1</v>
          </cell>
          <cell r="D121">
            <v>0</v>
          </cell>
          <cell r="E121">
            <v>0</v>
          </cell>
          <cell r="F121">
            <v>414</v>
          </cell>
          <cell r="G121">
            <v>419</v>
          </cell>
          <cell r="H121">
            <v>5</v>
          </cell>
        </row>
        <row r="122">
          <cell r="A122">
            <v>3303357</v>
          </cell>
          <cell r="B122" t="str">
            <v>OUR LADY'S CATHOLIC PRIMARY SCHOOL</v>
          </cell>
          <cell r="C122">
            <v>1</v>
          </cell>
          <cell r="D122">
            <v>0</v>
          </cell>
          <cell r="E122">
            <v>0</v>
          </cell>
          <cell r="F122">
            <v>198</v>
          </cell>
          <cell r="G122">
            <v>203</v>
          </cell>
          <cell r="H122">
            <v>5</v>
          </cell>
        </row>
        <row r="123">
          <cell r="A123">
            <v>3303361</v>
          </cell>
          <cell r="B123" t="str">
            <v>St. Margaret Mary Catholic Primary School</v>
          </cell>
          <cell r="C123">
            <v>1</v>
          </cell>
          <cell r="D123">
            <v>0</v>
          </cell>
          <cell r="E123">
            <v>0</v>
          </cell>
          <cell r="F123">
            <v>228</v>
          </cell>
          <cell r="G123">
            <v>233</v>
          </cell>
          <cell r="H123">
            <v>5</v>
          </cell>
        </row>
        <row r="124">
          <cell r="A124">
            <v>3303367</v>
          </cell>
          <cell r="B124" t="str">
            <v>St. Gerard's Catholic Primary School</v>
          </cell>
          <cell r="C124">
            <v>1</v>
          </cell>
          <cell r="D124">
            <v>0</v>
          </cell>
          <cell r="E124">
            <v>0</v>
          </cell>
          <cell r="F124">
            <v>200</v>
          </cell>
          <cell r="G124">
            <v>205</v>
          </cell>
          <cell r="H124">
            <v>5</v>
          </cell>
        </row>
        <row r="125">
          <cell r="A125">
            <v>3302003</v>
          </cell>
          <cell r="B125" t="str">
            <v>Prince Albert Junior/Infant School</v>
          </cell>
          <cell r="C125">
            <v>1</v>
          </cell>
          <cell r="D125">
            <v>0</v>
          </cell>
          <cell r="E125">
            <v>0</v>
          </cell>
          <cell r="F125">
            <v>634</v>
          </cell>
          <cell r="G125">
            <v>638</v>
          </cell>
          <cell r="H125">
            <v>4</v>
          </cell>
        </row>
        <row r="126">
          <cell r="A126">
            <v>3302035</v>
          </cell>
          <cell r="B126" t="str">
            <v>BROWNMEAD J &amp; I</v>
          </cell>
          <cell r="C126">
            <v>1</v>
          </cell>
          <cell r="D126">
            <v>0</v>
          </cell>
          <cell r="E126">
            <v>0</v>
          </cell>
          <cell r="F126">
            <v>208</v>
          </cell>
          <cell r="G126">
            <v>212</v>
          </cell>
          <cell r="H126">
            <v>4</v>
          </cell>
        </row>
        <row r="127">
          <cell r="A127">
            <v>3302052</v>
          </cell>
          <cell r="B127" t="str">
            <v>Colmers Farm Infant School</v>
          </cell>
          <cell r="C127">
            <v>1</v>
          </cell>
          <cell r="D127">
            <v>0</v>
          </cell>
          <cell r="E127">
            <v>0</v>
          </cell>
          <cell r="F127">
            <v>177</v>
          </cell>
          <cell r="G127">
            <v>181</v>
          </cell>
          <cell r="H127">
            <v>4</v>
          </cell>
        </row>
        <row r="128">
          <cell r="A128">
            <v>3302055</v>
          </cell>
          <cell r="B128" t="str">
            <v>COTTERIDGE J I SCHOOL</v>
          </cell>
          <cell r="C128">
            <v>1</v>
          </cell>
          <cell r="D128">
            <v>0</v>
          </cell>
          <cell r="E128">
            <v>0</v>
          </cell>
          <cell r="F128">
            <v>377</v>
          </cell>
          <cell r="G128">
            <v>381</v>
          </cell>
          <cell r="H128">
            <v>4</v>
          </cell>
        </row>
        <row r="129">
          <cell r="A129">
            <v>3302183</v>
          </cell>
          <cell r="B129" t="str">
            <v>St. Benedict's Infant School</v>
          </cell>
          <cell r="C129">
            <v>1</v>
          </cell>
          <cell r="D129">
            <v>0</v>
          </cell>
          <cell r="E129">
            <v>0</v>
          </cell>
          <cell r="F129">
            <v>446</v>
          </cell>
          <cell r="G129">
            <v>450</v>
          </cell>
          <cell r="H129">
            <v>4</v>
          </cell>
        </row>
        <row r="130">
          <cell r="A130">
            <v>3302254</v>
          </cell>
          <cell r="B130" t="str">
            <v>BLAKESLEY HALL PRIMARY SCHOOL</v>
          </cell>
          <cell r="C130">
            <v>1</v>
          </cell>
          <cell r="D130">
            <v>0</v>
          </cell>
          <cell r="E130">
            <v>0</v>
          </cell>
          <cell r="F130">
            <v>609</v>
          </cell>
          <cell r="G130">
            <v>613</v>
          </cell>
          <cell r="H130">
            <v>4</v>
          </cell>
        </row>
        <row r="131">
          <cell r="A131">
            <v>3302283</v>
          </cell>
          <cell r="B131" t="str">
            <v>Marlborough Junior School</v>
          </cell>
          <cell r="C131">
            <v>1</v>
          </cell>
          <cell r="D131">
            <v>0</v>
          </cell>
          <cell r="E131">
            <v>0</v>
          </cell>
          <cell r="F131">
            <v>355</v>
          </cell>
          <cell r="G131">
            <v>359</v>
          </cell>
          <cell r="H131">
            <v>4</v>
          </cell>
        </row>
        <row r="132">
          <cell r="A132">
            <v>3302293</v>
          </cell>
          <cell r="B132" t="str">
            <v>Wilkes Green Junior School</v>
          </cell>
          <cell r="C132">
            <v>1</v>
          </cell>
          <cell r="D132">
            <v>0</v>
          </cell>
          <cell r="E132">
            <v>0</v>
          </cell>
          <cell r="F132">
            <v>356</v>
          </cell>
          <cell r="G132">
            <v>360</v>
          </cell>
          <cell r="H132">
            <v>4</v>
          </cell>
        </row>
        <row r="133">
          <cell r="A133">
            <v>3302308</v>
          </cell>
          <cell r="B133" t="str">
            <v>Welford Primary School</v>
          </cell>
          <cell r="C133">
            <v>1</v>
          </cell>
          <cell r="D133">
            <v>0</v>
          </cell>
          <cell r="E133">
            <v>0</v>
          </cell>
          <cell r="F133">
            <v>418</v>
          </cell>
          <cell r="G133">
            <v>422</v>
          </cell>
          <cell r="H133">
            <v>4</v>
          </cell>
        </row>
        <row r="134">
          <cell r="A134">
            <v>3302309</v>
          </cell>
          <cell r="B134" t="str">
            <v>Heathfield Primary School</v>
          </cell>
          <cell r="C134">
            <v>1</v>
          </cell>
          <cell r="D134">
            <v>0</v>
          </cell>
          <cell r="E134">
            <v>0</v>
          </cell>
          <cell r="F134">
            <v>418</v>
          </cell>
          <cell r="G134">
            <v>422</v>
          </cell>
          <cell r="H134">
            <v>4</v>
          </cell>
        </row>
        <row r="135">
          <cell r="A135">
            <v>3302408</v>
          </cell>
          <cell r="B135" t="str">
            <v>Town Junior School</v>
          </cell>
          <cell r="C135">
            <v>1</v>
          </cell>
          <cell r="D135">
            <v>0</v>
          </cell>
          <cell r="E135">
            <v>0</v>
          </cell>
          <cell r="F135">
            <v>230</v>
          </cell>
          <cell r="G135">
            <v>234</v>
          </cell>
          <cell r="H135">
            <v>4</v>
          </cell>
        </row>
        <row r="136">
          <cell r="A136">
            <v>3302484</v>
          </cell>
          <cell r="B136" t="str">
            <v>Wyndcliffe Primary School</v>
          </cell>
          <cell r="C136">
            <v>1</v>
          </cell>
          <cell r="D136">
            <v>0</v>
          </cell>
          <cell r="E136">
            <v>0</v>
          </cell>
          <cell r="F136">
            <v>654</v>
          </cell>
          <cell r="G136">
            <v>658</v>
          </cell>
          <cell r="H136">
            <v>4</v>
          </cell>
        </row>
        <row r="137">
          <cell r="A137">
            <v>3303325</v>
          </cell>
          <cell r="B137" t="str">
            <v>The Rosary Catholic Primary School</v>
          </cell>
          <cell r="C137">
            <v>1</v>
          </cell>
          <cell r="D137">
            <v>0</v>
          </cell>
          <cell r="E137">
            <v>0</v>
          </cell>
          <cell r="F137">
            <v>352</v>
          </cell>
          <cell r="G137">
            <v>356</v>
          </cell>
          <cell r="H137">
            <v>4</v>
          </cell>
        </row>
        <row r="138">
          <cell r="A138">
            <v>3303358</v>
          </cell>
          <cell r="B138" t="str">
            <v>St James' Catholic Primary School</v>
          </cell>
          <cell r="C138">
            <v>1</v>
          </cell>
          <cell r="D138">
            <v>0</v>
          </cell>
          <cell r="E138">
            <v>0</v>
          </cell>
          <cell r="F138">
            <v>197</v>
          </cell>
          <cell r="G138">
            <v>201</v>
          </cell>
          <cell r="H138">
            <v>4</v>
          </cell>
        </row>
        <row r="139">
          <cell r="A139">
            <v>3302015</v>
          </cell>
          <cell r="B139" t="str">
            <v>JAMES WATT PRIMARY SCHOOL</v>
          </cell>
          <cell r="C139">
            <v>1</v>
          </cell>
          <cell r="D139">
            <v>0</v>
          </cell>
          <cell r="E139">
            <v>0</v>
          </cell>
          <cell r="F139">
            <v>391</v>
          </cell>
          <cell r="G139">
            <v>394</v>
          </cell>
          <cell r="H139">
            <v>3</v>
          </cell>
        </row>
        <row r="140">
          <cell r="A140">
            <v>3302091</v>
          </cell>
          <cell r="B140" t="str">
            <v>GUNTER PRIMARY SCHOOL</v>
          </cell>
          <cell r="C140">
            <v>1</v>
          </cell>
          <cell r="D140">
            <v>0</v>
          </cell>
          <cell r="E140">
            <v>0</v>
          </cell>
          <cell r="F140">
            <v>196</v>
          </cell>
          <cell r="G140">
            <v>199</v>
          </cell>
          <cell r="H140">
            <v>3</v>
          </cell>
        </row>
        <row r="141">
          <cell r="A141">
            <v>3302097</v>
          </cell>
          <cell r="B141" t="str">
            <v>STORY WOOD SCHOOL</v>
          </cell>
          <cell r="C141">
            <v>1</v>
          </cell>
          <cell r="D141">
            <v>0</v>
          </cell>
          <cell r="E141">
            <v>0</v>
          </cell>
          <cell r="F141">
            <v>203</v>
          </cell>
          <cell r="G141">
            <v>206</v>
          </cell>
          <cell r="H141">
            <v>3</v>
          </cell>
        </row>
        <row r="142">
          <cell r="A142">
            <v>3302119</v>
          </cell>
          <cell r="B142" t="str">
            <v>Lakey Lane Primary School</v>
          </cell>
          <cell r="C142">
            <v>1</v>
          </cell>
          <cell r="D142">
            <v>0</v>
          </cell>
          <cell r="E142">
            <v>0</v>
          </cell>
          <cell r="F142">
            <v>375</v>
          </cell>
          <cell r="G142">
            <v>378</v>
          </cell>
          <cell r="H142">
            <v>3</v>
          </cell>
        </row>
        <row r="143">
          <cell r="A143">
            <v>3302133</v>
          </cell>
          <cell r="B143" t="str">
            <v>Marsh Hill Primary School</v>
          </cell>
          <cell r="C143">
            <v>1</v>
          </cell>
          <cell r="D143">
            <v>0</v>
          </cell>
          <cell r="E143">
            <v>0</v>
          </cell>
          <cell r="F143">
            <v>416</v>
          </cell>
          <cell r="G143">
            <v>419</v>
          </cell>
          <cell r="H143">
            <v>3</v>
          </cell>
        </row>
        <row r="144">
          <cell r="A144">
            <v>3302225</v>
          </cell>
          <cell r="B144" t="str">
            <v>World's End Junior School</v>
          </cell>
          <cell r="C144">
            <v>1</v>
          </cell>
          <cell r="D144">
            <v>0</v>
          </cell>
          <cell r="E144">
            <v>0</v>
          </cell>
          <cell r="F144">
            <v>237</v>
          </cell>
          <cell r="G144">
            <v>240</v>
          </cell>
          <cell r="H144">
            <v>3</v>
          </cell>
        </row>
        <row r="145">
          <cell r="A145">
            <v>3302251</v>
          </cell>
          <cell r="B145" t="str">
            <v>CHILCOTE PRIMARY SCHOOL</v>
          </cell>
          <cell r="C145">
            <v>1</v>
          </cell>
          <cell r="D145">
            <v>0</v>
          </cell>
          <cell r="E145">
            <v>0</v>
          </cell>
          <cell r="F145">
            <v>418</v>
          </cell>
          <cell r="G145">
            <v>421</v>
          </cell>
          <cell r="H145">
            <v>3</v>
          </cell>
        </row>
        <row r="146">
          <cell r="A146">
            <v>3302299</v>
          </cell>
          <cell r="B146" t="str">
            <v>Cottesbrooke Infant School</v>
          </cell>
          <cell r="C146">
            <v>1</v>
          </cell>
          <cell r="D146">
            <v>0</v>
          </cell>
          <cell r="E146">
            <v>0</v>
          </cell>
          <cell r="F146">
            <v>266</v>
          </cell>
          <cell r="G146">
            <v>269</v>
          </cell>
          <cell r="H146">
            <v>3</v>
          </cell>
        </row>
        <row r="147">
          <cell r="A147">
            <v>3302314</v>
          </cell>
          <cell r="B147" t="str">
            <v>Woodthorpe J/I School</v>
          </cell>
          <cell r="C147">
            <v>1</v>
          </cell>
          <cell r="D147">
            <v>0</v>
          </cell>
          <cell r="E147">
            <v>0</v>
          </cell>
          <cell r="F147">
            <v>206</v>
          </cell>
          <cell r="G147">
            <v>209</v>
          </cell>
          <cell r="H147">
            <v>3</v>
          </cell>
        </row>
        <row r="148">
          <cell r="A148">
            <v>3302462</v>
          </cell>
          <cell r="B148" t="str">
            <v>Little Sutton Primary School</v>
          </cell>
          <cell r="C148">
            <v>1</v>
          </cell>
          <cell r="D148">
            <v>0</v>
          </cell>
          <cell r="E148">
            <v>0</v>
          </cell>
          <cell r="F148">
            <v>418</v>
          </cell>
          <cell r="G148">
            <v>421</v>
          </cell>
          <cell r="H148">
            <v>3</v>
          </cell>
        </row>
        <row r="149">
          <cell r="A149">
            <v>3303319</v>
          </cell>
          <cell r="B149" t="str">
            <v>Christ The King Catholic Primary School</v>
          </cell>
          <cell r="C149">
            <v>1</v>
          </cell>
          <cell r="D149">
            <v>0</v>
          </cell>
          <cell r="E149">
            <v>0</v>
          </cell>
          <cell r="F149">
            <v>345</v>
          </cell>
          <cell r="G149">
            <v>348</v>
          </cell>
          <cell r="H149">
            <v>3</v>
          </cell>
        </row>
        <row r="150">
          <cell r="A150">
            <v>3303353</v>
          </cell>
          <cell r="B150" t="str">
            <v>Bournville Junior School</v>
          </cell>
          <cell r="C150">
            <v>1</v>
          </cell>
          <cell r="D150">
            <v>0</v>
          </cell>
          <cell r="E150">
            <v>0</v>
          </cell>
          <cell r="F150">
            <v>379</v>
          </cell>
          <cell r="G150">
            <v>382</v>
          </cell>
          <cell r="H150">
            <v>3</v>
          </cell>
        </row>
        <row r="151">
          <cell r="A151">
            <v>3303355</v>
          </cell>
          <cell r="B151" t="str">
            <v>St. Edwards Catholic Primary School</v>
          </cell>
          <cell r="C151">
            <v>1</v>
          </cell>
          <cell r="D151">
            <v>0</v>
          </cell>
          <cell r="E151">
            <v>0</v>
          </cell>
          <cell r="F151">
            <v>412</v>
          </cell>
          <cell r="G151">
            <v>415</v>
          </cell>
          <cell r="H151">
            <v>3</v>
          </cell>
        </row>
        <row r="152">
          <cell r="A152">
            <v>3303375</v>
          </cell>
          <cell r="B152" t="str">
            <v>ST BERNARDS CATHOLIC PRIMARY SCHOOL</v>
          </cell>
          <cell r="C152">
            <v>1</v>
          </cell>
          <cell r="D152">
            <v>0</v>
          </cell>
          <cell r="E152">
            <v>0</v>
          </cell>
          <cell r="F152">
            <v>391</v>
          </cell>
          <cell r="G152">
            <v>394</v>
          </cell>
          <cell r="H152">
            <v>3</v>
          </cell>
        </row>
        <row r="153">
          <cell r="A153">
            <v>3303381</v>
          </cell>
          <cell r="B153" t="str">
            <v>St Alban's Catholic Primary School</v>
          </cell>
          <cell r="C153">
            <v>1</v>
          </cell>
          <cell r="D153">
            <v>0</v>
          </cell>
          <cell r="E153">
            <v>0</v>
          </cell>
          <cell r="F153">
            <v>206</v>
          </cell>
          <cell r="G153">
            <v>209</v>
          </cell>
          <cell r="H153">
            <v>3</v>
          </cell>
        </row>
        <row r="154">
          <cell r="A154">
            <v>3303402</v>
          </cell>
          <cell r="B154" t="str">
            <v>Holy Cross Catholic Primary School</v>
          </cell>
          <cell r="C154">
            <v>1</v>
          </cell>
          <cell r="D154">
            <v>0</v>
          </cell>
          <cell r="E154">
            <v>0</v>
          </cell>
          <cell r="F154">
            <v>207</v>
          </cell>
          <cell r="G154">
            <v>210</v>
          </cell>
          <cell r="H154">
            <v>3</v>
          </cell>
        </row>
        <row r="155">
          <cell r="A155">
            <v>3303413</v>
          </cell>
          <cell r="B155" t="str">
            <v>Springfield Primary School</v>
          </cell>
          <cell r="C155">
            <v>1</v>
          </cell>
          <cell r="D155">
            <v>0</v>
          </cell>
          <cell r="E155">
            <v>0</v>
          </cell>
          <cell r="F155">
            <v>627</v>
          </cell>
          <cell r="G155">
            <v>630</v>
          </cell>
          <cell r="H155">
            <v>3</v>
          </cell>
        </row>
        <row r="156">
          <cell r="A156">
            <v>3305205</v>
          </cell>
          <cell r="B156" t="str">
            <v>St Francis C of E Primary School and Nursery</v>
          </cell>
          <cell r="C156">
            <v>1</v>
          </cell>
          <cell r="D156">
            <v>0</v>
          </cell>
          <cell r="E156">
            <v>0</v>
          </cell>
          <cell r="F156">
            <v>215</v>
          </cell>
          <cell r="G156">
            <v>218</v>
          </cell>
          <cell r="H156">
            <v>3</v>
          </cell>
        </row>
        <row r="157">
          <cell r="A157">
            <v>3302060</v>
          </cell>
          <cell r="B157" t="str">
            <v>Cromwell Primary School</v>
          </cell>
          <cell r="C157">
            <v>1</v>
          </cell>
          <cell r="D157">
            <v>0</v>
          </cell>
          <cell r="E157">
            <v>0</v>
          </cell>
          <cell r="F157">
            <v>208</v>
          </cell>
          <cell r="G157">
            <v>210</v>
          </cell>
          <cell r="H157">
            <v>2</v>
          </cell>
        </row>
        <row r="158">
          <cell r="A158">
            <v>3302081</v>
          </cell>
          <cell r="B158" t="str">
            <v>Gilbertstone Primary School</v>
          </cell>
          <cell r="C158">
            <v>1</v>
          </cell>
          <cell r="D158">
            <v>0</v>
          </cell>
          <cell r="E158">
            <v>0</v>
          </cell>
          <cell r="F158">
            <v>417</v>
          </cell>
          <cell r="G158">
            <v>419</v>
          </cell>
          <cell r="H158">
            <v>2</v>
          </cell>
        </row>
        <row r="159">
          <cell r="A159">
            <v>3302284</v>
          </cell>
          <cell r="B159" t="str">
            <v>Deykin Avenue Junior &amp; Infant School</v>
          </cell>
          <cell r="C159">
            <v>1</v>
          </cell>
          <cell r="D159">
            <v>0</v>
          </cell>
          <cell r="E159">
            <v>0</v>
          </cell>
          <cell r="F159">
            <v>206</v>
          </cell>
          <cell r="G159">
            <v>208</v>
          </cell>
          <cell r="H159">
            <v>2</v>
          </cell>
        </row>
        <row r="160">
          <cell r="A160">
            <v>3302456</v>
          </cell>
          <cell r="B160" t="str">
            <v>Bells Farm Primary School</v>
          </cell>
          <cell r="C160">
            <v>1</v>
          </cell>
          <cell r="D160">
            <v>0</v>
          </cell>
          <cell r="E160">
            <v>0</v>
          </cell>
          <cell r="F160">
            <v>190</v>
          </cell>
          <cell r="G160">
            <v>192</v>
          </cell>
          <cell r="H160">
            <v>2</v>
          </cell>
        </row>
        <row r="161">
          <cell r="A161">
            <v>3302464</v>
          </cell>
          <cell r="B161" t="str">
            <v>Coppice Primary School</v>
          </cell>
          <cell r="C161">
            <v>1</v>
          </cell>
          <cell r="D161">
            <v>0</v>
          </cell>
          <cell r="E161">
            <v>0</v>
          </cell>
          <cell r="F161">
            <v>416</v>
          </cell>
          <cell r="G161">
            <v>418</v>
          </cell>
          <cell r="H161">
            <v>2</v>
          </cell>
        </row>
        <row r="162">
          <cell r="A162">
            <v>3303322</v>
          </cell>
          <cell r="B162" t="str">
            <v>Maryvale Catholic Primary School</v>
          </cell>
          <cell r="C162">
            <v>1</v>
          </cell>
          <cell r="D162">
            <v>0</v>
          </cell>
          <cell r="E162">
            <v>0</v>
          </cell>
          <cell r="F162">
            <v>188</v>
          </cell>
          <cell r="G162">
            <v>190</v>
          </cell>
          <cell r="H162">
            <v>2</v>
          </cell>
        </row>
        <row r="163">
          <cell r="A163">
            <v>3303331</v>
          </cell>
          <cell r="B163" t="str">
            <v>St. Catherine of Siena Catholic Primary School</v>
          </cell>
          <cell r="C163">
            <v>1</v>
          </cell>
          <cell r="D163">
            <v>0</v>
          </cell>
          <cell r="E163">
            <v>0</v>
          </cell>
          <cell r="F163">
            <v>207</v>
          </cell>
          <cell r="G163">
            <v>209</v>
          </cell>
          <cell r="H163">
            <v>2</v>
          </cell>
        </row>
        <row r="164">
          <cell r="A164">
            <v>3303335</v>
          </cell>
          <cell r="B164" t="str">
            <v>ST ANNES RC J/I</v>
          </cell>
          <cell r="C164">
            <v>1</v>
          </cell>
          <cell r="D164">
            <v>0</v>
          </cell>
          <cell r="E164">
            <v>0</v>
          </cell>
          <cell r="F164">
            <v>203</v>
          </cell>
          <cell r="G164">
            <v>205</v>
          </cell>
          <cell r="H164">
            <v>2</v>
          </cell>
        </row>
        <row r="165">
          <cell r="A165">
            <v>3303339</v>
          </cell>
          <cell r="B165" t="str">
            <v>St. Joseph's Catholic Primary School (B7)</v>
          </cell>
          <cell r="C165">
            <v>1</v>
          </cell>
          <cell r="D165">
            <v>0</v>
          </cell>
          <cell r="E165">
            <v>0</v>
          </cell>
          <cell r="F165">
            <v>204</v>
          </cell>
          <cell r="G165">
            <v>206</v>
          </cell>
          <cell r="H165">
            <v>2</v>
          </cell>
        </row>
        <row r="166">
          <cell r="A166">
            <v>3303380</v>
          </cell>
          <cell r="B166" t="str">
            <v>St. Ambrose Barlow Catholic Primary School</v>
          </cell>
          <cell r="C166">
            <v>1</v>
          </cell>
          <cell r="D166">
            <v>0</v>
          </cell>
          <cell r="E166">
            <v>0</v>
          </cell>
          <cell r="F166">
            <v>208</v>
          </cell>
          <cell r="G166">
            <v>210</v>
          </cell>
          <cell r="H166">
            <v>2</v>
          </cell>
        </row>
        <row r="167">
          <cell r="A167">
            <v>3303403</v>
          </cell>
          <cell r="B167" t="str">
            <v>St. Nicholas Catholic Primary School</v>
          </cell>
          <cell r="C167">
            <v>1</v>
          </cell>
          <cell r="D167">
            <v>0</v>
          </cell>
          <cell r="E167">
            <v>0</v>
          </cell>
          <cell r="F167">
            <v>210</v>
          </cell>
          <cell r="G167">
            <v>212</v>
          </cell>
          <cell r="H167">
            <v>2</v>
          </cell>
        </row>
        <row r="168">
          <cell r="A168">
            <v>3303406</v>
          </cell>
          <cell r="B168" t="str">
            <v>St. Clare's Catholic Primary School</v>
          </cell>
          <cell r="C168">
            <v>1</v>
          </cell>
          <cell r="D168">
            <v>0</v>
          </cell>
          <cell r="E168">
            <v>0</v>
          </cell>
          <cell r="F168">
            <v>365</v>
          </cell>
          <cell r="G168">
            <v>367</v>
          </cell>
          <cell r="H168">
            <v>2</v>
          </cell>
        </row>
        <row r="169">
          <cell r="A169">
            <v>3302017</v>
          </cell>
          <cell r="B169" t="str">
            <v>Perry Beeches Infant School</v>
          </cell>
          <cell r="C169">
            <v>1</v>
          </cell>
          <cell r="D169">
            <v>0</v>
          </cell>
          <cell r="E169">
            <v>0</v>
          </cell>
          <cell r="F169">
            <v>268</v>
          </cell>
          <cell r="G169">
            <v>269</v>
          </cell>
          <cell r="H169">
            <v>1</v>
          </cell>
        </row>
        <row r="170">
          <cell r="A170">
            <v>3302051</v>
          </cell>
          <cell r="B170" t="str">
            <v>COLMERS FARM JUNIOR SCHOOL</v>
          </cell>
          <cell r="C170">
            <v>1</v>
          </cell>
          <cell r="D170">
            <v>0</v>
          </cell>
          <cell r="E170">
            <v>0</v>
          </cell>
          <cell r="F170">
            <v>231</v>
          </cell>
          <cell r="G170">
            <v>232</v>
          </cell>
          <cell r="H170">
            <v>1</v>
          </cell>
        </row>
        <row r="171">
          <cell r="A171">
            <v>3302062</v>
          </cell>
          <cell r="B171" t="str">
            <v>Anderton Park Primary School</v>
          </cell>
          <cell r="C171">
            <v>1</v>
          </cell>
          <cell r="D171">
            <v>0</v>
          </cell>
          <cell r="E171">
            <v>0</v>
          </cell>
          <cell r="F171">
            <v>637</v>
          </cell>
          <cell r="G171">
            <v>638</v>
          </cell>
          <cell r="H171">
            <v>1</v>
          </cell>
        </row>
        <row r="172">
          <cell r="A172">
            <v>3302156</v>
          </cell>
          <cell r="B172" t="str">
            <v>Princethorpe Infant School</v>
          </cell>
          <cell r="C172">
            <v>1</v>
          </cell>
          <cell r="D172">
            <v>0</v>
          </cell>
          <cell r="E172">
            <v>0</v>
          </cell>
          <cell r="F172">
            <v>179</v>
          </cell>
          <cell r="G172">
            <v>180</v>
          </cell>
          <cell r="H172">
            <v>1</v>
          </cell>
        </row>
        <row r="173">
          <cell r="A173">
            <v>3302159</v>
          </cell>
          <cell r="B173" t="str">
            <v>Redhill Primary School</v>
          </cell>
          <cell r="C173">
            <v>1</v>
          </cell>
          <cell r="D173">
            <v>0</v>
          </cell>
          <cell r="E173">
            <v>0</v>
          </cell>
          <cell r="F173">
            <v>209</v>
          </cell>
          <cell r="G173">
            <v>210</v>
          </cell>
          <cell r="H173">
            <v>1</v>
          </cell>
        </row>
        <row r="174">
          <cell r="A174">
            <v>3302185</v>
          </cell>
          <cell r="B174" t="str">
            <v>Colebourne Primary School</v>
          </cell>
          <cell r="C174">
            <v>1</v>
          </cell>
          <cell r="D174">
            <v>0</v>
          </cell>
          <cell r="E174">
            <v>0</v>
          </cell>
          <cell r="F174">
            <v>419</v>
          </cell>
          <cell r="G174">
            <v>420</v>
          </cell>
          <cell r="H174">
            <v>1</v>
          </cell>
        </row>
        <row r="175">
          <cell r="A175">
            <v>3302190</v>
          </cell>
          <cell r="B175" t="str">
            <v>Sundridge Primary School</v>
          </cell>
          <cell r="C175">
            <v>1</v>
          </cell>
          <cell r="D175">
            <v>0</v>
          </cell>
          <cell r="E175">
            <v>0</v>
          </cell>
          <cell r="F175">
            <v>186</v>
          </cell>
          <cell r="G175">
            <v>187</v>
          </cell>
          <cell r="H175">
            <v>1</v>
          </cell>
        </row>
        <row r="176">
          <cell r="A176">
            <v>3302238</v>
          </cell>
          <cell r="B176" t="str">
            <v>Broadmeadow Infant &amp; Nursery School</v>
          </cell>
          <cell r="C176">
            <v>1</v>
          </cell>
          <cell r="D176">
            <v>0</v>
          </cell>
          <cell r="E176">
            <v>0</v>
          </cell>
          <cell r="F176">
            <v>179</v>
          </cell>
          <cell r="G176">
            <v>180</v>
          </cell>
          <cell r="H176">
            <v>1</v>
          </cell>
        </row>
        <row r="177">
          <cell r="A177">
            <v>3302297</v>
          </cell>
          <cell r="B177" t="str">
            <v>Birchfield Community School</v>
          </cell>
          <cell r="C177">
            <v>1</v>
          </cell>
          <cell r="D177">
            <v>0</v>
          </cell>
          <cell r="E177">
            <v>0</v>
          </cell>
          <cell r="F177">
            <v>647</v>
          </cell>
          <cell r="G177">
            <v>648</v>
          </cell>
          <cell r="H177">
            <v>1</v>
          </cell>
        </row>
        <row r="178">
          <cell r="A178">
            <v>3302306</v>
          </cell>
          <cell r="B178" t="str">
            <v>Water Mill Primary School</v>
          </cell>
          <cell r="C178">
            <v>1</v>
          </cell>
          <cell r="D178">
            <v>0</v>
          </cell>
          <cell r="E178">
            <v>0</v>
          </cell>
          <cell r="F178">
            <v>187</v>
          </cell>
          <cell r="G178">
            <v>188</v>
          </cell>
          <cell r="H178">
            <v>1</v>
          </cell>
        </row>
        <row r="179">
          <cell r="A179">
            <v>3302313</v>
          </cell>
          <cell r="B179" t="str">
            <v>Heath Mount  Primary School</v>
          </cell>
          <cell r="C179">
            <v>1</v>
          </cell>
          <cell r="D179">
            <v>0</v>
          </cell>
          <cell r="E179">
            <v>0</v>
          </cell>
          <cell r="F179">
            <v>419</v>
          </cell>
          <cell r="G179">
            <v>420</v>
          </cell>
          <cell r="H179">
            <v>1</v>
          </cell>
        </row>
        <row r="180">
          <cell r="A180">
            <v>3302401</v>
          </cell>
          <cell r="B180" t="str">
            <v>Boldmere Junior School</v>
          </cell>
          <cell r="C180">
            <v>1</v>
          </cell>
          <cell r="D180">
            <v>0</v>
          </cell>
          <cell r="E180">
            <v>0</v>
          </cell>
          <cell r="F180">
            <v>358</v>
          </cell>
          <cell r="G180">
            <v>359</v>
          </cell>
          <cell r="H180">
            <v>1</v>
          </cell>
        </row>
        <row r="181">
          <cell r="A181">
            <v>3302402</v>
          </cell>
          <cell r="B181" t="str">
            <v>Boldmere Infant School and Nursery</v>
          </cell>
          <cell r="C181">
            <v>1</v>
          </cell>
          <cell r="D181">
            <v>0</v>
          </cell>
          <cell r="E181">
            <v>0</v>
          </cell>
          <cell r="F181">
            <v>269</v>
          </cell>
          <cell r="G181">
            <v>270</v>
          </cell>
          <cell r="H181">
            <v>1</v>
          </cell>
        </row>
        <row r="182">
          <cell r="A182">
            <v>3302429</v>
          </cell>
          <cell r="B182" t="str">
            <v>Holland House Infant School and Nursery</v>
          </cell>
          <cell r="C182">
            <v>1</v>
          </cell>
          <cell r="D182">
            <v>0</v>
          </cell>
          <cell r="E182">
            <v>0</v>
          </cell>
          <cell r="F182">
            <v>179</v>
          </cell>
          <cell r="G182">
            <v>180</v>
          </cell>
          <cell r="H182">
            <v>1</v>
          </cell>
        </row>
        <row r="183">
          <cell r="A183">
            <v>3302451</v>
          </cell>
          <cell r="B183" t="str">
            <v>Green Meadow Primary School</v>
          </cell>
          <cell r="C183">
            <v>1</v>
          </cell>
          <cell r="D183">
            <v>0</v>
          </cell>
          <cell r="E183">
            <v>0</v>
          </cell>
          <cell r="F183">
            <v>420</v>
          </cell>
          <cell r="G183">
            <v>421</v>
          </cell>
          <cell r="H183">
            <v>1</v>
          </cell>
        </row>
        <row r="184">
          <cell r="A184">
            <v>3302453</v>
          </cell>
          <cell r="B184" t="str">
            <v>Leigh Junior, Infant &amp; Nursery School</v>
          </cell>
          <cell r="C184">
            <v>1</v>
          </cell>
          <cell r="D184">
            <v>0</v>
          </cell>
          <cell r="E184">
            <v>0</v>
          </cell>
          <cell r="F184">
            <v>480</v>
          </cell>
          <cell r="G184">
            <v>481</v>
          </cell>
          <cell r="H184">
            <v>1</v>
          </cell>
        </row>
        <row r="185">
          <cell r="A185">
            <v>3302486</v>
          </cell>
          <cell r="B185" t="str">
            <v>Forestdale Primary School</v>
          </cell>
          <cell r="C185">
            <v>1</v>
          </cell>
          <cell r="D185">
            <v>0</v>
          </cell>
          <cell r="E185">
            <v>0</v>
          </cell>
          <cell r="F185">
            <v>191</v>
          </cell>
          <cell r="G185">
            <v>192</v>
          </cell>
          <cell r="H185">
            <v>1</v>
          </cell>
        </row>
        <row r="186">
          <cell r="A186">
            <v>3303016</v>
          </cell>
          <cell r="B186" t="str">
            <v>St Matthews CE Primary School</v>
          </cell>
          <cell r="C186">
            <v>1</v>
          </cell>
          <cell r="D186">
            <v>0</v>
          </cell>
          <cell r="E186">
            <v>0</v>
          </cell>
          <cell r="F186">
            <v>206</v>
          </cell>
          <cell r="G186">
            <v>207</v>
          </cell>
          <cell r="H186">
            <v>1</v>
          </cell>
        </row>
        <row r="187">
          <cell r="A187">
            <v>3303317</v>
          </cell>
          <cell r="B187" t="str">
            <v>Holy Family Catholic Primary School</v>
          </cell>
          <cell r="C187">
            <v>1</v>
          </cell>
          <cell r="D187">
            <v>0</v>
          </cell>
          <cell r="E187">
            <v>0</v>
          </cell>
          <cell r="F187">
            <v>208</v>
          </cell>
          <cell r="G187">
            <v>209</v>
          </cell>
          <cell r="H187">
            <v>1</v>
          </cell>
        </row>
        <row r="188">
          <cell r="A188">
            <v>3303321</v>
          </cell>
          <cell r="B188" t="str">
            <v>English Martyrs' Catholic Primary School</v>
          </cell>
          <cell r="C188">
            <v>1</v>
          </cell>
          <cell r="D188">
            <v>0</v>
          </cell>
          <cell r="E188">
            <v>0</v>
          </cell>
          <cell r="F188">
            <v>411</v>
          </cell>
          <cell r="G188">
            <v>412</v>
          </cell>
          <cell r="H188">
            <v>1</v>
          </cell>
        </row>
        <row r="189">
          <cell r="A189">
            <v>3303327</v>
          </cell>
          <cell r="B189" t="str">
            <v>Holy Souls Catholic Primary School</v>
          </cell>
          <cell r="C189">
            <v>1</v>
          </cell>
          <cell r="D189">
            <v>0</v>
          </cell>
          <cell r="E189">
            <v>0</v>
          </cell>
          <cell r="F189">
            <v>416</v>
          </cell>
          <cell r="G189">
            <v>417</v>
          </cell>
          <cell r="H189">
            <v>1</v>
          </cell>
        </row>
        <row r="190">
          <cell r="A190">
            <v>3303349</v>
          </cell>
          <cell r="B190" t="str">
            <v>St Thomas More Catholic Primary School</v>
          </cell>
          <cell r="C190">
            <v>1</v>
          </cell>
          <cell r="D190">
            <v>0</v>
          </cell>
          <cell r="E190">
            <v>0</v>
          </cell>
          <cell r="F190">
            <v>331</v>
          </cell>
          <cell r="G190">
            <v>332</v>
          </cell>
          <cell r="H190">
            <v>1</v>
          </cell>
        </row>
        <row r="191">
          <cell r="A191">
            <v>3303360</v>
          </cell>
          <cell r="B191" t="str">
            <v>St. John Fisher Catholic Primary School</v>
          </cell>
          <cell r="C191">
            <v>1</v>
          </cell>
          <cell r="D191">
            <v>0</v>
          </cell>
          <cell r="E191">
            <v>0</v>
          </cell>
          <cell r="F191">
            <v>204</v>
          </cell>
          <cell r="G191">
            <v>205</v>
          </cell>
          <cell r="H191">
            <v>1</v>
          </cell>
        </row>
        <row r="192">
          <cell r="A192">
            <v>3303365</v>
          </cell>
          <cell r="B192" t="str">
            <v>St. Teresa's Catholic Primary School</v>
          </cell>
          <cell r="C192">
            <v>1</v>
          </cell>
          <cell r="D192">
            <v>0</v>
          </cell>
          <cell r="E192">
            <v>0</v>
          </cell>
          <cell r="F192">
            <v>206</v>
          </cell>
          <cell r="G192">
            <v>207</v>
          </cell>
          <cell r="H192">
            <v>1</v>
          </cell>
        </row>
        <row r="193">
          <cell r="A193">
            <v>3303372</v>
          </cell>
          <cell r="B193" t="str">
            <v>St. Bernadette's Catholic Primary School</v>
          </cell>
          <cell r="C193">
            <v>1</v>
          </cell>
          <cell r="D193">
            <v>0</v>
          </cell>
          <cell r="E193">
            <v>0</v>
          </cell>
          <cell r="F193">
            <v>616</v>
          </cell>
          <cell r="G193">
            <v>617</v>
          </cell>
          <cell r="H193">
            <v>1</v>
          </cell>
        </row>
        <row r="194">
          <cell r="A194">
            <v>3303385</v>
          </cell>
          <cell r="B194" t="str">
            <v>St. Peters Catholic Primary School</v>
          </cell>
          <cell r="C194">
            <v>1</v>
          </cell>
          <cell r="D194">
            <v>0</v>
          </cell>
          <cell r="E194">
            <v>0</v>
          </cell>
          <cell r="F194">
            <v>206</v>
          </cell>
          <cell r="G194">
            <v>207</v>
          </cell>
          <cell r="H194">
            <v>1</v>
          </cell>
        </row>
        <row r="195">
          <cell r="A195">
            <v>3303435</v>
          </cell>
          <cell r="B195" t="str">
            <v>Four Oaks Primary School</v>
          </cell>
          <cell r="C195">
            <v>1</v>
          </cell>
          <cell r="D195">
            <v>0</v>
          </cell>
          <cell r="E195">
            <v>0</v>
          </cell>
          <cell r="F195">
            <v>420</v>
          </cell>
          <cell r="G195">
            <v>421</v>
          </cell>
          <cell r="H195">
            <v>1</v>
          </cell>
        </row>
        <row r="196">
          <cell r="A196">
            <v>3302030</v>
          </cell>
          <cell r="B196" t="str">
            <v>Bordesley Green Primary School</v>
          </cell>
          <cell r="C196">
            <v>1</v>
          </cell>
          <cell r="D196">
            <v>0</v>
          </cell>
          <cell r="E196">
            <v>0</v>
          </cell>
          <cell r="F196">
            <v>630</v>
          </cell>
          <cell r="G196">
            <v>630</v>
          </cell>
          <cell r="H196">
            <v>0</v>
          </cell>
        </row>
        <row r="197">
          <cell r="A197">
            <v>3302082</v>
          </cell>
          <cell r="B197" t="str">
            <v>Conway Primary School</v>
          </cell>
          <cell r="C197">
            <v>1</v>
          </cell>
          <cell r="D197">
            <v>0</v>
          </cell>
          <cell r="E197">
            <v>0</v>
          </cell>
          <cell r="F197">
            <v>419</v>
          </cell>
          <cell r="G197">
            <v>419</v>
          </cell>
          <cell r="H197">
            <v>0</v>
          </cell>
        </row>
        <row r="198">
          <cell r="A198">
            <v>3302174</v>
          </cell>
          <cell r="B198" t="str">
            <v>Sladefield Infant School</v>
          </cell>
          <cell r="C198">
            <v>1</v>
          </cell>
          <cell r="D198">
            <v>0</v>
          </cell>
          <cell r="E198">
            <v>0</v>
          </cell>
          <cell r="F198">
            <v>360</v>
          </cell>
          <cell r="G198">
            <v>360</v>
          </cell>
          <cell r="H198">
            <v>0</v>
          </cell>
        </row>
        <row r="199">
          <cell r="A199">
            <v>3302176</v>
          </cell>
          <cell r="B199" t="str">
            <v>Somerville Primary School (NC)</v>
          </cell>
          <cell r="C199">
            <v>1</v>
          </cell>
          <cell r="D199">
            <v>0</v>
          </cell>
          <cell r="E199">
            <v>0</v>
          </cell>
          <cell r="F199">
            <v>686</v>
          </cell>
          <cell r="G199">
            <v>686</v>
          </cell>
          <cell r="H199">
            <v>0</v>
          </cell>
        </row>
        <row r="200">
          <cell r="A200">
            <v>3302191</v>
          </cell>
          <cell r="B200" t="str">
            <v>Court Farm Primary School</v>
          </cell>
          <cell r="C200">
            <v>1</v>
          </cell>
          <cell r="D200">
            <v>0</v>
          </cell>
          <cell r="E200">
            <v>0</v>
          </cell>
          <cell r="F200">
            <v>191</v>
          </cell>
          <cell r="G200">
            <v>191</v>
          </cell>
          <cell r="H200">
            <v>0</v>
          </cell>
        </row>
        <row r="201">
          <cell r="A201">
            <v>3302239</v>
          </cell>
          <cell r="B201" t="str">
            <v>Bellfield Infants School</v>
          </cell>
          <cell r="C201">
            <v>1</v>
          </cell>
          <cell r="D201">
            <v>0</v>
          </cell>
          <cell r="E201">
            <v>0</v>
          </cell>
          <cell r="F201">
            <v>182</v>
          </cell>
          <cell r="G201">
            <v>182</v>
          </cell>
          <cell r="H201">
            <v>0</v>
          </cell>
        </row>
        <row r="202">
          <cell r="A202">
            <v>3302420</v>
          </cell>
          <cell r="B202" t="str">
            <v>Maney Hill Primary School</v>
          </cell>
          <cell r="C202">
            <v>1</v>
          </cell>
          <cell r="D202">
            <v>0</v>
          </cell>
          <cell r="E202">
            <v>0</v>
          </cell>
          <cell r="F202">
            <v>210</v>
          </cell>
          <cell r="G202">
            <v>210</v>
          </cell>
          <cell r="H202">
            <v>0</v>
          </cell>
        </row>
        <row r="203">
          <cell r="A203">
            <v>3302438</v>
          </cell>
          <cell r="B203" t="str">
            <v>Highters Heath Community School</v>
          </cell>
          <cell r="C203">
            <v>1</v>
          </cell>
          <cell r="D203">
            <v>0</v>
          </cell>
          <cell r="E203">
            <v>0</v>
          </cell>
          <cell r="F203">
            <v>205</v>
          </cell>
          <cell r="G203">
            <v>205</v>
          </cell>
          <cell r="H203">
            <v>0</v>
          </cell>
        </row>
        <row r="204">
          <cell r="A204">
            <v>3303019</v>
          </cell>
          <cell r="B204" t="str">
            <v>St. Saviour's C.E. Primary School</v>
          </cell>
          <cell r="C204">
            <v>1</v>
          </cell>
          <cell r="D204">
            <v>0</v>
          </cell>
          <cell r="E204">
            <v>0</v>
          </cell>
          <cell r="F204">
            <v>418</v>
          </cell>
          <cell r="G204">
            <v>418</v>
          </cell>
          <cell r="H204">
            <v>0</v>
          </cell>
        </row>
        <row r="205">
          <cell r="A205">
            <v>3303323</v>
          </cell>
          <cell r="B205" t="str">
            <v>The Oratory RC Primary &amp; Nursery School</v>
          </cell>
          <cell r="C205">
            <v>1</v>
          </cell>
          <cell r="D205">
            <v>0</v>
          </cell>
          <cell r="E205">
            <v>0</v>
          </cell>
          <cell r="F205">
            <v>204</v>
          </cell>
          <cell r="G205">
            <v>204</v>
          </cell>
          <cell r="H205">
            <v>0</v>
          </cell>
        </row>
        <row r="206">
          <cell r="A206">
            <v>3303346</v>
          </cell>
          <cell r="B206" t="str">
            <v>St Patrick's Catholic Primary School</v>
          </cell>
          <cell r="C206">
            <v>1</v>
          </cell>
          <cell r="D206">
            <v>0</v>
          </cell>
          <cell r="E206">
            <v>0</v>
          </cell>
          <cell r="F206">
            <v>202</v>
          </cell>
          <cell r="G206">
            <v>202</v>
          </cell>
          <cell r="H206">
            <v>0</v>
          </cell>
        </row>
        <row r="207">
          <cell r="A207">
            <v>3303354</v>
          </cell>
          <cell r="B207" t="str">
            <v>Bournville Infant School</v>
          </cell>
          <cell r="C207">
            <v>1</v>
          </cell>
          <cell r="D207">
            <v>0</v>
          </cell>
          <cell r="E207">
            <v>0</v>
          </cell>
          <cell r="F207">
            <v>270</v>
          </cell>
          <cell r="G207">
            <v>270</v>
          </cell>
          <cell r="H207">
            <v>0</v>
          </cell>
        </row>
        <row r="208">
          <cell r="A208">
            <v>3303371</v>
          </cell>
          <cell r="B208" t="str">
            <v>St Laurence Church Infant School</v>
          </cell>
          <cell r="C208">
            <v>1</v>
          </cell>
          <cell r="D208">
            <v>0</v>
          </cell>
          <cell r="E208">
            <v>0</v>
          </cell>
          <cell r="F208">
            <v>270</v>
          </cell>
          <cell r="G208">
            <v>270</v>
          </cell>
          <cell r="H208">
            <v>0</v>
          </cell>
        </row>
        <row r="209">
          <cell r="A209">
            <v>3303374</v>
          </cell>
          <cell r="B209" t="str">
            <v>OUR LADY OF FATIMA SCHOOL</v>
          </cell>
          <cell r="C209">
            <v>1</v>
          </cell>
          <cell r="D209">
            <v>0</v>
          </cell>
          <cell r="E209">
            <v>0</v>
          </cell>
          <cell r="F209">
            <v>210</v>
          </cell>
          <cell r="G209">
            <v>210</v>
          </cell>
          <cell r="H209">
            <v>0</v>
          </cell>
        </row>
        <row r="210">
          <cell r="A210">
            <v>3303386</v>
          </cell>
          <cell r="B210" t="str">
            <v>St Cuthbert's Catholic Primary School</v>
          </cell>
          <cell r="C210">
            <v>1</v>
          </cell>
          <cell r="D210">
            <v>0</v>
          </cell>
          <cell r="E210">
            <v>0</v>
          </cell>
          <cell r="F210">
            <v>212</v>
          </cell>
          <cell r="G210">
            <v>212</v>
          </cell>
          <cell r="H210">
            <v>0</v>
          </cell>
        </row>
        <row r="211">
          <cell r="A211">
            <v>3303401</v>
          </cell>
          <cell r="B211" t="str">
            <v>St. Joseph's Catholic Primary School</v>
          </cell>
          <cell r="C211">
            <v>1</v>
          </cell>
          <cell r="D211">
            <v>0</v>
          </cell>
          <cell r="E211">
            <v>0</v>
          </cell>
          <cell r="F211">
            <v>210</v>
          </cell>
          <cell r="G211">
            <v>210</v>
          </cell>
          <cell r="H211">
            <v>0</v>
          </cell>
        </row>
        <row r="212">
          <cell r="A212">
            <v>3303410</v>
          </cell>
          <cell r="B212" t="str">
            <v>SS. John and  Monica Catholic Primary School</v>
          </cell>
          <cell r="C212">
            <v>1</v>
          </cell>
          <cell r="D212">
            <v>0</v>
          </cell>
          <cell r="E212">
            <v>0</v>
          </cell>
          <cell r="F212">
            <v>213</v>
          </cell>
          <cell r="G212">
            <v>213</v>
          </cell>
          <cell r="H212">
            <v>0</v>
          </cell>
        </row>
        <row r="213">
          <cell r="A213">
            <v>3305202</v>
          </cell>
          <cell r="B213" t="str">
            <v>Walmley Junior School</v>
          </cell>
          <cell r="C213">
            <v>1</v>
          </cell>
          <cell r="D213">
            <v>0</v>
          </cell>
          <cell r="E213">
            <v>0</v>
          </cell>
          <cell r="F213">
            <v>358</v>
          </cell>
          <cell r="G213">
            <v>358</v>
          </cell>
          <cell r="H213">
            <v>0</v>
          </cell>
        </row>
        <row r="214">
          <cell r="A214">
            <v>3302020</v>
          </cell>
          <cell r="B214" t="str">
            <v>Acocks Green Primary School</v>
          </cell>
          <cell r="C214">
            <v>1</v>
          </cell>
          <cell r="D214">
            <v>0</v>
          </cell>
          <cell r="E214">
            <v>0</v>
          </cell>
          <cell r="F214">
            <v>420</v>
          </cell>
          <cell r="G214">
            <v>0</v>
          </cell>
          <cell r="H214">
            <v>0</v>
          </cell>
        </row>
        <row r="215">
          <cell r="A215">
            <v>3302027</v>
          </cell>
          <cell r="B215" t="str">
            <v>BLAKENHALE JUNIOR SCHOOL</v>
          </cell>
          <cell r="C215">
            <v>1</v>
          </cell>
          <cell r="D215">
            <v>0</v>
          </cell>
          <cell r="E215">
            <v>0</v>
          </cell>
          <cell r="F215">
            <v>337</v>
          </cell>
          <cell r="G215">
            <v>0</v>
          </cell>
          <cell r="H215">
            <v>0</v>
          </cell>
        </row>
        <row r="216">
          <cell r="A216">
            <v>3302028</v>
          </cell>
          <cell r="B216" t="str">
            <v>BLAKENHALE INFANT N.C. SCHOOL</v>
          </cell>
          <cell r="C216">
            <v>1</v>
          </cell>
          <cell r="D216">
            <v>0</v>
          </cell>
          <cell r="E216">
            <v>0</v>
          </cell>
          <cell r="F216">
            <v>266</v>
          </cell>
          <cell r="G216">
            <v>0</v>
          </cell>
          <cell r="H216">
            <v>0</v>
          </cell>
        </row>
        <row r="217">
          <cell r="A217">
            <v>3302031</v>
          </cell>
          <cell r="B217" t="str">
            <v>Matthew Boulton School</v>
          </cell>
          <cell r="C217">
            <v>1</v>
          </cell>
          <cell r="D217">
            <v>0</v>
          </cell>
          <cell r="E217">
            <v>0</v>
          </cell>
          <cell r="F217">
            <v>195</v>
          </cell>
          <cell r="G217">
            <v>0</v>
          </cell>
          <cell r="H217">
            <v>0</v>
          </cell>
        </row>
        <row r="218">
          <cell r="A218">
            <v>3302044</v>
          </cell>
          <cell r="B218" t="str">
            <v>CITY ROAD J/I (NC)</v>
          </cell>
          <cell r="C218">
            <v>1</v>
          </cell>
          <cell r="D218">
            <v>0</v>
          </cell>
          <cell r="E218">
            <v>0</v>
          </cell>
          <cell r="F218">
            <v>394</v>
          </cell>
          <cell r="G218">
            <v>0</v>
          </cell>
          <cell r="H218">
            <v>0</v>
          </cell>
        </row>
        <row r="219">
          <cell r="A219">
            <v>3302064</v>
          </cell>
          <cell r="B219" t="str">
            <v>The Oaklands Primary School</v>
          </cell>
          <cell r="C219">
            <v>1</v>
          </cell>
          <cell r="D219">
            <v>0</v>
          </cell>
          <cell r="E219">
            <v>0</v>
          </cell>
          <cell r="F219">
            <v>209</v>
          </cell>
          <cell r="G219">
            <v>0</v>
          </cell>
          <cell r="H219">
            <v>0</v>
          </cell>
        </row>
        <row r="220">
          <cell r="A220">
            <v>3302106</v>
          </cell>
          <cell r="B220" t="str">
            <v>HOBMOOR PRIMARY SCHOOL</v>
          </cell>
          <cell r="C220">
            <v>1</v>
          </cell>
          <cell r="D220">
            <v>0</v>
          </cell>
          <cell r="E220">
            <v>0</v>
          </cell>
          <cell r="F220">
            <v>406</v>
          </cell>
          <cell r="G220">
            <v>0</v>
          </cell>
          <cell r="H220">
            <v>0</v>
          </cell>
        </row>
        <row r="221">
          <cell r="A221">
            <v>3302200</v>
          </cell>
          <cell r="B221" t="str">
            <v>Tiverton J I (NC) School</v>
          </cell>
          <cell r="C221">
            <v>1</v>
          </cell>
          <cell r="D221">
            <v>0</v>
          </cell>
          <cell r="E221">
            <v>0</v>
          </cell>
          <cell r="F221">
            <v>170</v>
          </cell>
          <cell r="G221">
            <v>0</v>
          </cell>
          <cell r="H221">
            <v>0</v>
          </cell>
        </row>
        <row r="222">
          <cell r="A222">
            <v>3302203</v>
          </cell>
          <cell r="B222" t="str">
            <v>Short Heath Primary School</v>
          </cell>
          <cell r="C222">
            <v>1</v>
          </cell>
          <cell r="D222">
            <v>0</v>
          </cell>
          <cell r="E222">
            <v>0</v>
          </cell>
          <cell r="F222">
            <v>396</v>
          </cell>
          <cell r="G222">
            <v>0</v>
          </cell>
          <cell r="H222">
            <v>0</v>
          </cell>
        </row>
        <row r="223">
          <cell r="A223">
            <v>3302224</v>
          </cell>
          <cell r="B223" t="str">
            <v>Woodhouse Primary School</v>
          </cell>
          <cell r="C223">
            <v>1</v>
          </cell>
          <cell r="D223">
            <v>0</v>
          </cell>
          <cell r="E223">
            <v>0</v>
          </cell>
          <cell r="F223">
            <v>395</v>
          </cell>
          <cell r="G223">
            <v>0</v>
          </cell>
          <cell r="H223">
            <v>0</v>
          </cell>
        </row>
        <row r="224">
          <cell r="A224">
            <v>3302229</v>
          </cell>
          <cell r="B224" t="str">
            <v>Yarnfield Primary School</v>
          </cell>
          <cell r="C224">
            <v>1</v>
          </cell>
          <cell r="D224">
            <v>0</v>
          </cell>
          <cell r="E224">
            <v>0</v>
          </cell>
          <cell r="F224">
            <v>600</v>
          </cell>
          <cell r="G224">
            <v>0</v>
          </cell>
          <cell r="H224">
            <v>0</v>
          </cell>
        </row>
        <row r="225">
          <cell r="A225">
            <v>3302249</v>
          </cell>
          <cell r="B225" t="str">
            <v>Ley Hill Junior and Infant (NC) School</v>
          </cell>
          <cell r="C225">
            <v>1</v>
          </cell>
          <cell r="D225">
            <v>0</v>
          </cell>
          <cell r="E225">
            <v>0</v>
          </cell>
          <cell r="F225">
            <v>184</v>
          </cell>
          <cell r="G225">
            <v>0</v>
          </cell>
          <cell r="H225">
            <v>0</v>
          </cell>
        </row>
        <row r="226">
          <cell r="A226">
            <v>3302295</v>
          </cell>
          <cell r="B226" t="str">
            <v>Brookvale Primary School</v>
          </cell>
          <cell r="C226">
            <v>1</v>
          </cell>
          <cell r="D226">
            <v>0</v>
          </cell>
          <cell r="E226">
            <v>0</v>
          </cell>
          <cell r="F226">
            <v>210</v>
          </cell>
          <cell r="G226">
            <v>0</v>
          </cell>
          <cell r="H226">
            <v>0</v>
          </cell>
        </row>
        <row r="227">
          <cell r="A227">
            <v>3302310</v>
          </cell>
          <cell r="B227" t="str">
            <v>Fairway Primary School</v>
          </cell>
          <cell r="C227">
            <v>1</v>
          </cell>
          <cell r="D227">
            <v>0</v>
          </cell>
          <cell r="E227">
            <v>0</v>
          </cell>
          <cell r="F227">
            <v>187</v>
          </cell>
          <cell r="G227">
            <v>0</v>
          </cell>
          <cell r="H227">
            <v>0</v>
          </cell>
        </row>
        <row r="228">
          <cell r="A228">
            <v>3302439</v>
          </cell>
          <cell r="B228" t="str">
            <v>Tame Valley Community School</v>
          </cell>
          <cell r="C228">
            <v>1</v>
          </cell>
          <cell r="D228">
            <v>0</v>
          </cell>
          <cell r="E228">
            <v>0</v>
          </cell>
          <cell r="F228">
            <v>204</v>
          </cell>
          <cell r="G228">
            <v>0</v>
          </cell>
          <cell r="H228">
            <v>0</v>
          </cell>
        </row>
        <row r="229">
          <cell r="A229">
            <v>3302444</v>
          </cell>
          <cell r="B229" t="str">
            <v>Trescott Primary School</v>
          </cell>
          <cell r="C229">
            <v>1</v>
          </cell>
          <cell r="D229">
            <v>0</v>
          </cell>
          <cell r="E229">
            <v>0</v>
          </cell>
          <cell r="F229">
            <v>170</v>
          </cell>
          <cell r="G229">
            <v>0</v>
          </cell>
          <cell r="H229">
            <v>0</v>
          </cell>
        </row>
        <row r="230">
          <cell r="A230">
            <v>3302446</v>
          </cell>
          <cell r="B230" t="str">
            <v>RIDPOOL PRIMARY &amp; NURSERY SCHOOL</v>
          </cell>
          <cell r="C230">
            <v>1</v>
          </cell>
          <cell r="D230">
            <v>0</v>
          </cell>
          <cell r="E230">
            <v>0</v>
          </cell>
          <cell r="F230">
            <v>378</v>
          </cell>
          <cell r="G230">
            <v>0</v>
          </cell>
          <cell r="H230">
            <v>0</v>
          </cell>
        </row>
        <row r="231">
          <cell r="A231">
            <v>3302452</v>
          </cell>
          <cell r="B231" t="str">
            <v>Pegasus Primary School</v>
          </cell>
          <cell r="C231">
            <v>1</v>
          </cell>
          <cell r="D231">
            <v>0</v>
          </cell>
          <cell r="E231">
            <v>0</v>
          </cell>
          <cell r="F231">
            <v>199</v>
          </cell>
          <cell r="G231">
            <v>0</v>
          </cell>
          <cell r="H231">
            <v>0</v>
          </cell>
        </row>
        <row r="232">
          <cell r="A232">
            <v>3302458</v>
          </cell>
          <cell r="B232" t="str">
            <v>Parkfield Primary School</v>
          </cell>
          <cell r="C232">
            <v>1</v>
          </cell>
          <cell r="D232">
            <v>0</v>
          </cell>
          <cell r="E232">
            <v>0</v>
          </cell>
          <cell r="F232">
            <v>688</v>
          </cell>
          <cell r="G232">
            <v>0</v>
          </cell>
          <cell r="H232">
            <v>0</v>
          </cell>
        </row>
        <row r="233">
          <cell r="A233">
            <v>3302460</v>
          </cell>
          <cell r="B233" t="str">
            <v>Robin Hood Primary School</v>
          </cell>
          <cell r="C233">
            <v>1</v>
          </cell>
          <cell r="D233">
            <v>0</v>
          </cell>
          <cell r="E233">
            <v>0</v>
          </cell>
          <cell r="F233">
            <v>479</v>
          </cell>
          <cell r="G233">
            <v>0</v>
          </cell>
          <cell r="H233">
            <v>0</v>
          </cell>
        </row>
        <row r="234">
          <cell r="A234">
            <v>3302461</v>
          </cell>
          <cell r="B234" t="str">
            <v>Mansfield Green Community School</v>
          </cell>
          <cell r="C234">
            <v>1</v>
          </cell>
          <cell r="D234">
            <v>0</v>
          </cell>
          <cell r="E234">
            <v>0</v>
          </cell>
          <cell r="F234">
            <v>401</v>
          </cell>
          <cell r="G234">
            <v>0</v>
          </cell>
          <cell r="H234">
            <v>0</v>
          </cell>
        </row>
        <row r="235">
          <cell r="A235">
            <v>3302463</v>
          </cell>
          <cell r="B235" t="str">
            <v>Mere Green Combined School</v>
          </cell>
          <cell r="C235">
            <v>1</v>
          </cell>
          <cell r="D235">
            <v>0</v>
          </cell>
          <cell r="E235">
            <v>0</v>
          </cell>
          <cell r="F235">
            <v>185</v>
          </cell>
          <cell r="G235">
            <v>0</v>
          </cell>
          <cell r="H235">
            <v>0</v>
          </cell>
        </row>
        <row r="236">
          <cell r="A236">
            <v>3302468</v>
          </cell>
          <cell r="B236" t="str">
            <v>Reaside Junior School</v>
          </cell>
          <cell r="C236">
            <v>1</v>
          </cell>
          <cell r="D236">
            <v>0</v>
          </cell>
          <cell r="E236">
            <v>0</v>
          </cell>
          <cell r="F236">
            <v>178</v>
          </cell>
          <cell r="G236">
            <v>0</v>
          </cell>
          <cell r="H236">
            <v>0</v>
          </cell>
        </row>
        <row r="237">
          <cell r="A237">
            <v>3302473</v>
          </cell>
          <cell r="B237" t="str">
            <v>Grestone Primary School</v>
          </cell>
          <cell r="C237">
            <v>1</v>
          </cell>
          <cell r="D237">
            <v>0</v>
          </cell>
          <cell r="E237">
            <v>0</v>
          </cell>
          <cell r="F237">
            <v>571</v>
          </cell>
          <cell r="G237">
            <v>0</v>
          </cell>
          <cell r="H237">
            <v>0</v>
          </cell>
        </row>
        <row r="238">
          <cell r="A238">
            <v>3302483</v>
          </cell>
          <cell r="B238" t="str">
            <v>Woodview Primary School</v>
          </cell>
          <cell r="C238">
            <v>1</v>
          </cell>
          <cell r="D238">
            <v>0</v>
          </cell>
          <cell r="E238">
            <v>0</v>
          </cell>
          <cell r="F238">
            <v>192</v>
          </cell>
          <cell r="G238">
            <v>0</v>
          </cell>
          <cell r="H238">
            <v>0</v>
          </cell>
        </row>
        <row r="239">
          <cell r="A239">
            <v>3303015</v>
          </cell>
          <cell r="B239" t="str">
            <v>ST. MARY'S C.E.J.I. SCHOOL</v>
          </cell>
          <cell r="C239">
            <v>1</v>
          </cell>
          <cell r="D239">
            <v>0</v>
          </cell>
          <cell r="E239">
            <v>0</v>
          </cell>
          <cell r="F239">
            <v>314</v>
          </cell>
          <cell r="G239">
            <v>0</v>
          </cell>
          <cell r="H239">
            <v>0</v>
          </cell>
        </row>
        <row r="240">
          <cell r="A240">
            <v>3303026</v>
          </cell>
          <cell r="B240" t="str">
            <v>St.George's C.E.Junior/Infant School</v>
          </cell>
          <cell r="C240">
            <v>1</v>
          </cell>
          <cell r="D240">
            <v>0</v>
          </cell>
          <cell r="E240">
            <v>0</v>
          </cell>
          <cell r="F240">
            <v>198</v>
          </cell>
          <cell r="G240">
            <v>0</v>
          </cell>
          <cell r="H240">
            <v>0</v>
          </cell>
        </row>
        <row r="241">
          <cell r="A241">
            <v>3303305</v>
          </cell>
          <cell r="B241" t="str">
            <v>St. George's C.E. Primary School</v>
          </cell>
          <cell r="C241">
            <v>1</v>
          </cell>
          <cell r="D241">
            <v>0</v>
          </cell>
          <cell r="E241">
            <v>0</v>
          </cell>
          <cell r="F241">
            <v>204</v>
          </cell>
          <cell r="G241">
            <v>0</v>
          </cell>
          <cell r="H241">
            <v>0</v>
          </cell>
        </row>
        <row r="242">
          <cell r="A242">
            <v>3303306</v>
          </cell>
          <cell r="B242" t="str">
            <v>St John's CE Primary School</v>
          </cell>
          <cell r="C242">
            <v>1</v>
          </cell>
          <cell r="D242">
            <v>0</v>
          </cell>
          <cell r="E242">
            <v>0</v>
          </cell>
          <cell r="F242">
            <v>420</v>
          </cell>
          <cell r="G242">
            <v>0</v>
          </cell>
          <cell r="H242">
            <v>0</v>
          </cell>
        </row>
        <row r="243">
          <cell r="A243">
            <v>3303311</v>
          </cell>
          <cell r="B243" t="str">
            <v>St. Michael's C.E. Primary School</v>
          </cell>
          <cell r="C243">
            <v>1</v>
          </cell>
          <cell r="D243">
            <v>0</v>
          </cell>
          <cell r="E243">
            <v>0</v>
          </cell>
          <cell r="F243">
            <v>268</v>
          </cell>
          <cell r="G243">
            <v>0</v>
          </cell>
          <cell r="H243">
            <v>0</v>
          </cell>
        </row>
        <row r="244">
          <cell r="A244">
            <v>3303419</v>
          </cell>
          <cell r="B244" t="str">
            <v>HAWKESLEY CHURCH PRIMARY SCH</v>
          </cell>
          <cell r="C244">
            <v>1</v>
          </cell>
          <cell r="D244">
            <v>0</v>
          </cell>
          <cell r="E244">
            <v>0</v>
          </cell>
          <cell r="F244">
            <v>204</v>
          </cell>
          <cell r="G244">
            <v>0</v>
          </cell>
          <cell r="H244">
            <v>0</v>
          </cell>
        </row>
        <row r="245">
          <cell r="A245">
            <v>3303420</v>
          </cell>
          <cell r="B245" t="str">
            <v>FOUR DWELLINGS PRIMARY SCHOOL</v>
          </cell>
          <cell r="C245">
            <v>1</v>
          </cell>
          <cell r="D245">
            <v>0</v>
          </cell>
          <cell r="E245">
            <v>0</v>
          </cell>
          <cell r="F245">
            <v>377</v>
          </cell>
          <cell r="G245">
            <v>0</v>
          </cell>
          <cell r="H245">
            <v>0</v>
          </cell>
        </row>
        <row r="246">
          <cell r="A246">
            <v>3303429</v>
          </cell>
          <cell r="B246" t="str">
            <v>Hill West Primary School</v>
          </cell>
          <cell r="C246">
            <v>1</v>
          </cell>
          <cell r="D246">
            <v>0</v>
          </cell>
          <cell r="E246">
            <v>0</v>
          </cell>
          <cell r="F246">
            <v>400</v>
          </cell>
          <cell r="G246">
            <v>0</v>
          </cell>
          <cell r="H246">
            <v>0</v>
          </cell>
        </row>
        <row r="247">
          <cell r="A247">
            <v>3303434</v>
          </cell>
          <cell r="B247" t="str">
            <v>Moor Green Primary School</v>
          </cell>
          <cell r="C247">
            <v>1</v>
          </cell>
          <cell r="D247">
            <v>0</v>
          </cell>
          <cell r="E247">
            <v>0</v>
          </cell>
          <cell r="F247">
            <v>248</v>
          </cell>
          <cell r="G247">
            <v>0</v>
          </cell>
          <cell r="H247">
            <v>0</v>
          </cell>
        </row>
        <row r="248">
          <cell r="A248">
            <v>3302036</v>
          </cell>
          <cell r="B248" t="str">
            <v>Erdington Hall Primary School</v>
          </cell>
          <cell r="C248">
            <v>1</v>
          </cell>
          <cell r="D248">
            <v>0</v>
          </cell>
          <cell r="E248">
            <v>0</v>
          </cell>
          <cell r="F248">
            <v>409</v>
          </cell>
          <cell r="G248">
            <v>0</v>
          </cell>
          <cell r="H248">
            <v>0</v>
          </cell>
        </row>
        <row r="249">
          <cell r="A249">
            <v>3302037</v>
          </cell>
          <cell r="B249" t="str">
            <v>Slade Junior/Infants School</v>
          </cell>
          <cell r="C249">
            <v>1</v>
          </cell>
          <cell r="D249">
            <v>0</v>
          </cell>
          <cell r="E249">
            <v>0</v>
          </cell>
          <cell r="F249">
            <v>234</v>
          </cell>
          <cell r="G249">
            <v>0</v>
          </cell>
          <cell r="H249">
            <v>0</v>
          </cell>
        </row>
        <row r="250">
          <cell r="A250">
            <v>3302038</v>
          </cell>
          <cell r="B250" t="str">
            <v>Nansen Primary School</v>
          </cell>
          <cell r="C250">
            <v>1</v>
          </cell>
          <cell r="D250">
            <v>0</v>
          </cell>
          <cell r="E250">
            <v>0</v>
          </cell>
          <cell r="F250">
            <v>739</v>
          </cell>
          <cell r="G250">
            <v>0</v>
          </cell>
          <cell r="H250">
            <v>0</v>
          </cell>
        </row>
        <row r="251">
          <cell r="A251">
            <v>3302041</v>
          </cell>
          <cell r="B251" t="str">
            <v>ARK Rose Primary Academy</v>
          </cell>
          <cell r="C251">
            <v>1</v>
          </cell>
          <cell r="D251">
            <v>0</v>
          </cell>
          <cell r="E251">
            <v>0</v>
          </cell>
          <cell r="F251">
            <v>148</v>
          </cell>
          <cell r="G251">
            <v>0</v>
          </cell>
          <cell r="H251">
            <v>0</v>
          </cell>
        </row>
        <row r="252">
          <cell r="A252">
            <v>3302047</v>
          </cell>
          <cell r="B252" t="str">
            <v>Chilwell Croft Academy</v>
          </cell>
          <cell r="C252">
            <v>1</v>
          </cell>
          <cell r="D252">
            <v>0</v>
          </cell>
          <cell r="E252">
            <v>0</v>
          </cell>
          <cell r="F252">
            <v>321</v>
          </cell>
          <cell r="G252">
            <v>0</v>
          </cell>
          <cell r="H252">
            <v>0</v>
          </cell>
        </row>
        <row r="253">
          <cell r="A253">
            <v>3302048</v>
          </cell>
          <cell r="B253" t="str">
            <v>Nechells JI School</v>
          </cell>
          <cell r="C253">
            <v>1</v>
          </cell>
          <cell r="D253">
            <v>0</v>
          </cell>
          <cell r="E253">
            <v>0</v>
          </cell>
          <cell r="F253">
            <v>196</v>
          </cell>
          <cell r="G253">
            <v>0</v>
          </cell>
          <cell r="H253">
            <v>0</v>
          </cell>
        </row>
        <row r="254">
          <cell r="A254">
            <v>3302056</v>
          </cell>
          <cell r="B254" t="str">
            <v>Ark Tindal Primary School</v>
          </cell>
          <cell r="C254">
            <v>1</v>
          </cell>
          <cell r="D254">
            <v>0</v>
          </cell>
          <cell r="E254">
            <v>0</v>
          </cell>
          <cell r="F254">
            <v>353</v>
          </cell>
          <cell r="G254">
            <v>0</v>
          </cell>
          <cell r="H254">
            <v>0</v>
          </cell>
        </row>
        <row r="255">
          <cell r="A255">
            <v>3302057</v>
          </cell>
          <cell r="B255" t="str">
            <v>Percy Shurmer Academy</v>
          </cell>
          <cell r="C255">
            <v>1</v>
          </cell>
          <cell r="D255">
            <v>0</v>
          </cell>
          <cell r="E255">
            <v>0</v>
          </cell>
          <cell r="F255">
            <v>387</v>
          </cell>
          <cell r="G255">
            <v>0</v>
          </cell>
          <cell r="H255">
            <v>0</v>
          </cell>
        </row>
        <row r="256">
          <cell r="A256">
            <v>3302059</v>
          </cell>
          <cell r="B256" t="str">
            <v>St. Clements C. of E. Primary Academy, Nechells</v>
          </cell>
          <cell r="C256">
            <v>1</v>
          </cell>
          <cell r="D256">
            <v>0</v>
          </cell>
          <cell r="E256">
            <v>0</v>
          </cell>
          <cell r="F256">
            <v>174</v>
          </cell>
          <cell r="G256">
            <v>0</v>
          </cell>
          <cell r="H256">
            <v>0</v>
          </cell>
        </row>
        <row r="257">
          <cell r="A257">
            <v>3302061</v>
          </cell>
          <cell r="B257" t="str">
            <v>St Michael's CofE Primary Academy, Handsworth</v>
          </cell>
          <cell r="C257">
            <v>1</v>
          </cell>
          <cell r="D257">
            <v>0</v>
          </cell>
          <cell r="E257">
            <v>0</v>
          </cell>
          <cell r="F257">
            <v>168</v>
          </cell>
          <cell r="G257">
            <v>0</v>
          </cell>
          <cell r="H257">
            <v>0</v>
          </cell>
        </row>
        <row r="258">
          <cell r="A258">
            <v>3302065</v>
          </cell>
          <cell r="B258" t="str">
            <v>Dorrington Academy</v>
          </cell>
          <cell r="C258">
            <v>1</v>
          </cell>
          <cell r="D258">
            <v>0</v>
          </cell>
          <cell r="E258">
            <v>0</v>
          </cell>
          <cell r="F258">
            <v>585</v>
          </cell>
          <cell r="G258">
            <v>0</v>
          </cell>
          <cell r="H258">
            <v>0</v>
          </cell>
        </row>
        <row r="259">
          <cell r="A259">
            <v>3302068</v>
          </cell>
          <cell r="B259" t="str">
            <v>WARREN FARM PRIMARY SCHOOL</v>
          </cell>
          <cell r="C259">
            <v>1</v>
          </cell>
          <cell r="D259">
            <v>0</v>
          </cell>
          <cell r="E259">
            <v>0</v>
          </cell>
          <cell r="F259">
            <v>262</v>
          </cell>
          <cell r="G259">
            <v>0</v>
          </cell>
          <cell r="H259">
            <v>0</v>
          </cell>
        </row>
        <row r="260">
          <cell r="A260">
            <v>3302070</v>
          </cell>
          <cell r="B260" t="str">
            <v>Montgomery Primary Academy</v>
          </cell>
          <cell r="C260">
            <v>1</v>
          </cell>
          <cell r="D260">
            <v>0</v>
          </cell>
          <cell r="E260">
            <v>0</v>
          </cell>
          <cell r="F260">
            <v>617</v>
          </cell>
          <cell r="G260">
            <v>0</v>
          </cell>
          <cell r="H260">
            <v>0</v>
          </cell>
        </row>
        <row r="261">
          <cell r="A261">
            <v>3302085</v>
          </cell>
          <cell r="B261" t="str">
            <v>Greenholm Primary School</v>
          </cell>
          <cell r="C261">
            <v>1</v>
          </cell>
          <cell r="D261">
            <v>0</v>
          </cell>
          <cell r="E261">
            <v>0</v>
          </cell>
          <cell r="F261">
            <v>408</v>
          </cell>
          <cell r="G261">
            <v>0</v>
          </cell>
          <cell r="H261">
            <v>0</v>
          </cell>
        </row>
        <row r="262">
          <cell r="A262">
            <v>3302151</v>
          </cell>
          <cell r="B262" t="str">
            <v>Kings Rise Community Primary School (RS)</v>
          </cell>
          <cell r="C262">
            <v>1</v>
          </cell>
          <cell r="D262">
            <v>0</v>
          </cell>
          <cell r="E262">
            <v>0</v>
          </cell>
          <cell r="F262">
            <v>177</v>
          </cell>
          <cell r="G262">
            <v>0</v>
          </cell>
          <cell r="H262">
            <v>0</v>
          </cell>
        </row>
        <row r="263">
          <cell r="A263">
            <v>3302172</v>
          </cell>
          <cell r="B263" t="str">
            <v>SHIRESTONE COMMUNITY PRIMARY</v>
          </cell>
          <cell r="C263">
            <v>1</v>
          </cell>
          <cell r="D263">
            <v>0</v>
          </cell>
          <cell r="E263">
            <v>0</v>
          </cell>
          <cell r="F263">
            <v>198</v>
          </cell>
          <cell r="G263">
            <v>0</v>
          </cell>
          <cell r="H263">
            <v>0</v>
          </cell>
        </row>
        <row r="264">
          <cell r="A264">
            <v>3302182</v>
          </cell>
          <cell r="B264" t="str">
            <v>Oldknow Academy</v>
          </cell>
          <cell r="C264">
            <v>1</v>
          </cell>
          <cell r="D264">
            <v>0</v>
          </cell>
          <cell r="E264">
            <v>0</v>
          </cell>
          <cell r="F264">
            <v>600</v>
          </cell>
          <cell r="G264">
            <v>0</v>
          </cell>
          <cell r="H264">
            <v>0</v>
          </cell>
        </row>
        <row r="265">
          <cell r="A265">
            <v>3302195</v>
          </cell>
          <cell r="B265" t="str">
            <v>Timberley Academy</v>
          </cell>
          <cell r="C265">
            <v>1</v>
          </cell>
          <cell r="D265">
            <v>0</v>
          </cell>
          <cell r="E265">
            <v>0</v>
          </cell>
          <cell r="F265">
            <v>392</v>
          </cell>
          <cell r="G265">
            <v>0</v>
          </cell>
          <cell r="H265">
            <v>0</v>
          </cell>
        </row>
        <row r="266">
          <cell r="A266">
            <v>3302450</v>
          </cell>
          <cell r="B266" t="str">
            <v>Great Barr Primary &amp; Nursery School</v>
          </cell>
          <cell r="C266">
            <v>1</v>
          </cell>
          <cell r="D266">
            <v>0</v>
          </cell>
          <cell r="E266">
            <v>0</v>
          </cell>
          <cell r="F266">
            <v>405</v>
          </cell>
          <cell r="G266">
            <v>0</v>
          </cell>
          <cell r="H266">
            <v>0</v>
          </cell>
        </row>
        <row r="267">
          <cell r="A267">
            <v>3302476</v>
          </cell>
          <cell r="B267" t="str">
            <v>Billesley Primary School</v>
          </cell>
          <cell r="C267">
            <v>1</v>
          </cell>
          <cell r="D267">
            <v>0</v>
          </cell>
          <cell r="E267">
            <v>0</v>
          </cell>
          <cell r="F267">
            <v>373</v>
          </cell>
          <cell r="G267">
            <v>0</v>
          </cell>
          <cell r="H267">
            <v>0</v>
          </cell>
        </row>
        <row r="268">
          <cell r="A268">
            <v>3302481</v>
          </cell>
          <cell r="B268" t="str">
            <v>Rookery School and Children's Centre</v>
          </cell>
          <cell r="C268">
            <v>1</v>
          </cell>
          <cell r="D268">
            <v>0</v>
          </cell>
          <cell r="E268">
            <v>0</v>
          </cell>
          <cell r="F268">
            <v>415</v>
          </cell>
          <cell r="G268">
            <v>0</v>
          </cell>
          <cell r="H268">
            <v>0</v>
          </cell>
        </row>
        <row r="269">
          <cell r="A269">
            <v>3303011</v>
          </cell>
          <cell r="B269" t="str">
            <v>ST JOHN'S Ladywood C of E Primary School</v>
          </cell>
          <cell r="C269">
            <v>1</v>
          </cell>
          <cell r="D269">
            <v>0</v>
          </cell>
          <cell r="E269">
            <v>0</v>
          </cell>
          <cell r="F269">
            <v>176</v>
          </cell>
          <cell r="G269">
            <v>0</v>
          </cell>
          <cell r="H269">
            <v>0</v>
          </cell>
        </row>
        <row r="270">
          <cell r="A270">
            <v>3305201</v>
          </cell>
          <cell r="B270" t="str">
            <v>Deanery C.E. Primary School</v>
          </cell>
          <cell r="C270">
            <v>1</v>
          </cell>
          <cell r="D270">
            <v>0</v>
          </cell>
          <cell r="E270">
            <v>0</v>
          </cell>
          <cell r="F270">
            <v>412</v>
          </cell>
          <cell r="G270">
            <v>0</v>
          </cell>
          <cell r="H270">
            <v>0</v>
          </cell>
        </row>
        <row r="271">
          <cell r="A271">
            <v>3302025</v>
          </cell>
          <cell r="B271" t="str">
            <v>Birches Green Infant School</v>
          </cell>
          <cell r="C271">
            <v>1</v>
          </cell>
          <cell r="D271">
            <v>0</v>
          </cell>
          <cell r="E271">
            <v>0</v>
          </cell>
          <cell r="F271">
            <v>180</v>
          </cell>
          <cell r="G271">
            <v>179</v>
          </cell>
          <cell r="H271">
            <v>-1</v>
          </cell>
        </row>
        <row r="272">
          <cell r="A272">
            <v>3302054</v>
          </cell>
          <cell r="B272" t="str">
            <v>Colmore Infant and Nursery School</v>
          </cell>
          <cell r="C272">
            <v>1</v>
          </cell>
          <cell r="D272">
            <v>0</v>
          </cell>
          <cell r="E272">
            <v>0</v>
          </cell>
          <cell r="F272">
            <v>361</v>
          </cell>
          <cell r="G272">
            <v>360</v>
          </cell>
          <cell r="H272">
            <v>-1</v>
          </cell>
        </row>
        <row r="273">
          <cell r="A273">
            <v>3302093</v>
          </cell>
          <cell r="B273" t="str">
            <v>Hall Green Infant School</v>
          </cell>
          <cell r="C273">
            <v>1</v>
          </cell>
          <cell r="D273">
            <v>0</v>
          </cell>
          <cell r="E273">
            <v>0</v>
          </cell>
          <cell r="F273">
            <v>360</v>
          </cell>
          <cell r="G273">
            <v>359</v>
          </cell>
          <cell r="H273">
            <v>-1</v>
          </cell>
        </row>
        <row r="274">
          <cell r="A274">
            <v>3302189</v>
          </cell>
          <cell r="B274" t="str">
            <v>Ladypool Primary School</v>
          </cell>
          <cell r="C274">
            <v>1</v>
          </cell>
          <cell r="D274">
            <v>0</v>
          </cell>
          <cell r="E274">
            <v>0</v>
          </cell>
          <cell r="F274">
            <v>420</v>
          </cell>
          <cell r="G274">
            <v>419</v>
          </cell>
          <cell r="H274">
            <v>-1</v>
          </cell>
        </row>
        <row r="275">
          <cell r="A275">
            <v>3302276</v>
          </cell>
          <cell r="B275" t="str">
            <v>Wilkes Green Infant School (NC)</v>
          </cell>
          <cell r="C275">
            <v>1</v>
          </cell>
          <cell r="D275">
            <v>0</v>
          </cell>
          <cell r="E275">
            <v>0</v>
          </cell>
          <cell r="F275">
            <v>267</v>
          </cell>
          <cell r="G275">
            <v>266</v>
          </cell>
          <cell r="H275">
            <v>-1</v>
          </cell>
        </row>
        <row r="276">
          <cell r="A276">
            <v>3302416</v>
          </cell>
          <cell r="B276" t="str">
            <v>Moor Hall Primary School</v>
          </cell>
          <cell r="C276">
            <v>1</v>
          </cell>
          <cell r="D276">
            <v>0</v>
          </cell>
          <cell r="E276">
            <v>0</v>
          </cell>
          <cell r="F276">
            <v>211</v>
          </cell>
          <cell r="G276">
            <v>210</v>
          </cell>
          <cell r="H276">
            <v>-1</v>
          </cell>
        </row>
        <row r="277">
          <cell r="A277">
            <v>3302425</v>
          </cell>
          <cell r="B277" t="str">
            <v>Penns Primary School</v>
          </cell>
          <cell r="C277">
            <v>1</v>
          </cell>
          <cell r="D277">
            <v>0</v>
          </cell>
          <cell r="E277">
            <v>0</v>
          </cell>
          <cell r="F277">
            <v>210</v>
          </cell>
          <cell r="G277">
            <v>209</v>
          </cell>
          <cell r="H277">
            <v>-1</v>
          </cell>
        </row>
        <row r="278">
          <cell r="A278">
            <v>3303318</v>
          </cell>
          <cell r="B278" t="str">
            <v>Abbey Catholic Primary School</v>
          </cell>
          <cell r="C278">
            <v>1</v>
          </cell>
          <cell r="D278">
            <v>0</v>
          </cell>
          <cell r="E278">
            <v>0</v>
          </cell>
          <cell r="F278">
            <v>413</v>
          </cell>
          <cell r="G278">
            <v>412</v>
          </cell>
          <cell r="H278">
            <v>-1</v>
          </cell>
        </row>
        <row r="279">
          <cell r="A279">
            <v>3303362</v>
          </cell>
          <cell r="B279" t="str">
            <v>Ss.PETER &amp; PAUL</v>
          </cell>
          <cell r="C279">
            <v>1</v>
          </cell>
          <cell r="D279">
            <v>0</v>
          </cell>
          <cell r="E279">
            <v>0</v>
          </cell>
          <cell r="F279">
            <v>210</v>
          </cell>
          <cell r="G279">
            <v>209</v>
          </cell>
          <cell r="H279">
            <v>-1</v>
          </cell>
        </row>
        <row r="280">
          <cell r="A280">
            <v>3303366</v>
          </cell>
          <cell r="B280" t="str">
            <v>St Paul's Catholic Primary School</v>
          </cell>
          <cell r="C280">
            <v>1</v>
          </cell>
          <cell r="D280">
            <v>0</v>
          </cell>
          <cell r="E280">
            <v>0</v>
          </cell>
          <cell r="F280">
            <v>190</v>
          </cell>
          <cell r="G280">
            <v>189</v>
          </cell>
          <cell r="H280">
            <v>-1</v>
          </cell>
        </row>
        <row r="281">
          <cell r="A281">
            <v>3305203</v>
          </cell>
          <cell r="B281" t="str">
            <v>Walmley Infant School</v>
          </cell>
          <cell r="C281">
            <v>1</v>
          </cell>
          <cell r="D281">
            <v>0</v>
          </cell>
          <cell r="E281">
            <v>0</v>
          </cell>
          <cell r="F281">
            <v>271</v>
          </cell>
          <cell r="G281">
            <v>270</v>
          </cell>
          <cell r="H281">
            <v>-1</v>
          </cell>
        </row>
        <row r="282">
          <cell r="A282">
            <v>3302008</v>
          </cell>
          <cell r="B282" t="str">
            <v>Shaw Hill Primary School</v>
          </cell>
          <cell r="C282">
            <v>1</v>
          </cell>
          <cell r="D282">
            <v>0</v>
          </cell>
          <cell r="E282">
            <v>0</v>
          </cell>
          <cell r="F282">
            <v>422</v>
          </cell>
          <cell r="G282">
            <v>420</v>
          </cell>
          <cell r="H282">
            <v>-2</v>
          </cell>
        </row>
        <row r="283">
          <cell r="A283">
            <v>3302477</v>
          </cell>
          <cell r="B283" t="str">
            <v>HARBORNE PRIMARY SCHOOL</v>
          </cell>
          <cell r="C283">
            <v>1</v>
          </cell>
          <cell r="D283">
            <v>0</v>
          </cell>
          <cell r="E283">
            <v>0</v>
          </cell>
          <cell r="F283">
            <v>629</v>
          </cell>
          <cell r="G283">
            <v>627</v>
          </cell>
          <cell r="H283">
            <v>-2</v>
          </cell>
        </row>
        <row r="284">
          <cell r="A284">
            <v>3303347</v>
          </cell>
          <cell r="B284" t="str">
            <v>St.Edmund Catholic Primary School</v>
          </cell>
          <cell r="C284">
            <v>1</v>
          </cell>
          <cell r="D284">
            <v>0</v>
          </cell>
          <cell r="E284">
            <v>0</v>
          </cell>
          <cell r="F284">
            <v>188</v>
          </cell>
          <cell r="G284">
            <v>186</v>
          </cell>
          <cell r="H284">
            <v>-2</v>
          </cell>
        </row>
        <row r="285">
          <cell r="A285">
            <v>3302118</v>
          </cell>
          <cell r="B285" t="str">
            <v>Kings Norton Primary School</v>
          </cell>
          <cell r="C285">
            <v>1</v>
          </cell>
          <cell r="D285">
            <v>0</v>
          </cell>
          <cell r="E285">
            <v>0</v>
          </cell>
          <cell r="F285">
            <v>413</v>
          </cell>
          <cell r="G285">
            <v>410</v>
          </cell>
          <cell r="H285">
            <v>-3</v>
          </cell>
        </row>
        <row r="286">
          <cell r="A286">
            <v>3302231</v>
          </cell>
          <cell r="B286" t="str">
            <v>Yorkmead Primary School</v>
          </cell>
          <cell r="C286">
            <v>1</v>
          </cell>
          <cell r="D286">
            <v>0</v>
          </cell>
          <cell r="E286">
            <v>0</v>
          </cell>
          <cell r="F286">
            <v>420</v>
          </cell>
          <cell r="G286">
            <v>417</v>
          </cell>
          <cell r="H286">
            <v>-3</v>
          </cell>
        </row>
        <row r="287">
          <cell r="A287">
            <v>3302482</v>
          </cell>
          <cell r="B287" t="str">
            <v>Wattville Primary School</v>
          </cell>
          <cell r="C287">
            <v>1</v>
          </cell>
          <cell r="D287">
            <v>0</v>
          </cell>
          <cell r="E287">
            <v>0</v>
          </cell>
          <cell r="F287">
            <v>406</v>
          </cell>
          <cell r="G287">
            <v>403</v>
          </cell>
          <cell r="H287">
            <v>-3</v>
          </cell>
        </row>
        <row r="288">
          <cell r="A288">
            <v>3303003</v>
          </cell>
          <cell r="B288" t="str">
            <v>Moseley C of E Primary School</v>
          </cell>
          <cell r="C288">
            <v>1</v>
          </cell>
          <cell r="D288">
            <v>0</v>
          </cell>
          <cell r="E288">
            <v>0</v>
          </cell>
          <cell r="F288">
            <v>210</v>
          </cell>
          <cell r="G288">
            <v>207</v>
          </cell>
          <cell r="H288">
            <v>-3</v>
          </cell>
        </row>
        <row r="289">
          <cell r="A289">
            <v>3303302</v>
          </cell>
          <cell r="B289" t="str">
            <v>St Barnabas CE Primary School</v>
          </cell>
          <cell r="C289">
            <v>1</v>
          </cell>
          <cell r="D289">
            <v>0</v>
          </cell>
          <cell r="E289">
            <v>0</v>
          </cell>
          <cell r="F289">
            <v>210</v>
          </cell>
          <cell r="G289">
            <v>207</v>
          </cell>
          <cell r="H289">
            <v>-3</v>
          </cell>
        </row>
        <row r="290">
          <cell r="A290">
            <v>3302226</v>
          </cell>
          <cell r="B290" t="str">
            <v>Cottesbrooke Junior School</v>
          </cell>
          <cell r="C290">
            <v>1</v>
          </cell>
          <cell r="D290">
            <v>0</v>
          </cell>
          <cell r="E290">
            <v>0</v>
          </cell>
          <cell r="F290">
            <v>349</v>
          </cell>
          <cell r="G290">
            <v>345</v>
          </cell>
          <cell r="H290">
            <v>-4</v>
          </cell>
        </row>
        <row r="291">
          <cell r="A291">
            <v>3303409</v>
          </cell>
          <cell r="B291" t="str">
            <v>SACRED HEART CATHOLIC SCHOOL</v>
          </cell>
          <cell r="C291">
            <v>1</v>
          </cell>
          <cell r="D291">
            <v>0</v>
          </cell>
          <cell r="E291">
            <v>0</v>
          </cell>
          <cell r="F291">
            <v>211</v>
          </cell>
          <cell r="G291">
            <v>207</v>
          </cell>
          <cell r="H291">
            <v>-4</v>
          </cell>
        </row>
        <row r="292">
          <cell r="A292">
            <v>3302278</v>
          </cell>
          <cell r="B292" t="str">
            <v>Woodgate Primary School</v>
          </cell>
          <cell r="C292">
            <v>1</v>
          </cell>
          <cell r="D292">
            <v>0</v>
          </cell>
          <cell r="E292">
            <v>0</v>
          </cell>
          <cell r="F292">
            <v>359</v>
          </cell>
          <cell r="G292">
            <v>354</v>
          </cell>
          <cell r="H292">
            <v>-5</v>
          </cell>
        </row>
        <row r="293">
          <cell r="A293">
            <v>3302472</v>
          </cell>
          <cell r="B293" t="str">
            <v>Alston Primary School</v>
          </cell>
          <cell r="C293">
            <v>1</v>
          </cell>
          <cell r="D293">
            <v>0</v>
          </cell>
          <cell r="E293">
            <v>0</v>
          </cell>
          <cell r="F293">
            <v>630</v>
          </cell>
          <cell r="G293">
            <v>625</v>
          </cell>
          <cell r="H293">
            <v>-5</v>
          </cell>
        </row>
        <row r="294">
          <cell r="A294">
            <v>3303329</v>
          </cell>
          <cell r="B294" t="str">
            <v>St. Augustine's Catholic Primary School</v>
          </cell>
          <cell r="C294">
            <v>1</v>
          </cell>
          <cell r="D294">
            <v>0</v>
          </cell>
          <cell r="E294">
            <v>0</v>
          </cell>
          <cell r="F294">
            <v>208</v>
          </cell>
          <cell r="G294">
            <v>203</v>
          </cell>
          <cell r="H294">
            <v>-5</v>
          </cell>
        </row>
        <row r="295">
          <cell r="A295">
            <v>3303382</v>
          </cell>
          <cell r="B295" t="str">
            <v>ST MARTIN de PORRES RC SCHOOL</v>
          </cell>
          <cell r="C295">
            <v>1</v>
          </cell>
          <cell r="D295">
            <v>0</v>
          </cell>
          <cell r="E295">
            <v>0</v>
          </cell>
          <cell r="F295">
            <v>205</v>
          </cell>
          <cell r="G295">
            <v>200</v>
          </cell>
          <cell r="H295">
            <v>-5</v>
          </cell>
        </row>
        <row r="296">
          <cell r="A296">
            <v>3302178</v>
          </cell>
          <cell r="B296" t="str">
            <v>Stanville Primary School</v>
          </cell>
          <cell r="C296">
            <v>1</v>
          </cell>
          <cell r="D296">
            <v>0</v>
          </cell>
          <cell r="E296">
            <v>0</v>
          </cell>
          <cell r="F296">
            <v>205</v>
          </cell>
          <cell r="G296">
            <v>199</v>
          </cell>
          <cell r="H296">
            <v>-6</v>
          </cell>
        </row>
        <row r="297">
          <cell r="A297">
            <v>3303352</v>
          </cell>
          <cell r="B297" t="str">
            <v>King David Primary School</v>
          </cell>
          <cell r="C297">
            <v>1</v>
          </cell>
          <cell r="D297">
            <v>0</v>
          </cell>
          <cell r="E297">
            <v>0</v>
          </cell>
          <cell r="F297">
            <v>217</v>
          </cell>
          <cell r="G297">
            <v>210</v>
          </cell>
          <cell r="H297">
            <v>-7</v>
          </cell>
        </row>
        <row r="298">
          <cell r="A298">
            <v>3303379</v>
          </cell>
          <cell r="B298" t="str">
            <v>ST.COLUMBA'S CATHOLIC PRIMARY</v>
          </cell>
          <cell r="C298">
            <v>1</v>
          </cell>
          <cell r="D298">
            <v>0</v>
          </cell>
          <cell r="E298">
            <v>0</v>
          </cell>
          <cell r="F298">
            <v>201</v>
          </cell>
          <cell r="G298">
            <v>194</v>
          </cell>
          <cell r="H298">
            <v>-7</v>
          </cell>
        </row>
        <row r="299">
          <cell r="A299">
            <v>3302455</v>
          </cell>
          <cell r="B299" t="str">
            <v>Heathlands Primary School (NC)</v>
          </cell>
          <cell r="C299">
            <v>1</v>
          </cell>
          <cell r="D299">
            <v>0</v>
          </cell>
          <cell r="E299">
            <v>0</v>
          </cell>
          <cell r="F299">
            <v>413</v>
          </cell>
          <cell r="G299">
            <v>405</v>
          </cell>
          <cell r="H299">
            <v>-8</v>
          </cell>
        </row>
        <row r="300">
          <cell r="A300">
            <v>3302475</v>
          </cell>
          <cell r="B300" t="str">
            <v>Firs Primary School</v>
          </cell>
          <cell r="C300">
            <v>1</v>
          </cell>
          <cell r="D300">
            <v>0</v>
          </cell>
          <cell r="E300">
            <v>0</v>
          </cell>
          <cell r="F300">
            <v>414</v>
          </cell>
          <cell r="G300">
            <v>405</v>
          </cell>
          <cell r="H300">
            <v>-9</v>
          </cell>
        </row>
        <row r="301">
          <cell r="A301">
            <v>3302272</v>
          </cell>
          <cell r="B301" t="str">
            <v>Chivenor Junior/Infant School</v>
          </cell>
          <cell r="C301">
            <v>1</v>
          </cell>
          <cell r="D301">
            <v>0</v>
          </cell>
          <cell r="E301">
            <v>0</v>
          </cell>
          <cell r="F301">
            <v>352</v>
          </cell>
          <cell r="G301">
            <v>338</v>
          </cell>
          <cell r="H301">
            <v>-14</v>
          </cell>
        </row>
        <row r="302">
          <cell r="A302">
            <v>3303328</v>
          </cell>
          <cell r="B302" t="str">
            <v>Our Lady of Lourdes Catholic Primary (NC)</v>
          </cell>
          <cell r="C302">
            <v>1</v>
          </cell>
          <cell r="D302">
            <v>0</v>
          </cell>
          <cell r="E302">
            <v>0</v>
          </cell>
          <cell r="F302">
            <v>238</v>
          </cell>
          <cell r="G302">
            <v>224</v>
          </cell>
          <cell r="H302">
            <v>-14</v>
          </cell>
        </row>
        <row r="303">
          <cell r="A303">
            <v>3302236</v>
          </cell>
          <cell r="B303" t="str">
            <v>Broadmeadow Junior School</v>
          </cell>
          <cell r="C303">
            <v>1</v>
          </cell>
          <cell r="D303">
            <v>0</v>
          </cell>
          <cell r="E303">
            <v>0</v>
          </cell>
          <cell r="F303">
            <v>226</v>
          </cell>
          <cell r="G303">
            <v>211</v>
          </cell>
          <cell r="H303">
            <v>-15</v>
          </cell>
        </row>
        <row r="304">
          <cell r="A304">
            <v>3302442</v>
          </cell>
          <cell r="B304" t="str">
            <v>Turves Green Primary School</v>
          </cell>
          <cell r="C304">
            <v>1</v>
          </cell>
          <cell r="D304">
            <v>0</v>
          </cell>
          <cell r="E304">
            <v>0</v>
          </cell>
          <cell r="F304">
            <v>402</v>
          </cell>
          <cell r="G304">
            <v>387</v>
          </cell>
          <cell r="H304">
            <v>-15</v>
          </cell>
        </row>
        <row r="305">
          <cell r="A305">
            <v>3303436</v>
          </cell>
          <cell r="B305" t="str">
            <v>The Harper Bell Seventh-day Adventist School</v>
          </cell>
          <cell r="C305">
            <v>1</v>
          </cell>
          <cell r="D305">
            <v>0</v>
          </cell>
          <cell r="E305">
            <v>0</v>
          </cell>
          <cell r="F305">
            <v>195</v>
          </cell>
          <cell r="G305">
            <v>180</v>
          </cell>
          <cell r="H305">
            <v>-15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  <sheetName val="oct13"/>
      <sheetName val="oct12"/>
    </sheetNames>
    <sheetDataSet>
      <sheetData sheetId="0"/>
      <sheetData sheetId="1"/>
      <sheetData sheetId="2">
        <row r="1"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</row>
        <row r="3">
          <cell r="D3">
            <v>3302002</v>
          </cell>
          <cell r="E3">
            <v>59</v>
          </cell>
          <cell r="F3">
            <v>58</v>
          </cell>
          <cell r="G3">
            <v>56</v>
          </cell>
          <cell r="H3">
            <v>58</v>
          </cell>
          <cell r="I3">
            <v>80</v>
          </cell>
          <cell r="J3">
            <v>60</v>
          </cell>
          <cell r="K3">
            <v>58</v>
          </cell>
        </row>
        <row r="4">
          <cell r="D4">
            <v>3302003</v>
          </cell>
          <cell r="E4">
            <v>90</v>
          </cell>
          <cell r="F4">
            <v>90</v>
          </cell>
          <cell r="G4">
            <v>87</v>
          </cell>
          <cell r="H4">
            <v>91</v>
          </cell>
          <cell r="I4">
            <v>92</v>
          </cell>
          <cell r="J4">
            <v>95</v>
          </cell>
          <cell r="K4">
            <v>93</v>
          </cell>
        </row>
        <row r="5">
          <cell r="D5">
            <v>3302004</v>
          </cell>
          <cell r="E5">
            <v>44</v>
          </cell>
          <cell r="F5">
            <v>45</v>
          </cell>
          <cell r="G5">
            <v>45</v>
          </cell>
          <cell r="H5">
            <v>41</v>
          </cell>
          <cell r="I5">
            <v>46</v>
          </cell>
          <cell r="J5">
            <v>44</v>
          </cell>
          <cell r="K5">
            <v>42</v>
          </cell>
        </row>
        <row r="6">
          <cell r="D6">
            <v>3302005</v>
          </cell>
          <cell r="E6">
            <v>89</v>
          </cell>
          <cell r="F6">
            <v>90</v>
          </cell>
          <cell r="G6">
            <v>91</v>
          </cell>
          <cell r="H6">
            <v>89</v>
          </cell>
          <cell r="I6">
            <v>90</v>
          </cell>
          <cell r="J6">
            <v>89</v>
          </cell>
          <cell r="K6">
            <v>90</v>
          </cell>
        </row>
        <row r="7">
          <cell r="D7">
            <v>3302008</v>
          </cell>
          <cell r="E7">
            <v>59</v>
          </cell>
          <cell r="F7">
            <v>61</v>
          </cell>
          <cell r="G7">
            <v>59</v>
          </cell>
          <cell r="H7">
            <v>61</v>
          </cell>
          <cell r="I7">
            <v>60</v>
          </cell>
          <cell r="J7">
            <v>59</v>
          </cell>
          <cell r="K7">
            <v>61</v>
          </cell>
        </row>
        <row r="8">
          <cell r="D8">
            <v>3302010</v>
          </cell>
          <cell r="E8">
            <v>89</v>
          </cell>
          <cell r="F8">
            <v>90</v>
          </cell>
          <cell r="G8">
            <v>90</v>
          </cell>
          <cell r="H8">
            <v>90</v>
          </cell>
          <cell r="I8">
            <v>90</v>
          </cell>
          <cell r="J8">
            <v>90</v>
          </cell>
          <cell r="K8">
            <v>90</v>
          </cell>
        </row>
        <row r="9">
          <cell r="D9">
            <v>3302011</v>
          </cell>
          <cell r="E9">
            <v>90</v>
          </cell>
          <cell r="F9">
            <v>90</v>
          </cell>
          <cell r="G9">
            <v>90</v>
          </cell>
          <cell r="H9">
            <v>89</v>
          </cell>
          <cell r="I9">
            <v>91</v>
          </cell>
          <cell r="J9">
            <v>89</v>
          </cell>
          <cell r="K9">
            <v>88</v>
          </cell>
        </row>
        <row r="10">
          <cell r="D10">
            <v>3302014</v>
          </cell>
          <cell r="E10">
            <v>61.5</v>
          </cell>
          <cell r="F10">
            <v>58</v>
          </cell>
          <cell r="G10">
            <v>60</v>
          </cell>
          <cell r="H10">
            <v>58</v>
          </cell>
          <cell r="I10">
            <v>55</v>
          </cell>
          <cell r="J10">
            <v>59</v>
          </cell>
          <cell r="K10">
            <v>60</v>
          </cell>
        </row>
        <row r="11">
          <cell r="D11">
            <v>3302015</v>
          </cell>
          <cell r="E11">
            <v>58</v>
          </cell>
          <cell r="F11">
            <v>60</v>
          </cell>
          <cell r="G11">
            <v>57</v>
          </cell>
          <cell r="H11">
            <v>54</v>
          </cell>
          <cell r="I11">
            <v>60</v>
          </cell>
          <cell r="J11">
            <v>54</v>
          </cell>
          <cell r="K11">
            <v>51</v>
          </cell>
        </row>
        <row r="12">
          <cell r="D12">
            <v>3302016</v>
          </cell>
          <cell r="E12">
            <v>0</v>
          </cell>
          <cell r="F12">
            <v>0</v>
          </cell>
          <cell r="G12">
            <v>0</v>
          </cell>
          <cell r="H12">
            <v>89</v>
          </cell>
          <cell r="I12">
            <v>88</v>
          </cell>
          <cell r="J12">
            <v>82</v>
          </cell>
          <cell r="K12">
            <v>88</v>
          </cell>
        </row>
        <row r="13">
          <cell r="D13">
            <v>3302017</v>
          </cell>
          <cell r="E13">
            <v>89</v>
          </cell>
          <cell r="F13">
            <v>90</v>
          </cell>
          <cell r="G13">
            <v>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D14">
            <v>3302018</v>
          </cell>
          <cell r="E14">
            <v>42</v>
          </cell>
          <cell r="F14">
            <v>32</v>
          </cell>
          <cell r="G14">
            <v>30</v>
          </cell>
          <cell r="H14">
            <v>27</v>
          </cell>
          <cell r="I14">
            <v>30</v>
          </cell>
          <cell r="J14">
            <v>25</v>
          </cell>
          <cell r="K14">
            <v>29</v>
          </cell>
        </row>
        <row r="15">
          <cell r="D15">
            <v>3302019</v>
          </cell>
          <cell r="E15">
            <v>60</v>
          </cell>
          <cell r="F15">
            <v>59</v>
          </cell>
          <cell r="G15">
            <v>59</v>
          </cell>
          <cell r="H15">
            <v>56</v>
          </cell>
          <cell r="I15">
            <v>48</v>
          </cell>
          <cell r="J15">
            <v>46</v>
          </cell>
          <cell r="K15">
            <v>47</v>
          </cell>
        </row>
        <row r="16">
          <cell r="D16">
            <v>3302021</v>
          </cell>
          <cell r="E16">
            <v>54</v>
          </cell>
          <cell r="F16">
            <v>30</v>
          </cell>
          <cell r="G16">
            <v>29</v>
          </cell>
          <cell r="H16">
            <v>30</v>
          </cell>
          <cell r="I16">
            <v>29</v>
          </cell>
          <cell r="J16">
            <v>30</v>
          </cell>
          <cell r="K16">
            <v>30</v>
          </cell>
        </row>
        <row r="17">
          <cell r="D17">
            <v>3302024</v>
          </cell>
          <cell r="E17">
            <v>0</v>
          </cell>
          <cell r="F17">
            <v>0</v>
          </cell>
          <cell r="G17">
            <v>0</v>
          </cell>
          <cell r="H17">
            <v>59</v>
          </cell>
          <cell r="I17">
            <v>55</v>
          </cell>
          <cell r="J17">
            <v>59</v>
          </cell>
          <cell r="K17">
            <v>52</v>
          </cell>
        </row>
        <row r="18">
          <cell r="D18">
            <v>3302025</v>
          </cell>
          <cell r="E18">
            <v>60</v>
          </cell>
          <cell r="F18">
            <v>60</v>
          </cell>
          <cell r="G18">
            <v>59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D19">
            <v>3302026</v>
          </cell>
          <cell r="E19">
            <v>46</v>
          </cell>
          <cell r="F19">
            <v>55</v>
          </cell>
          <cell r="G19">
            <v>59</v>
          </cell>
          <cell r="H19">
            <v>56</v>
          </cell>
          <cell r="I19">
            <v>51</v>
          </cell>
          <cell r="J19">
            <v>51</v>
          </cell>
          <cell r="K19">
            <v>26</v>
          </cell>
        </row>
        <row r="20">
          <cell r="D20">
            <v>3302030</v>
          </cell>
          <cell r="E20">
            <v>90</v>
          </cell>
          <cell r="F20">
            <v>90</v>
          </cell>
          <cell r="G20">
            <v>90</v>
          </cell>
          <cell r="H20">
            <v>90</v>
          </cell>
          <cell r="I20">
            <v>90</v>
          </cell>
          <cell r="J20">
            <v>90</v>
          </cell>
          <cell r="K20">
            <v>90</v>
          </cell>
        </row>
        <row r="21">
          <cell r="D21">
            <v>3302034</v>
          </cell>
          <cell r="E21">
            <v>57</v>
          </cell>
          <cell r="F21">
            <v>56</v>
          </cell>
          <cell r="G21">
            <v>53</v>
          </cell>
          <cell r="H21">
            <v>47</v>
          </cell>
          <cell r="I21">
            <v>30</v>
          </cell>
          <cell r="J21">
            <v>28</v>
          </cell>
          <cell r="K21">
            <v>29</v>
          </cell>
        </row>
        <row r="22">
          <cell r="D22">
            <v>3302035</v>
          </cell>
          <cell r="E22">
            <v>30</v>
          </cell>
          <cell r="F22">
            <v>29</v>
          </cell>
          <cell r="G22">
            <v>30</v>
          </cell>
          <cell r="H22">
            <v>31</v>
          </cell>
          <cell r="I22">
            <v>32</v>
          </cell>
          <cell r="J22">
            <v>31</v>
          </cell>
          <cell r="K22">
            <v>29</v>
          </cell>
        </row>
        <row r="23">
          <cell r="D23">
            <v>3302039</v>
          </cell>
          <cell r="E23">
            <v>60</v>
          </cell>
          <cell r="F23">
            <v>60</v>
          </cell>
          <cell r="G23">
            <v>60</v>
          </cell>
          <cell r="H23">
            <v>62</v>
          </cell>
          <cell r="I23">
            <v>62</v>
          </cell>
          <cell r="J23">
            <v>62</v>
          </cell>
          <cell r="K23">
            <v>61</v>
          </cell>
        </row>
        <row r="24">
          <cell r="D24">
            <v>3302040</v>
          </cell>
          <cell r="E24">
            <v>60</v>
          </cell>
          <cell r="F24">
            <v>60</v>
          </cell>
          <cell r="G24">
            <v>60</v>
          </cell>
          <cell r="H24">
            <v>61</v>
          </cell>
          <cell r="I24">
            <v>60</v>
          </cell>
          <cell r="J24">
            <v>61</v>
          </cell>
          <cell r="K24">
            <v>60</v>
          </cell>
        </row>
        <row r="25">
          <cell r="D25">
            <v>3302051</v>
          </cell>
          <cell r="E25">
            <v>0</v>
          </cell>
          <cell r="F25">
            <v>0</v>
          </cell>
          <cell r="G25">
            <v>0</v>
          </cell>
          <cell r="H25">
            <v>57</v>
          </cell>
          <cell r="I25">
            <v>58</v>
          </cell>
          <cell r="J25">
            <v>58</v>
          </cell>
          <cell r="K25">
            <v>59</v>
          </cell>
        </row>
        <row r="26">
          <cell r="D26">
            <v>3302052</v>
          </cell>
          <cell r="E26">
            <v>60</v>
          </cell>
          <cell r="F26">
            <v>61</v>
          </cell>
          <cell r="G26">
            <v>60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D27">
            <v>3302053</v>
          </cell>
          <cell r="E27">
            <v>0</v>
          </cell>
          <cell r="F27">
            <v>0</v>
          </cell>
          <cell r="G27">
            <v>0</v>
          </cell>
          <cell r="H27">
            <v>120</v>
          </cell>
          <cell r="I27">
            <v>90</v>
          </cell>
          <cell r="J27">
            <v>90</v>
          </cell>
          <cell r="K27">
            <v>90</v>
          </cell>
        </row>
        <row r="28">
          <cell r="D28">
            <v>3302054</v>
          </cell>
          <cell r="E28">
            <v>120</v>
          </cell>
          <cell r="F28">
            <v>120</v>
          </cell>
          <cell r="G28">
            <v>120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D29">
            <v>3302055</v>
          </cell>
          <cell r="E29">
            <v>56</v>
          </cell>
          <cell r="F29">
            <v>59</v>
          </cell>
          <cell r="G29">
            <v>59</v>
          </cell>
          <cell r="H29">
            <v>60</v>
          </cell>
          <cell r="I29">
            <v>50</v>
          </cell>
          <cell r="J29">
            <v>50</v>
          </cell>
          <cell r="K29">
            <v>47</v>
          </cell>
        </row>
        <row r="30">
          <cell r="D30">
            <v>3302060</v>
          </cell>
          <cell r="E30">
            <v>30</v>
          </cell>
          <cell r="F30">
            <v>30</v>
          </cell>
          <cell r="G30">
            <v>30</v>
          </cell>
          <cell r="H30">
            <v>30</v>
          </cell>
          <cell r="I30">
            <v>30</v>
          </cell>
          <cell r="J30">
            <v>30</v>
          </cell>
          <cell r="K30">
            <v>30</v>
          </cell>
        </row>
        <row r="31">
          <cell r="D31">
            <v>3302062</v>
          </cell>
          <cell r="E31">
            <v>90</v>
          </cell>
          <cell r="F31">
            <v>98</v>
          </cell>
          <cell r="G31">
            <v>90</v>
          </cell>
          <cell r="H31">
            <v>90</v>
          </cell>
          <cell r="I31">
            <v>89</v>
          </cell>
          <cell r="J31">
            <v>90</v>
          </cell>
          <cell r="K31">
            <v>91</v>
          </cell>
        </row>
        <row r="32">
          <cell r="D32">
            <v>3302063</v>
          </cell>
          <cell r="E32">
            <v>90</v>
          </cell>
          <cell r="F32">
            <v>86</v>
          </cell>
          <cell r="G32">
            <v>90</v>
          </cell>
          <cell r="H32">
            <v>60</v>
          </cell>
          <cell r="I32">
            <v>60</v>
          </cell>
          <cell r="J32">
            <v>60</v>
          </cell>
          <cell r="K32">
            <v>60</v>
          </cell>
        </row>
        <row r="33">
          <cell r="D33">
            <v>3302067</v>
          </cell>
          <cell r="E33">
            <v>55</v>
          </cell>
          <cell r="F33">
            <v>52</v>
          </cell>
          <cell r="G33">
            <v>54</v>
          </cell>
          <cell r="H33">
            <v>46</v>
          </cell>
          <cell r="I33">
            <v>48</v>
          </cell>
          <cell r="J33">
            <v>48</v>
          </cell>
          <cell r="K33">
            <v>42</v>
          </cell>
        </row>
        <row r="34">
          <cell r="D34">
            <v>3302079</v>
          </cell>
          <cell r="E34">
            <v>51</v>
          </cell>
          <cell r="F34">
            <v>51</v>
          </cell>
          <cell r="G34">
            <v>40</v>
          </cell>
          <cell r="H34">
            <v>34</v>
          </cell>
          <cell r="I34">
            <v>45</v>
          </cell>
          <cell r="J34">
            <v>46</v>
          </cell>
          <cell r="K34">
            <v>36</v>
          </cell>
        </row>
        <row r="35">
          <cell r="D35">
            <v>3302081</v>
          </cell>
          <cell r="E35">
            <v>61</v>
          </cell>
          <cell r="F35">
            <v>60</v>
          </cell>
          <cell r="G35">
            <v>60</v>
          </cell>
          <cell r="H35">
            <v>58</v>
          </cell>
          <cell r="I35">
            <v>60</v>
          </cell>
          <cell r="J35">
            <v>60</v>
          </cell>
          <cell r="K35">
            <v>60</v>
          </cell>
        </row>
        <row r="36">
          <cell r="D36">
            <v>3302082</v>
          </cell>
          <cell r="E36">
            <v>60</v>
          </cell>
          <cell r="F36">
            <v>60</v>
          </cell>
          <cell r="G36">
            <v>60</v>
          </cell>
          <cell r="H36">
            <v>60</v>
          </cell>
          <cell r="I36">
            <v>59</v>
          </cell>
          <cell r="J36">
            <v>60</v>
          </cell>
          <cell r="K36">
            <v>60</v>
          </cell>
        </row>
        <row r="37">
          <cell r="D37">
            <v>3302086</v>
          </cell>
          <cell r="E37">
            <v>120</v>
          </cell>
          <cell r="F37">
            <v>120</v>
          </cell>
          <cell r="G37">
            <v>120</v>
          </cell>
          <cell r="H37">
            <v>120</v>
          </cell>
          <cell r="I37">
            <v>91</v>
          </cell>
          <cell r="J37">
            <v>90</v>
          </cell>
          <cell r="K37">
            <v>90</v>
          </cell>
        </row>
        <row r="38">
          <cell r="D38">
            <v>3302087</v>
          </cell>
          <cell r="E38">
            <v>60</v>
          </cell>
          <cell r="F38">
            <v>30</v>
          </cell>
          <cell r="G38">
            <v>27</v>
          </cell>
          <cell r="H38">
            <v>42</v>
          </cell>
          <cell r="I38">
            <v>41</v>
          </cell>
          <cell r="J38">
            <v>27</v>
          </cell>
          <cell r="K38">
            <v>30</v>
          </cell>
        </row>
        <row r="39">
          <cell r="D39">
            <v>3302091</v>
          </cell>
          <cell r="E39">
            <v>30</v>
          </cell>
          <cell r="F39">
            <v>29</v>
          </cell>
          <cell r="G39">
            <v>30</v>
          </cell>
          <cell r="H39">
            <v>29</v>
          </cell>
          <cell r="I39">
            <v>30</v>
          </cell>
          <cell r="J39">
            <v>29</v>
          </cell>
          <cell r="K39">
            <v>22</v>
          </cell>
        </row>
        <row r="40">
          <cell r="D40">
            <v>3302092</v>
          </cell>
          <cell r="E40">
            <v>0</v>
          </cell>
          <cell r="F40">
            <v>0</v>
          </cell>
          <cell r="G40">
            <v>0</v>
          </cell>
          <cell r="H40">
            <v>120</v>
          </cell>
          <cell r="I40">
            <v>90</v>
          </cell>
          <cell r="J40">
            <v>90</v>
          </cell>
          <cell r="K40">
            <v>90</v>
          </cell>
        </row>
        <row r="41">
          <cell r="D41">
            <v>3302093</v>
          </cell>
          <cell r="E41">
            <v>120</v>
          </cell>
          <cell r="F41">
            <v>120</v>
          </cell>
          <cell r="G41">
            <v>119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D42">
            <v>3302097</v>
          </cell>
          <cell r="E42">
            <v>30</v>
          </cell>
          <cell r="F42">
            <v>30</v>
          </cell>
          <cell r="G42">
            <v>30</v>
          </cell>
          <cell r="H42">
            <v>29</v>
          </cell>
          <cell r="I42">
            <v>29</v>
          </cell>
          <cell r="J42">
            <v>29</v>
          </cell>
          <cell r="K42">
            <v>29</v>
          </cell>
        </row>
        <row r="43">
          <cell r="D43">
            <v>3302099</v>
          </cell>
          <cell r="E43">
            <v>29</v>
          </cell>
          <cell r="F43">
            <v>31</v>
          </cell>
          <cell r="G43">
            <v>28</v>
          </cell>
          <cell r="H43">
            <v>31</v>
          </cell>
          <cell r="I43">
            <v>28</v>
          </cell>
          <cell r="J43">
            <v>30</v>
          </cell>
          <cell r="K43">
            <v>30</v>
          </cell>
        </row>
        <row r="44">
          <cell r="D44">
            <v>3302101</v>
          </cell>
          <cell r="E44">
            <v>120</v>
          </cell>
          <cell r="F44">
            <v>120</v>
          </cell>
          <cell r="G44">
            <v>119</v>
          </cell>
          <cell r="H44">
            <v>120</v>
          </cell>
          <cell r="I44">
            <v>120</v>
          </cell>
          <cell r="J44">
            <v>120</v>
          </cell>
          <cell r="K44">
            <v>120</v>
          </cell>
        </row>
        <row r="45">
          <cell r="D45">
            <v>3302108</v>
          </cell>
          <cell r="E45">
            <v>91.5</v>
          </cell>
          <cell r="F45">
            <v>118</v>
          </cell>
          <cell r="G45">
            <v>117</v>
          </cell>
          <cell r="H45">
            <v>89</v>
          </cell>
          <cell r="I45">
            <v>60</v>
          </cell>
          <cell r="J45">
            <v>59</v>
          </cell>
          <cell r="K45">
            <v>61</v>
          </cell>
        </row>
        <row r="46">
          <cell r="D46">
            <v>3302111</v>
          </cell>
          <cell r="E46">
            <v>30</v>
          </cell>
          <cell r="F46">
            <v>31</v>
          </cell>
          <cell r="G46">
            <v>27</v>
          </cell>
          <cell r="H46">
            <v>29</v>
          </cell>
          <cell r="I46">
            <v>29</v>
          </cell>
          <cell r="J46">
            <v>29</v>
          </cell>
          <cell r="K46">
            <v>22</v>
          </cell>
        </row>
        <row r="47">
          <cell r="D47">
            <v>3302115</v>
          </cell>
          <cell r="E47">
            <v>30</v>
          </cell>
          <cell r="F47">
            <v>45</v>
          </cell>
          <cell r="G47">
            <v>46</v>
          </cell>
          <cell r="H47">
            <v>32</v>
          </cell>
          <cell r="I47">
            <v>40</v>
          </cell>
          <cell r="J47">
            <v>32</v>
          </cell>
          <cell r="K47">
            <v>29</v>
          </cell>
        </row>
        <row r="48">
          <cell r="D48">
            <v>3302118</v>
          </cell>
          <cell r="E48">
            <v>59</v>
          </cell>
          <cell r="F48">
            <v>60</v>
          </cell>
          <cell r="G48">
            <v>59</v>
          </cell>
          <cell r="H48">
            <v>59</v>
          </cell>
          <cell r="I48">
            <v>60</v>
          </cell>
          <cell r="J48">
            <v>57</v>
          </cell>
          <cell r="K48">
            <v>56</v>
          </cell>
        </row>
        <row r="49">
          <cell r="D49">
            <v>3302119</v>
          </cell>
          <cell r="E49">
            <v>54</v>
          </cell>
          <cell r="F49">
            <v>54</v>
          </cell>
          <cell r="G49">
            <v>54</v>
          </cell>
          <cell r="H49">
            <v>54</v>
          </cell>
          <cell r="I49">
            <v>54</v>
          </cell>
          <cell r="J49">
            <v>54</v>
          </cell>
          <cell r="K49">
            <v>54</v>
          </cell>
        </row>
        <row r="50">
          <cell r="D50">
            <v>3302127</v>
          </cell>
          <cell r="E50">
            <v>60</v>
          </cell>
          <cell r="F50">
            <v>60</v>
          </cell>
          <cell r="G50">
            <v>60</v>
          </cell>
          <cell r="H50">
            <v>60</v>
          </cell>
          <cell r="I50">
            <v>60</v>
          </cell>
          <cell r="J50">
            <v>60</v>
          </cell>
          <cell r="K50">
            <v>59</v>
          </cell>
        </row>
        <row r="51">
          <cell r="D51">
            <v>3302128</v>
          </cell>
          <cell r="E51">
            <v>0</v>
          </cell>
          <cell r="F51">
            <v>0</v>
          </cell>
          <cell r="G51">
            <v>0</v>
          </cell>
          <cell r="H51">
            <v>93</v>
          </cell>
          <cell r="I51">
            <v>92</v>
          </cell>
          <cell r="J51">
            <v>92</v>
          </cell>
          <cell r="K51">
            <v>94</v>
          </cell>
        </row>
        <row r="52">
          <cell r="D52">
            <v>3302129</v>
          </cell>
          <cell r="E52">
            <v>93</v>
          </cell>
          <cell r="F52">
            <v>93</v>
          </cell>
          <cell r="G52">
            <v>95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D53">
            <v>3302132</v>
          </cell>
          <cell r="E53">
            <v>90</v>
          </cell>
          <cell r="F53">
            <v>90</v>
          </cell>
          <cell r="G53">
            <v>90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D54">
            <v>3302133</v>
          </cell>
          <cell r="E54">
            <v>61</v>
          </cell>
          <cell r="F54">
            <v>60</v>
          </cell>
          <cell r="G54">
            <v>59</v>
          </cell>
          <cell r="H54">
            <v>60</v>
          </cell>
          <cell r="I54">
            <v>59</v>
          </cell>
          <cell r="J54">
            <v>60</v>
          </cell>
          <cell r="K54">
            <v>60</v>
          </cell>
        </row>
        <row r="55">
          <cell r="D55">
            <v>3302142</v>
          </cell>
          <cell r="E55">
            <v>46</v>
          </cell>
          <cell r="F55">
            <v>50</v>
          </cell>
          <cell r="G55">
            <v>29</v>
          </cell>
          <cell r="H55">
            <v>29</v>
          </cell>
          <cell r="I55">
            <v>28</v>
          </cell>
          <cell r="J55">
            <v>28</v>
          </cell>
          <cell r="K55">
            <v>21</v>
          </cell>
        </row>
        <row r="56">
          <cell r="D56">
            <v>3302149</v>
          </cell>
          <cell r="E56">
            <v>57</v>
          </cell>
          <cell r="F56">
            <v>56</v>
          </cell>
          <cell r="G56">
            <v>58</v>
          </cell>
          <cell r="H56">
            <v>28</v>
          </cell>
          <cell r="I56">
            <v>30</v>
          </cell>
          <cell r="J56">
            <v>30</v>
          </cell>
          <cell r="K56">
            <v>27</v>
          </cell>
        </row>
        <row r="57">
          <cell r="D57">
            <v>3302150</v>
          </cell>
          <cell r="E57">
            <v>80.5</v>
          </cell>
          <cell r="F57">
            <v>86</v>
          </cell>
          <cell r="G57">
            <v>84</v>
          </cell>
          <cell r="H57">
            <v>84</v>
          </cell>
          <cell r="I57">
            <v>58</v>
          </cell>
          <cell r="J57">
            <v>59</v>
          </cell>
          <cell r="K57">
            <v>61</v>
          </cell>
        </row>
        <row r="58">
          <cell r="D58">
            <v>3302153</v>
          </cell>
          <cell r="E58">
            <v>50</v>
          </cell>
          <cell r="F58">
            <v>30</v>
          </cell>
          <cell r="G58">
            <v>31</v>
          </cell>
          <cell r="H58">
            <v>29</v>
          </cell>
          <cell r="I58">
            <v>26</v>
          </cell>
          <cell r="J58">
            <v>30</v>
          </cell>
          <cell r="K58">
            <v>27</v>
          </cell>
        </row>
        <row r="59">
          <cell r="D59">
            <v>3302155</v>
          </cell>
          <cell r="E59">
            <v>0</v>
          </cell>
          <cell r="F59">
            <v>0</v>
          </cell>
          <cell r="G59">
            <v>0</v>
          </cell>
          <cell r="H59">
            <v>55</v>
          </cell>
          <cell r="I59">
            <v>57</v>
          </cell>
          <cell r="J59">
            <v>60</v>
          </cell>
          <cell r="K59">
            <v>57</v>
          </cell>
        </row>
        <row r="60">
          <cell r="D60">
            <v>3302156</v>
          </cell>
          <cell r="E60">
            <v>60</v>
          </cell>
          <cell r="F60">
            <v>60</v>
          </cell>
          <cell r="G60">
            <v>60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D61">
            <v>3302157</v>
          </cell>
          <cell r="E61">
            <v>61</v>
          </cell>
          <cell r="F61">
            <v>60</v>
          </cell>
          <cell r="G61">
            <v>60</v>
          </cell>
          <cell r="H61">
            <v>58</v>
          </cell>
          <cell r="I61">
            <v>60</v>
          </cell>
          <cell r="J61">
            <v>54</v>
          </cell>
          <cell r="K61">
            <v>45</v>
          </cell>
        </row>
        <row r="62">
          <cell r="D62">
            <v>3302159</v>
          </cell>
          <cell r="E62">
            <v>30</v>
          </cell>
          <cell r="F62">
            <v>29</v>
          </cell>
          <cell r="G62">
            <v>31</v>
          </cell>
          <cell r="H62">
            <v>30</v>
          </cell>
          <cell r="I62">
            <v>30</v>
          </cell>
          <cell r="J62">
            <v>30</v>
          </cell>
          <cell r="K62">
            <v>30</v>
          </cell>
        </row>
        <row r="63">
          <cell r="D63">
            <v>3302160</v>
          </cell>
          <cell r="E63">
            <v>0</v>
          </cell>
          <cell r="F63">
            <v>0</v>
          </cell>
          <cell r="G63">
            <v>0</v>
          </cell>
          <cell r="H63">
            <v>68</v>
          </cell>
          <cell r="I63">
            <v>75</v>
          </cell>
          <cell r="J63">
            <v>55</v>
          </cell>
          <cell r="K63">
            <v>61</v>
          </cell>
        </row>
        <row r="64">
          <cell r="D64">
            <v>3302161</v>
          </cell>
          <cell r="E64">
            <v>65</v>
          </cell>
          <cell r="F64">
            <v>88</v>
          </cell>
          <cell r="G64">
            <v>59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D65">
            <v>3302169</v>
          </cell>
          <cell r="E65">
            <v>52</v>
          </cell>
          <cell r="F65">
            <v>55</v>
          </cell>
          <cell r="G65">
            <v>59</v>
          </cell>
          <cell r="H65">
            <v>60</v>
          </cell>
          <cell r="I65">
            <v>60</v>
          </cell>
          <cell r="J65">
            <v>56</v>
          </cell>
          <cell r="K65">
            <v>57</v>
          </cell>
        </row>
        <row r="66">
          <cell r="D66">
            <v>3302174</v>
          </cell>
          <cell r="E66">
            <v>120</v>
          </cell>
          <cell r="F66">
            <v>120</v>
          </cell>
          <cell r="G66">
            <v>120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D67">
            <v>3302176</v>
          </cell>
          <cell r="E67">
            <v>90</v>
          </cell>
          <cell r="F67">
            <v>90</v>
          </cell>
          <cell r="G67">
            <v>90</v>
          </cell>
          <cell r="H67">
            <v>96</v>
          </cell>
          <cell r="I67">
            <v>96</v>
          </cell>
          <cell r="J67">
            <v>128</v>
          </cell>
          <cell r="K67">
            <v>96</v>
          </cell>
        </row>
        <row r="68">
          <cell r="D68">
            <v>3302178</v>
          </cell>
          <cell r="E68">
            <v>29</v>
          </cell>
          <cell r="F68">
            <v>30</v>
          </cell>
          <cell r="G68">
            <v>27</v>
          </cell>
          <cell r="H68">
            <v>27</v>
          </cell>
          <cell r="I68">
            <v>30</v>
          </cell>
          <cell r="J68">
            <v>27</v>
          </cell>
          <cell r="K68">
            <v>29</v>
          </cell>
        </row>
        <row r="69">
          <cell r="D69">
            <v>3302179</v>
          </cell>
          <cell r="E69">
            <v>136.5</v>
          </cell>
          <cell r="F69">
            <v>137</v>
          </cell>
          <cell r="G69">
            <v>164</v>
          </cell>
          <cell r="H69">
            <v>186</v>
          </cell>
          <cell r="I69">
            <v>138</v>
          </cell>
          <cell r="J69">
            <v>92</v>
          </cell>
          <cell r="K69">
            <v>94</v>
          </cell>
        </row>
        <row r="70">
          <cell r="D70">
            <v>3302180</v>
          </cell>
          <cell r="E70">
            <v>60</v>
          </cell>
          <cell r="F70">
            <v>60</v>
          </cell>
          <cell r="G70">
            <v>61</v>
          </cell>
          <cell r="H70">
            <v>60</v>
          </cell>
          <cell r="I70">
            <v>63</v>
          </cell>
          <cell r="J70">
            <v>60</v>
          </cell>
          <cell r="K70">
            <v>60</v>
          </cell>
        </row>
        <row r="71">
          <cell r="D71">
            <v>3302183</v>
          </cell>
          <cell r="E71">
            <v>150</v>
          </cell>
          <cell r="F71">
            <v>150</v>
          </cell>
          <cell r="G71">
            <v>150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D72">
            <v>3302184</v>
          </cell>
          <cell r="E72">
            <v>60</v>
          </cell>
          <cell r="F72">
            <v>60</v>
          </cell>
          <cell r="G72">
            <v>60</v>
          </cell>
          <cell r="H72">
            <v>30</v>
          </cell>
          <cell r="I72">
            <v>30</v>
          </cell>
          <cell r="J72">
            <v>30</v>
          </cell>
          <cell r="K72">
            <v>30</v>
          </cell>
        </row>
        <row r="73">
          <cell r="D73">
            <v>3302185</v>
          </cell>
          <cell r="E73">
            <v>60</v>
          </cell>
          <cell r="F73">
            <v>60</v>
          </cell>
          <cell r="G73">
            <v>60</v>
          </cell>
          <cell r="H73">
            <v>60</v>
          </cell>
          <cell r="I73">
            <v>59</v>
          </cell>
          <cell r="J73">
            <v>61</v>
          </cell>
          <cell r="K73">
            <v>60</v>
          </cell>
        </row>
        <row r="74">
          <cell r="D74">
            <v>3302188</v>
          </cell>
          <cell r="E74">
            <v>29</v>
          </cell>
          <cell r="F74">
            <v>30</v>
          </cell>
          <cell r="G74">
            <v>27</v>
          </cell>
          <cell r="H74">
            <v>29</v>
          </cell>
          <cell r="I74">
            <v>27</v>
          </cell>
          <cell r="J74">
            <v>28</v>
          </cell>
          <cell r="K74">
            <v>27</v>
          </cell>
        </row>
        <row r="75">
          <cell r="D75">
            <v>3302189</v>
          </cell>
          <cell r="E75">
            <v>59.5</v>
          </cell>
          <cell r="F75">
            <v>60</v>
          </cell>
          <cell r="G75">
            <v>59</v>
          </cell>
          <cell r="H75">
            <v>60</v>
          </cell>
          <cell r="I75">
            <v>60</v>
          </cell>
          <cell r="J75">
            <v>60</v>
          </cell>
          <cell r="K75">
            <v>60</v>
          </cell>
        </row>
        <row r="76">
          <cell r="D76">
            <v>3302190</v>
          </cell>
          <cell r="E76">
            <v>30</v>
          </cell>
          <cell r="F76">
            <v>30</v>
          </cell>
          <cell r="G76">
            <v>30</v>
          </cell>
          <cell r="H76">
            <v>30</v>
          </cell>
          <cell r="I76">
            <v>22</v>
          </cell>
          <cell r="J76">
            <v>18</v>
          </cell>
          <cell r="K76">
            <v>27</v>
          </cell>
        </row>
        <row r="77">
          <cell r="D77">
            <v>3302191</v>
          </cell>
          <cell r="E77">
            <v>28</v>
          </cell>
          <cell r="F77">
            <v>29</v>
          </cell>
          <cell r="G77">
            <v>30</v>
          </cell>
          <cell r="H77">
            <v>28</v>
          </cell>
          <cell r="I77">
            <v>27</v>
          </cell>
          <cell r="J77">
            <v>29</v>
          </cell>
          <cell r="K77">
            <v>20</v>
          </cell>
        </row>
        <row r="78">
          <cell r="D78">
            <v>3302192</v>
          </cell>
          <cell r="E78">
            <v>30</v>
          </cell>
          <cell r="F78">
            <v>33</v>
          </cell>
          <cell r="G78">
            <v>31</v>
          </cell>
          <cell r="H78">
            <v>150</v>
          </cell>
          <cell r="I78">
            <v>178</v>
          </cell>
          <cell r="J78">
            <v>149</v>
          </cell>
          <cell r="K78">
            <v>150</v>
          </cell>
        </row>
        <row r="79">
          <cell r="D79">
            <v>3302225</v>
          </cell>
          <cell r="E79">
            <v>0</v>
          </cell>
          <cell r="F79">
            <v>0</v>
          </cell>
          <cell r="G79">
            <v>0</v>
          </cell>
          <cell r="H79">
            <v>61</v>
          </cell>
          <cell r="I79">
            <v>57</v>
          </cell>
          <cell r="J79">
            <v>62</v>
          </cell>
          <cell r="K79">
            <v>60</v>
          </cell>
        </row>
        <row r="80">
          <cell r="D80">
            <v>3302226</v>
          </cell>
          <cell r="E80">
            <v>0</v>
          </cell>
          <cell r="F80">
            <v>0</v>
          </cell>
          <cell r="G80">
            <v>0</v>
          </cell>
          <cell r="H80">
            <v>84</v>
          </cell>
          <cell r="I80">
            <v>88</v>
          </cell>
          <cell r="J80">
            <v>86</v>
          </cell>
          <cell r="K80">
            <v>87</v>
          </cell>
        </row>
        <row r="81">
          <cell r="D81">
            <v>3302227</v>
          </cell>
          <cell r="E81">
            <v>47</v>
          </cell>
          <cell r="F81">
            <v>30</v>
          </cell>
          <cell r="G81">
            <v>29</v>
          </cell>
          <cell r="H81">
            <v>29</v>
          </cell>
          <cell r="I81">
            <v>30</v>
          </cell>
          <cell r="J81">
            <v>27</v>
          </cell>
          <cell r="K81">
            <v>30</v>
          </cell>
        </row>
        <row r="82">
          <cell r="D82">
            <v>3302231</v>
          </cell>
          <cell r="E82">
            <v>60.5</v>
          </cell>
          <cell r="F82">
            <v>60</v>
          </cell>
          <cell r="G82">
            <v>56</v>
          </cell>
          <cell r="H82">
            <v>59</v>
          </cell>
          <cell r="I82">
            <v>60</v>
          </cell>
          <cell r="J82">
            <v>61</v>
          </cell>
          <cell r="K82">
            <v>60</v>
          </cell>
        </row>
        <row r="83">
          <cell r="D83">
            <v>3302236</v>
          </cell>
          <cell r="E83">
            <v>0</v>
          </cell>
          <cell r="F83">
            <v>0</v>
          </cell>
          <cell r="G83">
            <v>0</v>
          </cell>
          <cell r="H83">
            <v>59</v>
          </cell>
          <cell r="I83">
            <v>48</v>
          </cell>
          <cell r="J83">
            <v>54</v>
          </cell>
          <cell r="K83">
            <v>50</v>
          </cell>
        </row>
        <row r="84">
          <cell r="D84">
            <v>3302238</v>
          </cell>
          <cell r="E84">
            <v>60</v>
          </cell>
          <cell r="F84">
            <v>60</v>
          </cell>
          <cell r="G84">
            <v>60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D85">
            <v>3302239</v>
          </cell>
          <cell r="E85">
            <v>58.5</v>
          </cell>
          <cell r="F85">
            <v>61</v>
          </cell>
          <cell r="G85">
            <v>60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D86">
            <v>3302241</v>
          </cell>
          <cell r="E86">
            <v>0</v>
          </cell>
          <cell r="F86">
            <v>0</v>
          </cell>
          <cell r="G86">
            <v>0</v>
          </cell>
          <cell r="H86">
            <v>60</v>
          </cell>
          <cell r="I86">
            <v>52</v>
          </cell>
          <cell r="J86">
            <v>53</v>
          </cell>
          <cell r="K86">
            <v>43</v>
          </cell>
        </row>
        <row r="87">
          <cell r="D87">
            <v>3302245</v>
          </cell>
          <cell r="E87">
            <v>29</v>
          </cell>
          <cell r="F87">
            <v>30</v>
          </cell>
          <cell r="G87">
            <v>30</v>
          </cell>
          <cell r="H87">
            <v>28</v>
          </cell>
          <cell r="I87">
            <v>25</v>
          </cell>
          <cell r="J87">
            <v>29</v>
          </cell>
          <cell r="K87">
            <v>22</v>
          </cell>
        </row>
        <row r="88">
          <cell r="D88">
            <v>3302246</v>
          </cell>
          <cell r="E88">
            <v>88.5</v>
          </cell>
          <cell r="F88">
            <v>63</v>
          </cell>
          <cell r="G88">
            <v>66</v>
          </cell>
          <cell r="H88">
            <v>63</v>
          </cell>
          <cell r="I88">
            <v>58</v>
          </cell>
          <cell r="J88">
            <v>65</v>
          </cell>
          <cell r="K88">
            <v>62</v>
          </cell>
        </row>
        <row r="89">
          <cell r="D89">
            <v>3302251</v>
          </cell>
          <cell r="E89">
            <v>60</v>
          </cell>
          <cell r="F89">
            <v>60</v>
          </cell>
          <cell r="G89">
            <v>60</v>
          </cell>
          <cell r="H89">
            <v>61</v>
          </cell>
          <cell r="I89">
            <v>60</v>
          </cell>
          <cell r="J89">
            <v>60</v>
          </cell>
          <cell r="K89">
            <v>60</v>
          </cell>
        </row>
        <row r="90">
          <cell r="D90">
            <v>3302254</v>
          </cell>
          <cell r="E90">
            <v>80</v>
          </cell>
          <cell r="F90">
            <v>87</v>
          </cell>
          <cell r="G90">
            <v>89</v>
          </cell>
          <cell r="H90">
            <v>89</v>
          </cell>
          <cell r="I90">
            <v>90</v>
          </cell>
          <cell r="J90">
            <v>89</v>
          </cell>
          <cell r="K90">
            <v>89</v>
          </cell>
        </row>
        <row r="91">
          <cell r="D91">
            <v>3302263</v>
          </cell>
          <cell r="E91">
            <v>59</v>
          </cell>
          <cell r="F91">
            <v>60</v>
          </cell>
          <cell r="G91">
            <v>59</v>
          </cell>
          <cell r="H91">
            <v>60</v>
          </cell>
          <cell r="I91">
            <v>48</v>
          </cell>
          <cell r="J91">
            <v>38</v>
          </cell>
          <cell r="K91">
            <v>38</v>
          </cell>
        </row>
        <row r="92">
          <cell r="D92">
            <v>3302272</v>
          </cell>
          <cell r="E92">
            <v>41</v>
          </cell>
          <cell r="F92">
            <v>53</v>
          </cell>
          <cell r="G92">
            <v>57</v>
          </cell>
          <cell r="H92">
            <v>53</v>
          </cell>
          <cell r="I92">
            <v>39</v>
          </cell>
          <cell r="J92">
            <v>57</v>
          </cell>
          <cell r="K92">
            <v>38</v>
          </cell>
        </row>
        <row r="93">
          <cell r="D93">
            <v>3302273</v>
          </cell>
          <cell r="E93">
            <v>34</v>
          </cell>
          <cell r="F93">
            <v>34</v>
          </cell>
          <cell r="G93">
            <v>38</v>
          </cell>
          <cell r="H93">
            <v>41</v>
          </cell>
          <cell r="I93">
            <v>36</v>
          </cell>
          <cell r="J93">
            <v>35</v>
          </cell>
          <cell r="K93">
            <v>34</v>
          </cell>
        </row>
        <row r="94">
          <cell r="D94">
            <v>3302276</v>
          </cell>
          <cell r="E94">
            <v>90</v>
          </cell>
          <cell r="F94">
            <v>90</v>
          </cell>
          <cell r="G94">
            <v>86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D95">
            <v>3302278</v>
          </cell>
          <cell r="E95">
            <v>48</v>
          </cell>
          <cell r="F95">
            <v>61</v>
          </cell>
          <cell r="G95">
            <v>55</v>
          </cell>
          <cell r="H95">
            <v>58</v>
          </cell>
          <cell r="I95">
            <v>45</v>
          </cell>
          <cell r="J95">
            <v>58</v>
          </cell>
          <cell r="K95">
            <v>29</v>
          </cell>
        </row>
        <row r="96">
          <cell r="D96">
            <v>3302283</v>
          </cell>
          <cell r="E96">
            <v>0</v>
          </cell>
          <cell r="F96">
            <v>0</v>
          </cell>
          <cell r="G96">
            <v>0</v>
          </cell>
          <cell r="H96">
            <v>90</v>
          </cell>
          <cell r="I96">
            <v>90</v>
          </cell>
          <cell r="J96">
            <v>90</v>
          </cell>
          <cell r="K96">
            <v>89</v>
          </cell>
        </row>
        <row r="97">
          <cell r="D97">
            <v>3302284</v>
          </cell>
          <cell r="E97">
            <v>30</v>
          </cell>
          <cell r="F97">
            <v>30</v>
          </cell>
          <cell r="G97">
            <v>30</v>
          </cell>
          <cell r="H97">
            <v>30</v>
          </cell>
          <cell r="I97">
            <v>30</v>
          </cell>
          <cell r="J97">
            <v>28</v>
          </cell>
          <cell r="K97">
            <v>30</v>
          </cell>
        </row>
        <row r="98">
          <cell r="D98">
            <v>3302288</v>
          </cell>
          <cell r="E98">
            <v>60</v>
          </cell>
          <cell r="F98">
            <v>60</v>
          </cell>
          <cell r="G98">
            <v>60</v>
          </cell>
          <cell r="H98">
            <v>60</v>
          </cell>
          <cell r="I98">
            <v>60</v>
          </cell>
          <cell r="J98">
            <v>57</v>
          </cell>
          <cell r="K98">
            <v>58</v>
          </cell>
        </row>
        <row r="99">
          <cell r="D99">
            <v>3302289</v>
          </cell>
          <cell r="E99">
            <v>30</v>
          </cell>
          <cell r="F99">
            <v>58</v>
          </cell>
          <cell r="G99">
            <v>31</v>
          </cell>
          <cell r="H99">
            <v>30</v>
          </cell>
          <cell r="I99">
            <v>28</v>
          </cell>
          <cell r="J99">
            <v>26</v>
          </cell>
          <cell r="K99">
            <v>28</v>
          </cell>
        </row>
        <row r="100">
          <cell r="D100">
            <v>3302293</v>
          </cell>
          <cell r="E100">
            <v>0</v>
          </cell>
          <cell r="F100">
            <v>0</v>
          </cell>
          <cell r="G100">
            <v>0</v>
          </cell>
          <cell r="H100">
            <v>89</v>
          </cell>
          <cell r="I100">
            <v>90</v>
          </cell>
          <cell r="J100">
            <v>91</v>
          </cell>
          <cell r="K100">
            <v>90</v>
          </cell>
        </row>
        <row r="101">
          <cell r="D101">
            <v>3302294</v>
          </cell>
          <cell r="E101">
            <v>57</v>
          </cell>
          <cell r="F101">
            <v>51</v>
          </cell>
          <cell r="G101">
            <v>30</v>
          </cell>
          <cell r="H101">
            <v>30</v>
          </cell>
          <cell r="I101">
            <v>29</v>
          </cell>
          <cell r="J101">
            <v>26</v>
          </cell>
          <cell r="K101">
            <v>29</v>
          </cell>
        </row>
        <row r="102">
          <cell r="D102">
            <v>3302296</v>
          </cell>
          <cell r="E102">
            <v>59</v>
          </cell>
          <cell r="F102">
            <v>59</v>
          </cell>
          <cell r="G102">
            <v>60</v>
          </cell>
          <cell r="H102">
            <v>43</v>
          </cell>
          <cell r="I102">
            <v>60</v>
          </cell>
          <cell r="J102">
            <v>55</v>
          </cell>
          <cell r="K102">
            <v>50</v>
          </cell>
        </row>
        <row r="103">
          <cell r="D103">
            <v>3302297</v>
          </cell>
          <cell r="E103">
            <v>89</v>
          </cell>
          <cell r="F103">
            <v>119</v>
          </cell>
          <cell r="G103">
            <v>89</v>
          </cell>
          <cell r="H103">
            <v>88</v>
          </cell>
          <cell r="I103">
            <v>88</v>
          </cell>
          <cell r="J103">
            <v>85</v>
          </cell>
          <cell r="K103">
            <v>90</v>
          </cell>
        </row>
        <row r="104">
          <cell r="D104">
            <v>3302299</v>
          </cell>
          <cell r="E104">
            <v>89</v>
          </cell>
          <cell r="F104">
            <v>90</v>
          </cell>
          <cell r="G104">
            <v>90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>
            <v>3302300</v>
          </cell>
          <cell r="E105">
            <v>90</v>
          </cell>
          <cell r="F105">
            <v>90</v>
          </cell>
          <cell r="G105">
            <v>90</v>
          </cell>
          <cell r="H105">
            <v>90</v>
          </cell>
          <cell r="I105">
            <v>90</v>
          </cell>
          <cell r="J105">
            <v>90</v>
          </cell>
          <cell r="K105">
            <v>60</v>
          </cell>
        </row>
        <row r="106">
          <cell r="D106">
            <v>3302305</v>
          </cell>
          <cell r="E106">
            <v>57</v>
          </cell>
          <cell r="F106">
            <v>60</v>
          </cell>
          <cell r="G106">
            <v>60</v>
          </cell>
          <cell r="H106">
            <v>59</v>
          </cell>
          <cell r="I106">
            <v>54</v>
          </cell>
          <cell r="J106">
            <v>59</v>
          </cell>
          <cell r="K106">
            <v>60</v>
          </cell>
        </row>
        <row r="107">
          <cell r="D107">
            <v>3302306</v>
          </cell>
          <cell r="E107">
            <v>25</v>
          </cell>
          <cell r="F107">
            <v>29</v>
          </cell>
          <cell r="G107">
            <v>31</v>
          </cell>
          <cell r="H107">
            <v>22</v>
          </cell>
          <cell r="I107">
            <v>29</v>
          </cell>
          <cell r="J107">
            <v>24</v>
          </cell>
          <cell r="K107">
            <v>28</v>
          </cell>
        </row>
        <row r="108">
          <cell r="D108">
            <v>3302308</v>
          </cell>
          <cell r="E108">
            <v>60</v>
          </cell>
          <cell r="F108">
            <v>60</v>
          </cell>
          <cell r="G108">
            <v>60</v>
          </cell>
          <cell r="H108">
            <v>60</v>
          </cell>
          <cell r="I108">
            <v>61</v>
          </cell>
          <cell r="J108">
            <v>60</v>
          </cell>
          <cell r="K108">
            <v>61</v>
          </cell>
        </row>
        <row r="109">
          <cell r="D109">
            <v>3302309</v>
          </cell>
          <cell r="E109">
            <v>60</v>
          </cell>
          <cell r="F109">
            <v>59</v>
          </cell>
          <cell r="G109">
            <v>61</v>
          </cell>
          <cell r="H109">
            <v>61</v>
          </cell>
          <cell r="I109">
            <v>60</v>
          </cell>
          <cell r="J109">
            <v>61</v>
          </cell>
          <cell r="K109">
            <v>60</v>
          </cell>
        </row>
        <row r="110">
          <cell r="D110">
            <v>3302312</v>
          </cell>
          <cell r="E110">
            <v>59</v>
          </cell>
          <cell r="F110">
            <v>59</v>
          </cell>
          <cell r="G110">
            <v>62</v>
          </cell>
          <cell r="H110">
            <v>59</v>
          </cell>
          <cell r="I110">
            <v>31</v>
          </cell>
          <cell r="J110">
            <v>31</v>
          </cell>
          <cell r="K110">
            <v>31</v>
          </cell>
        </row>
        <row r="111">
          <cell r="D111">
            <v>3302313</v>
          </cell>
          <cell r="E111">
            <v>60</v>
          </cell>
          <cell r="F111">
            <v>60</v>
          </cell>
          <cell r="G111">
            <v>60</v>
          </cell>
          <cell r="H111">
            <v>60</v>
          </cell>
          <cell r="I111">
            <v>61</v>
          </cell>
          <cell r="J111">
            <v>59</v>
          </cell>
          <cell r="K111">
            <v>60</v>
          </cell>
        </row>
        <row r="112">
          <cell r="D112">
            <v>3302314</v>
          </cell>
          <cell r="E112">
            <v>30</v>
          </cell>
          <cell r="F112">
            <v>30</v>
          </cell>
          <cell r="G112">
            <v>30</v>
          </cell>
          <cell r="H112">
            <v>29</v>
          </cell>
          <cell r="I112">
            <v>30</v>
          </cell>
          <cell r="J112">
            <v>30</v>
          </cell>
          <cell r="K112">
            <v>30</v>
          </cell>
        </row>
        <row r="113">
          <cell r="D113">
            <v>3302315</v>
          </cell>
          <cell r="E113">
            <v>30</v>
          </cell>
          <cell r="F113">
            <v>28</v>
          </cell>
          <cell r="G113">
            <v>30</v>
          </cell>
          <cell r="H113">
            <v>30</v>
          </cell>
          <cell r="I113">
            <v>28</v>
          </cell>
          <cell r="J113">
            <v>30</v>
          </cell>
          <cell r="K113">
            <v>29</v>
          </cell>
        </row>
        <row r="114">
          <cell r="D114">
            <v>3302317</v>
          </cell>
          <cell r="E114">
            <v>89</v>
          </cell>
          <cell r="F114">
            <v>89</v>
          </cell>
          <cell r="G114">
            <v>60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D115">
            <v>3302321</v>
          </cell>
          <cell r="E115">
            <v>30</v>
          </cell>
          <cell r="F115">
            <v>30</v>
          </cell>
          <cell r="G115">
            <v>30</v>
          </cell>
          <cell r="H115">
            <v>30</v>
          </cell>
          <cell r="I115">
            <v>30</v>
          </cell>
          <cell r="J115">
            <v>30</v>
          </cell>
          <cell r="K115">
            <v>28</v>
          </cell>
        </row>
        <row r="116">
          <cell r="D116">
            <v>3302401</v>
          </cell>
          <cell r="E116">
            <v>0</v>
          </cell>
          <cell r="F116">
            <v>0</v>
          </cell>
          <cell r="G116">
            <v>0</v>
          </cell>
          <cell r="H116">
            <v>90</v>
          </cell>
          <cell r="I116">
            <v>90</v>
          </cell>
          <cell r="J116">
            <v>90</v>
          </cell>
          <cell r="K116">
            <v>89</v>
          </cell>
        </row>
        <row r="117">
          <cell r="D117">
            <v>3302402</v>
          </cell>
          <cell r="E117">
            <v>89</v>
          </cell>
          <cell r="F117">
            <v>91</v>
          </cell>
          <cell r="G117">
            <v>90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D118">
            <v>3302406</v>
          </cell>
          <cell r="E118">
            <v>30</v>
          </cell>
          <cell r="F118">
            <v>30</v>
          </cell>
          <cell r="G118">
            <v>30</v>
          </cell>
          <cell r="H118">
            <v>26</v>
          </cell>
          <cell r="I118">
            <v>26</v>
          </cell>
          <cell r="J118">
            <v>29</v>
          </cell>
          <cell r="K118">
            <v>18</v>
          </cell>
        </row>
        <row r="119">
          <cell r="D119">
            <v>3302408</v>
          </cell>
          <cell r="E119">
            <v>0</v>
          </cell>
          <cell r="F119">
            <v>0</v>
          </cell>
          <cell r="G119">
            <v>0</v>
          </cell>
          <cell r="H119">
            <v>58</v>
          </cell>
          <cell r="I119">
            <v>59</v>
          </cell>
          <cell r="J119">
            <v>60</v>
          </cell>
          <cell r="K119">
            <v>57</v>
          </cell>
        </row>
        <row r="120">
          <cell r="D120">
            <v>3302412</v>
          </cell>
          <cell r="E120">
            <v>60</v>
          </cell>
          <cell r="F120">
            <v>60</v>
          </cell>
          <cell r="G120">
            <v>60</v>
          </cell>
          <cell r="H120">
            <v>60</v>
          </cell>
          <cell r="I120">
            <v>60</v>
          </cell>
          <cell r="J120">
            <v>61</v>
          </cell>
          <cell r="K120">
            <v>60</v>
          </cell>
        </row>
        <row r="121">
          <cell r="D121">
            <v>3302416</v>
          </cell>
          <cell r="E121">
            <v>30</v>
          </cell>
          <cell r="F121">
            <v>29</v>
          </cell>
          <cell r="G121">
            <v>30</v>
          </cell>
          <cell r="H121">
            <v>30</v>
          </cell>
          <cell r="I121">
            <v>30</v>
          </cell>
          <cell r="J121">
            <v>31</v>
          </cell>
          <cell r="K121">
            <v>30</v>
          </cell>
        </row>
        <row r="122">
          <cell r="D122">
            <v>3302420</v>
          </cell>
          <cell r="E122">
            <v>30</v>
          </cell>
          <cell r="F122">
            <v>30</v>
          </cell>
          <cell r="G122">
            <v>30</v>
          </cell>
          <cell r="H122">
            <v>30</v>
          </cell>
          <cell r="I122">
            <v>30</v>
          </cell>
          <cell r="J122">
            <v>30</v>
          </cell>
          <cell r="K122">
            <v>30</v>
          </cell>
        </row>
        <row r="123">
          <cell r="D123">
            <v>3302425</v>
          </cell>
          <cell r="E123">
            <v>30</v>
          </cell>
          <cell r="F123">
            <v>29</v>
          </cell>
          <cell r="G123">
            <v>31</v>
          </cell>
          <cell r="H123">
            <v>29</v>
          </cell>
          <cell r="I123">
            <v>28</v>
          </cell>
          <cell r="J123">
            <v>32</v>
          </cell>
          <cell r="K123">
            <v>30</v>
          </cell>
        </row>
        <row r="124">
          <cell r="D124">
            <v>3302429</v>
          </cell>
          <cell r="E124">
            <v>59</v>
          </cell>
          <cell r="F124">
            <v>61</v>
          </cell>
          <cell r="G124">
            <v>60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</row>
        <row r="125">
          <cell r="D125">
            <v>3302434</v>
          </cell>
          <cell r="E125">
            <v>60</v>
          </cell>
          <cell r="F125">
            <v>60</v>
          </cell>
          <cell r="G125">
            <v>60</v>
          </cell>
          <cell r="H125">
            <v>61</v>
          </cell>
          <cell r="I125">
            <v>58</v>
          </cell>
          <cell r="J125">
            <v>61</v>
          </cell>
          <cell r="K125">
            <v>44</v>
          </cell>
        </row>
        <row r="126">
          <cell r="D126">
            <v>3302435</v>
          </cell>
          <cell r="E126">
            <v>60</v>
          </cell>
          <cell r="F126">
            <v>60</v>
          </cell>
          <cell r="G126">
            <v>60</v>
          </cell>
          <cell r="H126">
            <v>60</v>
          </cell>
          <cell r="I126">
            <v>60</v>
          </cell>
          <cell r="J126">
            <v>59</v>
          </cell>
          <cell r="K126">
            <v>60</v>
          </cell>
        </row>
        <row r="127">
          <cell r="D127">
            <v>3302436</v>
          </cell>
          <cell r="E127">
            <v>30</v>
          </cell>
          <cell r="F127">
            <v>30</v>
          </cell>
          <cell r="G127">
            <v>30</v>
          </cell>
          <cell r="H127">
            <v>27</v>
          </cell>
          <cell r="I127">
            <v>30</v>
          </cell>
          <cell r="J127">
            <v>30</v>
          </cell>
          <cell r="K127">
            <v>30</v>
          </cell>
        </row>
        <row r="128">
          <cell r="D128">
            <v>3302437</v>
          </cell>
          <cell r="E128">
            <v>27</v>
          </cell>
          <cell r="F128">
            <v>28</v>
          </cell>
          <cell r="G128">
            <v>28</v>
          </cell>
          <cell r="H128">
            <v>28</v>
          </cell>
          <cell r="I128">
            <v>27</v>
          </cell>
          <cell r="J128">
            <v>25</v>
          </cell>
          <cell r="K128">
            <v>24</v>
          </cell>
        </row>
        <row r="129">
          <cell r="D129">
            <v>3302438</v>
          </cell>
          <cell r="E129">
            <v>30</v>
          </cell>
          <cell r="F129">
            <v>30</v>
          </cell>
          <cell r="G129">
            <v>30</v>
          </cell>
          <cell r="H129">
            <v>28</v>
          </cell>
          <cell r="I129">
            <v>29</v>
          </cell>
          <cell r="J129">
            <v>29</v>
          </cell>
          <cell r="K129">
            <v>29</v>
          </cell>
        </row>
        <row r="130">
          <cell r="D130">
            <v>3302441</v>
          </cell>
          <cell r="E130">
            <v>48</v>
          </cell>
          <cell r="F130">
            <v>59</v>
          </cell>
          <cell r="G130">
            <v>57</v>
          </cell>
          <cell r="H130">
            <v>55</v>
          </cell>
          <cell r="I130">
            <v>45</v>
          </cell>
          <cell r="J130">
            <v>39</v>
          </cell>
          <cell r="K130">
            <v>39</v>
          </cell>
        </row>
        <row r="131">
          <cell r="D131">
            <v>3302442</v>
          </cell>
          <cell r="E131">
            <v>57</v>
          </cell>
          <cell r="F131">
            <v>54</v>
          </cell>
          <cell r="G131">
            <v>57</v>
          </cell>
          <cell r="H131">
            <v>55</v>
          </cell>
          <cell r="I131">
            <v>53</v>
          </cell>
          <cell r="J131">
            <v>55</v>
          </cell>
          <cell r="K131">
            <v>56</v>
          </cell>
        </row>
        <row r="132">
          <cell r="D132">
            <v>3302443</v>
          </cell>
          <cell r="E132">
            <v>60</v>
          </cell>
          <cell r="F132">
            <v>58</v>
          </cell>
          <cell r="G132">
            <v>60</v>
          </cell>
          <cell r="H132">
            <v>57</v>
          </cell>
          <cell r="I132">
            <v>56</v>
          </cell>
          <cell r="J132">
            <v>60</v>
          </cell>
          <cell r="K132">
            <v>47</v>
          </cell>
        </row>
        <row r="133">
          <cell r="D133">
            <v>3302445</v>
          </cell>
          <cell r="E133">
            <v>30</v>
          </cell>
          <cell r="F133">
            <v>30</v>
          </cell>
          <cell r="G133">
            <v>29</v>
          </cell>
          <cell r="H133">
            <v>28</v>
          </cell>
          <cell r="I133">
            <v>28</v>
          </cell>
          <cell r="J133">
            <v>28</v>
          </cell>
          <cell r="K133">
            <v>30</v>
          </cell>
        </row>
        <row r="134">
          <cell r="D134">
            <v>3302447</v>
          </cell>
          <cell r="E134">
            <v>89</v>
          </cell>
          <cell r="F134">
            <v>89</v>
          </cell>
          <cell r="G134">
            <v>90</v>
          </cell>
          <cell r="H134">
            <v>90</v>
          </cell>
          <cell r="I134">
            <v>89</v>
          </cell>
          <cell r="J134">
            <v>60</v>
          </cell>
          <cell r="K134">
            <v>60</v>
          </cell>
        </row>
        <row r="135">
          <cell r="D135">
            <v>3302448</v>
          </cell>
          <cell r="E135">
            <v>30</v>
          </cell>
          <cell r="F135">
            <v>30</v>
          </cell>
          <cell r="G135">
            <v>30</v>
          </cell>
          <cell r="H135">
            <v>30</v>
          </cell>
          <cell r="I135">
            <v>30</v>
          </cell>
          <cell r="J135">
            <v>30</v>
          </cell>
          <cell r="K135">
            <v>28</v>
          </cell>
        </row>
        <row r="136">
          <cell r="D136">
            <v>3302449</v>
          </cell>
          <cell r="E136">
            <v>61</v>
          </cell>
          <cell r="F136">
            <v>60</v>
          </cell>
          <cell r="G136">
            <v>60</v>
          </cell>
          <cell r="H136">
            <v>61</v>
          </cell>
          <cell r="I136">
            <v>61</v>
          </cell>
          <cell r="J136">
            <v>60</v>
          </cell>
          <cell r="K136">
            <v>57</v>
          </cell>
        </row>
        <row r="137">
          <cell r="D137">
            <v>3302451</v>
          </cell>
          <cell r="E137">
            <v>60</v>
          </cell>
          <cell r="F137">
            <v>61</v>
          </cell>
          <cell r="G137">
            <v>60</v>
          </cell>
          <cell r="H137">
            <v>60</v>
          </cell>
          <cell r="I137">
            <v>60</v>
          </cell>
          <cell r="J137">
            <v>60</v>
          </cell>
          <cell r="K137">
            <v>60</v>
          </cell>
        </row>
        <row r="138">
          <cell r="D138">
            <v>3302453</v>
          </cell>
          <cell r="E138">
            <v>60</v>
          </cell>
          <cell r="F138">
            <v>60</v>
          </cell>
          <cell r="G138">
            <v>61</v>
          </cell>
          <cell r="H138">
            <v>90</v>
          </cell>
          <cell r="I138">
            <v>60</v>
          </cell>
          <cell r="J138">
            <v>90</v>
          </cell>
          <cell r="K138">
            <v>60</v>
          </cell>
        </row>
        <row r="139">
          <cell r="D139">
            <v>3302454</v>
          </cell>
          <cell r="E139">
            <v>59</v>
          </cell>
          <cell r="F139">
            <v>48</v>
          </cell>
          <cell r="G139">
            <v>50</v>
          </cell>
          <cell r="H139">
            <v>50</v>
          </cell>
          <cell r="I139">
            <v>42</v>
          </cell>
          <cell r="J139">
            <v>48</v>
          </cell>
          <cell r="K139">
            <v>42</v>
          </cell>
        </row>
        <row r="140">
          <cell r="D140">
            <v>3302455</v>
          </cell>
          <cell r="E140">
            <v>56</v>
          </cell>
          <cell r="F140">
            <v>60</v>
          </cell>
          <cell r="G140">
            <v>60</v>
          </cell>
          <cell r="H140">
            <v>58</v>
          </cell>
          <cell r="I140">
            <v>57</v>
          </cell>
          <cell r="J140">
            <v>57</v>
          </cell>
          <cell r="K140">
            <v>57</v>
          </cell>
        </row>
        <row r="141">
          <cell r="D141">
            <v>3302456</v>
          </cell>
          <cell r="E141">
            <v>29</v>
          </cell>
          <cell r="F141">
            <v>30</v>
          </cell>
          <cell r="G141">
            <v>27</v>
          </cell>
          <cell r="H141">
            <v>28</v>
          </cell>
          <cell r="I141">
            <v>25</v>
          </cell>
          <cell r="J141">
            <v>27</v>
          </cell>
          <cell r="K141">
            <v>26</v>
          </cell>
        </row>
        <row r="142">
          <cell r="D142">
            <v>3302457</v>
          </cell>
          <cell r="E142">
            <v>60</v>
          </cell>
          <cell r="F142">
            <v>59</v>
          </cell>
          <cell r="G142">
            <v>61</v>
          </cell>
          <cell r="H142">
            <v>60</v>
          </cell>
          <cell r="I142">
            <v>60</v>
          </cell>
          <cell r="J142">
            <v>59</v>
          </cell>
          <cell r="K142">
            <v>61</v>
          </cell>
        </row>
        <row r="143">
          <cell r="D143">
            <v>3302462</v>
          </cell>
          <cell r="E143">
            <v>60</v>
          </cell>
          <cell r="F143">
            <v>60</v>
          </cell>
          <cell r="G143">
            <v>60</v>
          </cell>
          <cell r="H143">
            <v>60</v>
          </cell>
          <cell r="I143">
            <v>60</v>
          </cell>
          <cell r="J143">
            <v>60</v>
          </cell>
          <cell r="K143">
            <v>61</v>
          </cell>
        </row>
        <row r="144">
          <cell r="D144">
            <v>3302464</v>
          </cell>
          <cell r="E144">
            <v>60</v>
          </cell>
          <cell r="F144">
            <v>59</v>
          </cell>
          <cell r="G144">
            <v>60</v>
          </cell>
          <cell r="H144">
            <v>60</v>
          </cell>
          <cell r="I144">
            <v>60</v>
          </cell>
          <cell r="J144">
            <v>60</v>
          </cell>
          <cell r="K144">
            <v>59</v>
          </cell>
        </row>
        <row r="145">
          <cell r="D145">
            <v>3302465</v>
          </cell>
          <cell r="E145">
            <v>57</v>
          </cell>
          <cell r="F145">
            <v>60</v>
          </cell>
          <cell r="G145">
            <v>60</v>
          </cell>
          <cell r="H145">
            <v>58</v>
          </cell>
          <cell r="I145">
            <v>60</v>
          </cell>
          <cell r="J145">
            <v>59</v>
          </cell>
          <cell r="K145">
            <v>51</v>
          </cell>
        </row>
        <row r="146">
          <cell r="D146">
            <v>3302466</v>
          </cell>
          <cell r="E146">
            <v>85</v>
          </cell>
          <cell r="F146">
            <v>89</v>
          </cell>
          <cell r="G146">
            <v>88</v>
          </cell>
          <cell r="H146">
            <v>90</v>
          </cell>
          <cell r="I146">
            <v>88</v>
          </cell>
          <cell r="J146">
            <v>90</v>
          </cell>
          <cell r="K146">
            <v>90</v>
          </cell>
        </row>
        <row r="147">
          <cell r="D147">
            <v>3302469</v>
          </cell>
          <cell r="E147">
            <v>43</v>
          </cell>
          <cell r="F147">
            <v>45</v>
          </cell>
          <cell r="G147">
            <v>39</v>
          </cell>
          <cell r="H147">
            <v>40</v>
          </cell>
          <cell r="I147">
            <v>32</v>
          </cell>
          <cell r="J147">
            <v>42</v>
          </cell>
          <cell r="K147">
            <v>23</v>
          </cell>
        </row>
        <row r="148">
          <cell r="D148">
            <v>3302471</v>
          </cell>
          <cell r="E148">
            <v>60</v>
          </cell>
          <cell r="F148">
            <v>60</v>
          </cell>
          <cell r="G148">
            <v>59</v>
          </cell>
          <cell r="H148">
            <v>59</v>
          </cell>
          <cell r="I148">
            <v>60</v>
          </cell>
          <cell r="J148">
            <v>60</v>
          </cell>
          <cell r="K148">
            <v>60</v>
          </cell>
        </row>
        <row r="149">
          <cell r="D149">
            <v>3302472</v>
          </cell>
          <cell r="E149">
            <v>89</v>
          </cell>
          <cell r="F149">
            <v>90</v>
          </cell>
          <cell r="G149">
            <v>89</v>
          </cell>
          <cell r="H149">
            <v>90</v>
          </cell>
          <cell r="I149">
            <v>90</v>
          </cell>
          <cell r="J149">
            <v>88</v>
          </cell>
          <cell r="K149">
            <v>89</v>
          </cell>
        </row>
        <row r="150">
          <cell r="D150">
            <v>3302474</v>
          </cell>
          <cell r="E150">
            <v>57</v>
          </cell>
          <cell r="F150">
            <v>60</v>
          </cell>
          <cell r="G150">
            <v>57</v>
          </cell>
          <cell r="H150">
            <v>59</v>
          </cell>
          <cell r="I150">
            <v>58</v>
          </cell>
          <cell r="J150">
            <v>61</v>
          </cell>
          <cell r="K150">
            <v>50</v>
          </cell>
        </row>
        <row r="151">
          <cell r="D151">
            <v>3302475</v>
          </cell>
          <cell r="E151">
            <v>50</v>
          </cell>
          <cell r="F151">
            <v>59</v>
          </cell>
          <cell r="G151">
            <v>59</v>
          </cell>
          <cell r="H151">
            <v>59</v>
          </cell>
          <cell r="I151">
            <v>59</v>
          </cell>
          <cell r="J151">
            <v>59</v>
          </cell>
          <cell r="K151">
            <v>60</v>
          </cell>
        </row>
        <row r="152">
          <cell r="D152">
            <v>3302477</v>
          </cell>
          <cell r="E152">
            <v>90</v>
          </cell>
          <cell r="F152">
            <v>90</v>
          </cell>
          <cell r="G152">
            <v>90</v>
          </cell>
          <cell r="H152">
            <v>89</v>
          </cell>
          <cell r="I152">
            <v>89</v>
          </cell>
          <cell r="J152">
            <v>89</v>
          </cell>
          <cell r="K152">
            <v>90</v>
          </cell>
        </row>
        <row r="153">
          <cell r="D153">
            <v>3302478</v>
          </cell>
          <cell r="E153">
            <v>60</v>
          </cell>
          <cell r="F153">
            <v>90</v>
          </cell>
          <cell r="G153">
            <v>60</v>
          </cell>
          <cell r="H153">
            <v>60</v>
          </cell>
          <cell r="I153">
            <v>60</v>
          </cell>
          <cell r="J153">
            <v>61</v>
          </cell>
          <cell r="K153">
            <v>60</v>
          </cell>
        </row>
        <row r="154">
          <cell r="D154">
            <v>3302479</v>
          </cell>
          <cell r="E154">
            <v>91</v>
          </cell>
          <cell r="F154">
            <v>120</v>
          </cell>
          <cell r="G154">
            <v>90</v>
          </cell>
          <cell r="H154">
            <v>92</v>
          </cell>
          <cell r="I154">
            <v>91</v>
          </cell>
          <cell r="J154">
            <v>90</v>
          </cell>
          <cell r="K154">
            <v>91</v>
          </cell>
        </row>
        <row r="155">
          <cell r="D155">
            <v>3302480</v>
          </cell>
          <cell r="E155">
            <v>58</v>
          </cell>
          <cell r="F155">
            <v>60</v>
          </cell>
          <cell r="G155">
            <v>60</v>
          </cell>
          <cell r="H155">
            <v>58</v>
          </cell>
          <cell r="I155">
            <v>47</v>
          </cell>
          <cell r="J155">
            <v>53</v>
          </cell>
          <cell r="K155">
            <v>43</v>
          </cell>
        </row>
        <row r="156">
          <cell r="D156">
            <v>3302482</v>
          </cell>
          <cell r="E156">
            <v>55</v>
          </cell>
          <cell r="F156">
            <v>59</v>
          </cell>
          <cell r="G156">
            <v>53</v>
          </cell>
          <cell r="H156">
            <v>59</v>
          </cell>
          <cell r="I156">
            <v>58</v>
          </cell>
          <cell r="J156">
            <v>60</v>
          </cell>
          <cell r="K156">
            <v>59</v>
          </cell>
        </row>
        <row r="157">
          <cell r="D157">
            <v>3302484</v>
          </cell>
          <cell r="E157">
            <v>90</v>
          </cell>
          <cell r="F157">
            <v>90</v>
          </cell>
          <cell r="G157">
            <v>89</v>
          </cell>
          <cell r="H157">
            <v>90</v>
          </cell>
          <cell r="I157">
            <v>89</v>
          </cell>
          <cell r="J157">
            <v>90</v>
          </cell>
          <cell r="K157">
            <v>120</v>
          </cell>
        </row>
        <row r="158">
          <cell r="D158">
            <v>3302485</v>
          </cell>
          <cell r="E158">
            <v>54</v>
          </cell>
          <cell r="F158">
            <v>61</v>
          </cell>
          <cell r="G158">
            <v>58</v>
          </cell>
          <cell r="H158">
            <v>58</v>
          </cell>
          <cell r="I158">
            <v>56</v>
          </cell>
          <cell r="J158">
            <v>55</v>
          </cell>
          <cell r="K158">
            <v>47</v>
          </cell>
        </row>
        <row r="159">
          <cell r="D159">
            <v>3302486</v>
          </cell>
          <cell r="E159">
            <v>29</v>
          </cell>
          <cell r="F159">
            <v>29</v>
          </cell>
          <cell r="G159">
            <v>28</v>
          </cell>
          <cell r="H159">
            <v>30</v>
          </cell>
          <cell r="I159">
            <v>26</v>
          </cell>
          <cell r="J159">
            <v>28</v>
          </cell>
          <cell r="K159">
            <v>22</v>
          </cell>
        </row>
        <row r="160">
          <cell r="D160">
            <v>3303002</v>
          </cell>
          <cell r="E160">
            <v>30</v>
          </cell>
          <cell r="F160">
            <v>30</v>
          </cell>
          <cell r="G160">
            <v>29</v>
          </cell>
          <cell r="H160">
            <v>30</v>
          </cell>
          <cell r="I160">
            <v>30</v>
          </cell>
          <cell r="J160">
            <v>30</v>
          </cell>
          <cell r="K160">
            <v>30</v>
          </cell>
        </row>
        <row r="161">
          <cell r="D161">
            <v>3303003</v>
          </cell>
          <cell r="E161">
            <v>31</v>
          </cell>
          <cell r="F161">
            <v>30</v>
          </cell>
          <cell r="G161">
            <v>30</v>
          </cell>
          <cell r="H161">
            <v>30</v>
          </cell>
          <cell r="I161">
            <v>28</v>
          </cell>
          <cell r="J161">
            <v>28</v>
          </cell>
          <cell r="K161">
            <v>30</v>
          </cell>
        </row>
        <row r="162">
          <cell r="D162">
            <v>3303004</v>
          </cell>
          <cell r="E162">
            <v>29.5</v>
          </cell>
          <cell r="F162">
            <v>31</v>
          </cell>
          <cell r="G162">
            <v>30</v>
          </cell>
          <cell r="H162">
            <v>30</v>
          </cell>
          <cell r="I162">
            <v>30</v>
          </cell>
          <cell r="J162">
            <v>30</v>
          </cell>
          <cell r="K162">
            <v>30</v>
          </cell>
        </row>
        <row r="163">
          <cell r="D163">
            <v>3303010</v>
          </cell>
          <cell r="E163">
            <v>59</v>
          </cell>
          <cell r="F163">
            <v>62</v>
          </cell>
          <cell r="G163">
            <v>60</v>
          </cell>
          <cell r="H163">
            <v>59</v>
          </cell>
          <cell r="I163">
            <v>60</v>
          </cell>
          <cell r="J163">
            <v>60</v>
          </cell>
          <cell r="K163">
            <v>59</v>
          </cell>
        </row>
        <row r="164">
          <cell r="D164">
            <v>3303016</v>
          </cell>
          <cell r="E164">
            <v>30</v>
          </cell>
          <cell r="F164">
            <v>32</v>
          </cell>
          <cell r="G164">
            <v>29</v>
          </cell>
          <cell r="H164">
            <v>30</v>
          </cell>
          <cell r="I164">
            <v>28</v>
          </cell>
          <cell r="J164">
            <v>28</v>
          </cell>
          <cell r="K164">
            <v>30</v>
          </cell>
        </row>
        <row r="165">
          <cell r="D165">
            <v>3303019</v>
          </cell>
          <cell r="E165">
            <v>60</v>
          </cell>
          <cell r="F165">
            <v>60</v>
          </cell>
          <cell r="G165">
            <v>59</v>
          </cell>
          <cell r="H165">
            <v>60</v>
          </cell>
          <cell r="I165">
            <v>60</v>
          </cell>
          <cell r="J165">
            <v>62</v>
          </cell>
          <cell r="K165">
            <v>57</v>
          </cell>
        </row>
        <row r="166">
          <cell r="D166">
            <v>3303025</v>
          </cell>
          <cell r="E166">
            <v>59</v>
          </cell>
          <cell r="F166">
            <v>60</v>
          </cell>
          <cell r="G166">
            <v>30</v>
          </cell>
          <cell r="H166">
            <v>28</v>
          </cell>
          <cell r="I166">
            <v>29</v>
          </cell>
          <cell r="J166">
            <v>26</v>
          </cell>
          <cell r="K166">
            <v>30</v>
          </cell>
        </row>
        <row r="167">
          <cell r="D167">
            <v>3303302</v>
          </cell>
          <cell r="E167">
            <v>30</v>
          </cell>
          <cell r="F167">
            <v>30</v>
          </cell>
          <cell r="G167">
            <v>29</v>
          </cell>
          <cell r="H167">
            <v>30</v>
          </cell>
          <cell r="I167">
            <v>30</v>
          </cell>
          <cell r="J167">
            <v>28</v>
          </cell>
          <cell r="K167">
            <v>30</v>
          </cell>
        </row>
        <row r="168">
          <cell r="D168">
            <v>3303303</v>
          </cell>
          <cell r="E168">
            <v>30</v>
          </cell>
          <cell r="F168">
            <v>29</v>
          </cell>
          <cell r="G168">
            <v>30</v>
          </cell>
          <cell r="H168">
            <v>30</v>
          </cell>
          <cell r="I168">
            <v>28</v>
          </cell>
          <cell r="J168">
            <v>29</v>
          </cell>
          <cell r="K168">
            <v>28</v>
          </cell>
        </row>
        <row r="169">
          <cell r="D169">
            <v>3303307</v>
          </cell>
          <cell r="E169">
            <v>0</v>
          </cell>
          <cell r="F169">
            <v>0</v>
          </cell>
          <cell r="G169">
            <v>0</v>
          </cell>
          <cell r="H169">
            <v>90</v>
          </cell>
          <cell r="I169">
            <v>92</v>
          </cell>
          <cell r="J169">
            <v>88</v>
          </cell>
          <cell r="K169">
            <v>85</v>
          </cell>
        </row>
        <row r="170">
          <cell r="D170">
            <v>3303310</v>
          </cell>
          <cell r="E170">
            <v>31</v>
          </cell>
          <cell r="F170">
            <v>31</v>
          </cell>
          <cell r="G170">
            <v>30</v>
          </cell>
          <cell r="H170">
            <v>30</v>
          </cell>
          <cell r="I170">
            <v>30</v>
          </cell>
          <cell r="J170">
            <v>30</v>
          </cell>
          <cell r="K170">
            <v>30</v>
          </cell>
        </row>
        <row r="171">
          <cell r="D171">
            <v>3303314</v>
          </cell>
          <cell r="E171">
            <v>31</v>
          </cell>
          <cell r="F171">
            <v>30</v>
          </cell>
          <cell r="G171">
            <v>29</v>
          </cell>
          <cell r="H171">
            <v>29</v>
          </cell>
          <cell r="I171">
            <v>30</v>
          </cell>
          <cell r="J171">
            <v>28</v>
          </cell>
          <cell r="K171">
            <v>25</v>
          </cell>
        </row>
        <row r="172">
          <cell r="D172">
            <v>3303316</v>
          </cell>
          <cell r="E172">
            <v>32</v>
          </cell>
          <cell r="F172">
            <v>32</v>
          </cell>
          <cell r="G172">
            <v>34</v>
          </cell>
          <cell r="H172">
            <v>32</v>
          </cell>
          <cell r="I172">
            <v>30</v>
          </cell>
          <cell r="J172">
            <v>29</v>
          </cell>
          <cell r="K172">
            <v>29</v>
          </cell>
        </row>
        <row r="173">
          <cell r="D173">
            <v>3303317</v>
          </cell>
          <cell r="E173">
            <v>30</v>
          </cell>
          <cell r="F173">
            <v>30</v>
          </cell>
          <cell r="G173">
            <v>30</v>
          </cell>
          <cell r="H173">
            <v>29</v>
          </cell>
          <cell r="I173">
            <v>31</v>
          </cell>
          <cell r="J173">
            <v>30</v>
          </cell>
          <cell r="K173">
            <v>29</v>
          </cell>
        </row>
        <row r="174">
          <cell r="D174">
            <v>3303318</v>
          </cell>
          <cell r="E174">
            <v>60</v>
          </cell>
          <cell r="F174">
            <v>60</v>
          </cell>
          <cell r="G174">
            <v>60</v>
          </cell>
          <cell r="H174">
            <v>59</v>
          </cell>
          <cell r="I174">
            <v>60</v>
          </cell>
          <cell r="J174">
            <v>60</v>
          </cell>
          <cell r="K174">
            <v>53</v>
          </cell>
        </row>
        <row r="175">
          <cell r="D175">
            <v>3303319</v>
          </cell>
          <cell r="E175">
            <v>54</v>
          </cell>
          <cell r="F175">
            <v>53</v>
          </cell>
          <cell r="G175">
            <v>50</v>
          </cell>
          <cell r="H175">
            <v>51</v>
          </cell>
          <cell r="I175">
            <v>42</v>
          </cell>
          <cell r="J175">
            <v>53</v>
          </cell>
          <cell r="K175">
            <v>45</v>
          </cell>
        </row>
        <row r="176">
          <cell r="D176">
            <v>3303320</v>
          </cell>
          <cell r="E176">
            <v>60</v>
          </cell>
          <cell r="F176">
            <v>60</v>
          </cell>
          <cell r="G176">
            <v>60</v>
          </cell>
          <cell r="H176">
            <v>60</v>
          </cell>
          <cell r="I176">
            <v>60</v>
          </cell>
          <cell r="J176">
            <v>59</v>
          </cell>
          <cell r="K176">
            <v>56</v>
          </cell>
        </row>
        <row r="177">
          <cell r="D177">
            <v>3303321</v>
          </cell>
          <cell r="E177">
            <v>61</v>
          </cell>
          <cell r="F177">
            <v>58</v>
          </cell>
          <cell r="G177">
            <v>60</v>
          </cell>
          <cell r="H177">
            <v>54</v>
          </cell>
          <cell r="I177">
            <v>60</v>
          </cell>
          <cell r="J177">
            <v>60</v>
          </cell>
          <cell r="K177">
            <v>59</v>
          </cell>
        </row>
        <row r="178">
          <cell r="D178">
            <v>3303322</v>
          </cell>
          <cell r="E178">
            <v>30</v>
          </cell>
          <cell r="F178">
            <v>30</v>
          </cell>
          <cell r="G178">
            <v>29</v>
          </cell>
          <cell r="H178">
            <v>29</v>
          </cell>
          <cell r="I178">
            <v>26</v>
          </cell>
          <cell r="J178">
            <v>21</v>
          </cell>
          <cell r="K178">
            <v>25</v>
          </cell>
        </row>
        <row r="179">
          <cell r="D179">
            <v>3303323</v>
          </cell>
          <cell r="E179">
            <v>30</v>
          </cell>
          <cell r="F179">
            <v>30</v>
          </cell>
          <cell r="G179">
            <v>29</v>
          </cell>
          <cell r="H179">
            <v>30</v>
          </cell>
          <cell r="I179">
            <v>26</v>
          </cell>
          <cell r="J179">
            <v>30</v>
          </cell>
          <cell r="K179">
            <v>29</v>
          </cell>
        </row>
        <row r="180">
          <cell r="D180">
            <v>3303325</v>
          </cell>
          <cell r="E180">
            <v>56</v>
          </cell>
          <cell r="F180">
            <v>54</v>
          </cell>
          <cell r="G180">
            <v>48</v>
          </cell>
          <cell r="H180">
            <v>49</v>
          </cell>
          <cell r="I180">
            <v>49</v>
          </cell>
          <cell r="J180">
            <v>51</v>
          </cell>
          <cell r="K180">
            <v>49</v>
          </cell>
        </row>
        <row r="181">
          <cell r="D181">
            <v>3303327</v>
          </cell>
          <cell r="E181">
            <v>59</v>
          </cell>
          <cell r="F181">
            <v>60</v>
          </cell>
          <cell r="G181">
            <v>60</v>
          </cell>
          <cell r="H181">
            <v>60</v>
          </cell>
          <cell r="I181">
            <v>59</v>
          </cell>
          <cell r="J181">
            <v>59</v>
          </cell>
          <cell r="K181">
            <v>60</v>
          </cell>
        </row>
        <row r="182">
          <cell r="D182">
            <v>3303328</v>
          </cell>
          <cell r="E182">
            <v>30</v>
          </cell>
          <cell r="F182">
            <v>30</v>
          </cell>
          <cell r="G182">
            <v>30</v>
          </cell>
          <cell r="H182">
            <v>30</v>
          </cell>
          <cell r="I182">
            <v>29</v>
          </cell>
          <cell r="J182">
            <v>28</v>
          </cell>
          <cell r="K182">
            <v>47</v>
          </cell>
        </row>
        <row r="183">
          <cell r="D183">
            <v>3303329</v>
          </cell>
          <cell r="E183">
            <v>30</v>
          </cell>
          <cell r="F183">
            <v>30</v>
          </cell>
          <cell r="G183">
            <v>30</v>
          </cell>
          <cell r="H183">
            <v>28</v>
          </cell>
          <cell r="I183">
            <v>30</v>
          </cell>
          <cell r="J183">
            <v>28</v>
          </cell>
          <cell r="K183">
            <v>27</v>
          </cell>
        </row>
        <row r="184">
          <cell r="D184">
            <v>3303330</v>
          </cell>
          <cell r="E184">
            <v>60</v>
          </cell>
          <cell r="F184">
            <v>61</v>
          </cell>
          <cell r="G184">
            <v>60</v>
          </cell>
          <cell r="H184">
            <v>61</v>
          </cell>
          <cell r="I184">
            <v>60</v>
          </cell>
          <cell r="J184">
            <v>57</v>
          </cell>
          <cell r="K184">
            <v>54</v>
          </cell>
        </row>
        <row r="185">
          <cell r="D185">
            <v>3303331</v>
          </cell>
          <cell r="E185">
            <v>30</v>
          </cell>
          <cell r="F185">
            <v>30</v>
          </cell>
          <cell r="G185">
            <v>30</v>
          </cell>
          <cell r="H185">
            <v>30</v>
          </cell>
          <cell r="I185">
            <v>30</v>
          </cell>
          <cell r="J185">
            <v>29</v>
          </cell>
          <cell r="K185">
            <v>28</v>
          </cell>
        </row>
        <row r="186">
          <cell r="D186">
            <v>3303335</v>
          </cell>
          <cell r="E186">
            <v>30</v>
          </cell>
          <cell r="F186">
            <v>30</v>
          </cell>
          <cell r="G186">
            <v>30</v>
          </cell>
          <cell r="H186">
            <v>30</v>
          </cell>
          <cell r="I186">
            <v>25</v>
          </cell>
          <cell r="J186">
            <v>30</v>
          </cell>
          <cell r="K186">
            <v>30</v>
          </cell>
        </row>
        <row r="187">
          <cell r="D187">
            <v>3303337</v>
          </cell>
          <cell r="E187">
            <v>30</v>
          </cell>
          <cell r="F187">
            <v>30</v>
          </cell>
          <cell r="G187">
            <v>29</v>
          </cell>
          <cell r="H187">
            <v>30</v>
          </cell>
          <cell r="I187">
            <v>30</v>
          </cell>
          <cell r="J187">
            <v>26</v>
          </cell>
          <cell r="K187">
            <v>28</v>
          </cell>
        </row>
        <row r="188">
          <cell r="D188">
            <v>3303339</v>
          </cell>
          <cell r="E188">
            <v>29</v>
          </cell>
          <cell r="F188">
            <v>29</v>
          </cell>
          <cell r="G188">
            <v>29</v>
          </cell>
          <cell r="H188">
            <v>32</v>
          </cell>
          <cell r="I188">
            <v>26</v>
          </cell>
          <cell r="J188">
            <v>30</v>
          </cell>
          <cell r="K188">
            <v>31</v>
          </cell>
        </row>
        <row r="189">
          <cell r="D189">
            <v>3303342</v>
          </cell>
          <cell r="E189">
            <v>60</v>
          </cell>
          <cell r="F189">
            <v>60</v>
          </cell>
          <cell r="G189">
            <v>60</v>
          </cell>
          <cell r="H189">
            <v>58</v>
          </cell>
          <cell r="I189">
            <v>60</v>
          </cell>
          <cell r="J189">
            <v>59</v>
          </cell>
          <cell r="K189">
            <v>53</v>
          </cell>
        </row>
        <row r="190">
          <cell r="D190">
            <v>3303344</v>
          </cell>
          <cell r="E190">
            <v>60</v>
          </cell>
          <cell r="F190">
            <v>60</v>
          </cell>
          <cell r="G190">
            <v>60</v>
          </cell>
          <cell r="H190">
            <v>31</v>
          </cell>
          <cell r="I190">
            <v>32</v>
          </cell>
          <cell r="J190">
            <v>31</v>
          </cell>
          <cell r="K190">
            <v>32</v>
          </cell>
        </row>
        <row r="191">
          <cell r="D191">
            <v>3303346</v>
          </cell>
          <cell r="E191">
            <v>27</v>
          </cell>
          <cell r="F191">
            <v>30</v>
          </cell>
          <cell r="G191">
            <v>30</v>
          </cell>
          <cell r="H191">
            <v>30</v>
          </cell>
          <cell r="I191">
            <v>28</v>
          </cell>
          <cell r="J191">
            <v>29</v>
          </cell>
          <cell r="K191">
            <v>28</v>
          </cell>
        </row>
        <row r="192">
          <cell r="D192">
            <v>3303347</v>
          </cell>
          <cell r="E192">
            <v>21</v>
          </cell>
          <cell r="F192">
            <v>30</v>
          </cell>
          <cell r="G192">
            <v>28</v>
          </cell>
          <cell r="H192">
            <v>28</v>
          </cell>
          <cell r="I192">
            <v>27</v>
          </cell>
          <cell r="J192">
            <v>21</v>
          </cell>
          <cell r="K192">
            <v>26</v>
          </cell>
        </row>
        <row r="193">
          <cell r="D193">
            <v>3303349</v>
          </cell>
          <cell r="E193">
            <v>46</v>
          </cell>
          <cell r="F193">
            <v>44</v>
          </cell>
          <cell r="G193">
            <v>47</v>
          </cell>
          <cell r="H193">
            <v>49</v>
          </cell>
          <cell r="I193">
            <v>52</v>
          </cell>
          <cell r="J193">
            <v>49</v>
          </cell>
          <cell r="K193">
            <v>45</v>
          </cell>
        </row>
        <row r="194">
          <cell r="D194">
            <v>3303350</v>
          </cell>
          <cell r="E194">
            <v>60</v>
          </cell>
          <cell r="F194">
            <v>56</v>
          </cell>
          <cell r="G194">
            <v>59</v>
          </cell>
          <cell r="H194">
            <v>57</v>
          </cell>
          <cell r="I194">
            <v>56</v>
          </cell>
          <cell r="J194">
            <v>61</v>
          </cell>
          <cell r="K194">
            <v>59</v>
          </cell>
        </row>
        <row r="195">
          <cell r="D195">
            <v>3303351</v>
          </cell>
          <cell r="E195">
            <v>30</v>
          </cell>
          <cell r="F195">
            <v>31</v>
          </cell>
          <cell r="G195">
            <v>31</v>
          </cell>
          <cell r="H195">
            <v>26</v>
          </cell>
          <cell r="I195">
            <v>29</v>
          </cell>
          <cell r="J195">
            <v>26</v>
          </cell>
          <cell r="K195">
            <v>30</v>
          </cell>
        </row>
        <row r="196">
          <cell r="D196">
            <v>3303352</v>
          </cell>
          <cell r="E196">
            <v>30</v>
          </cell>
          <cell r="F196">
            <v>30</v>
          </cell>
          <cell r="G196">
            <v>30</v>
          </cell>
          <cell r="H196">
            <v>31</v>
          </cell>
          <cell r="I196">
            <v>30</v>
          </cell>
          <cell r="J196">
            <v>29</v>
          </cell>
          <cell r="K196">
            <v>30</v>
          </cell>
        </row>
        <row r="197">
          <cell r="D197">
            <v>3303353</v>
          </cell>
          <cell r="E197">
            <v>0</v>
          </cell>
          <cell r="F197">
            <v>0</v>
          </cell>
          <cell r="G197">
            <v>0</v>
          </cell>
          <cell r="H197">
            <v>96</v>
          </cell>
          <cell r="I197">
            <v>95</v>
          </cell>
          <cell r="J197">
            <v>96</v>
          </cell>
          <cell r="K197">
            <v>95</v>
          </cell>
        </row>
        <row r="198">
          <cell r="D198">
            <v>3303354</v>
          </cell>
          <cell r="E198">
            <v>90</v>
          </cell>
          <cell r="F198">
            <v>90</v>
          </cell>
          <cell r="G198">
            <v>90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D199">
            <v>3303355</v>
          </cell>
          <cell r="E199">
            <v>60</v>
          </cell>
          <cell r="F199">
            <v>60</v>
          </cell>
          <cell r="G199">
            <v>60</v>
          </cell>
          <cell r="H199">
            <v>59</v>
          </cell>
          <cell r="I199">
            <v>58</v>
          </cell>
          <cell r="J199">
            <v>60</v>
          </cell>
          <cell r="K199">
            <v>58</v>
          </cell>
        </row>
        <row r="200">
          <cell r="D200">
            <v>3303356</v>
          </cell>
          <cell r="E200">
            <v>30</v>
          </cell>
          <cell r="F200">
            <v>30</v>
          </cell>
          <cell r="G200">
            <v>30</v>
          </cell>
          <cell r="H200">
            <v>29</v>
          </cell>
          <cell r="I200">
            <v>31</v>
          </cell>
          <cell r="J200">
            <v>31</v>
          </cell>
          <cell r="K200">
            <v>29</v>
          </cell>
        </row>
        <row r="201">
          <cell r="D201">
            <v>3303357</v>
          </cell>
          <cell r="E201">
            <v>30</v>
          </cell>
          <cell r="F201">
            <v>30</v>
          </cell>
          <cell r="G201">
            <v>30</v>
          </cell>
          <cell r="H201">
            <v>29</v>
          </cell>
          <cell r="I201">
            <v>29</v>
          </cell>
          <cell r="J201">
            <v>29</v>
          </cell>
          <cell r="K201">
            <v>26</v>
          </cell>
        </row>
        <row r="202">
          <cell r="D202">
            <v>3303358</v>
          </cell>
          <cell r="E202">
            <v>30</v>
          </cell>
          <cell r="F202">
            <v>30</v>
          </cell>
          <cell r="G202">
            <v>30</v>
          </cell>
          <cell r="H202">
            <v>27</v>
          </cell>
          <cell r="I202">
            <v>30</v>
          </cell>
          <cell r="J202">
            <v>29</v>
          </cell>
          <cell r="K202">
            <v>25</v>
          </cell>
        </row>
        <row r="203">
          <cell r="D203">
            <v>3303359</v>
          </cell>
          <cell r="E203">
            <v>51</v>
          </cell>
          <cell r="F203">
            <v>50</v>
          </cell>
          <cell r="G203">
            <v>29</v>
          </cell>
          <cell r="H203">
            <v>31</v>
          </cell>
          <cell r="I203">
            <v>28</v>
          </cell>
          <cell r="J203">
            <v>29</v>
          </cell>
          <cell r="K203">
            <v>30</v>
          </cell>
        </row>
        <row r="204">
          <cell r="D204">
            <v>3303360</v>
          </cell>
          <cell r="E204">
            <v>30</v>
          </cell>
          <cell r="F204">
            <v>30</v>
          </cell>
          <cell r="G204">
            <v>30</v>
          </cell>
          <cell r="H204">
            <v>27</v>
          </cell>
          <cell r="I204">
            <v>29</v>
          </cell>
          <cell r="J204">
            <v>29</v>
          </cell>
          <cell r="K204">
            <v>30</v>
          </cell>
        </row>
        <row r="205">
          <cell r="D205">
            <v>3303361</v>
          </cell>
          <cell r="E205">
            <v>31</v>
          </cell>
          <cell r="F205">
            <v>33</v>
          </cell>
          <cell r="G205">
            <v>33</v>
          </cell>
          <cell r="H205">
            <v>32</v>
          </cell>
          <cell r="I205">
            <v>43</v>
          </cell>
          <cell r="J205">
            <v>31</v>
          </cell>
          <cell r="K205">
            <v>30</v>
          </cell>
        </row>
        <row r="206">
          <cell r="D206">
            <v>3303362</v>
          </cell>
          <cell r="E206">
            <v>30</v>
          </cell>
          <cell r="F206">
            <v>30</v>
          </cell>
          <cell r="G206">
            <v>30</v>
          </cell>
          <cell r="H206">
            <v>30</v>
          </cell>
          <cell r="I206">
            <v>29</v>
          </cell>
          <cell r="J206">
            <v>30</v>
          </cell>
          <cell r="K206">
            <v>29</v>
          </cell>
        </row>
        <row r="207">
          <cell r="D207">
            <v>3303363</v>
          </cell>
          <cell r="E207">
            <v>60</v>
          </cell>
          <cell r="F207">
            <v>60</v>
          </cell>
          <cell r="G207">
            <v>45</v>
          </cell>
          <cell r="H207">
            <v>46</v>
          </cell>
          <cell r="I207">
            <v>47</v>
          </cell>
          <cell r="J207">
            <v>39</v>
          </cell>
          <cell r="K207">
            <v>49</v>
          </cell>
        </row>
        <row r="208">
          <cell r="D208">
            <v>3303365</v>
          </cell>
          <cell r="E208">
            <v>30</v>
          </cell>
          <cell r="F208">
            <v>29</v>
          </cell>
          <cell r="G208">
            <v>31</v>
          </cell>
          <cell r="H208">
            <v>28</v>
          </cell>
          <cell r="I208">
            <v>32</v>
          </cell>
          <cell r="J208">
            <v>29</v>
          </cell>
          <cell r="K208">
            <v>28</v>
          </cell>
        </row>
        <row r="209">
          <cell r="D209">
            <v>3303366</v>
          </cell>
          <cell r="E209">
            <v>29</v>
          </cell>
          <cell r="F209">
            <v>30</v>
          </cell>
          <cell r="G209">
            <v>30</v>
          </cell>
          <cell r="H209">
            <v>26</v>
          </cell>
          <cell r="I209">
            <v>28</v>
          </cell>
          <cell r="J209">
            <v>25</v>
          </cell>
          <cell r="K209">
            <v>21</v>
          </cell>
        </row>
        <row r="210">
          <cell r="D210">
            <v>3303367</v>
          </cell>
          <cell r="E210">
            <v>30</v>
          </cell>
          <cell r="F210">
            <v>30</v>
          </cell>
          <cell r="G210">
            <v>30</v>
          </cell>
          <cell r="H210">
            <v>30</v>
          </cell>
          <cell r="I210">
            <v>29</v>
          </cell>
          <cell r="J210">
            <v>29</v>
          </cell>
          <cell r="K210">
            <v>27</v>
          </cell>
        </row>
        <row r="211">
          <cell r="D211">
            <v>3303371</v>
          </cell>
          <cell r="E211">
            <v>90</v>
          </cell>
          <cell r="F211">
            <v>90</v>
          </cell>
          <cell r="G211">
            <v>90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D212">
            <v>3303372</v>
          </cell>
          <cell r="E212">
            <v>88</v>
          </cell>
          <cell r="F212">
            <v>90</v>
          </cell>
          <cell r="G212">
            <v>90</v>
          </cell>
          <cell r="H212">
            <v>88</v>
          </cell>
          <cell r="I212">
            <v>90</v>
          </cell>
          <cell r="J212">
            <v>85</v>
          </cell>
          <cell r="K212">
            <v>86</v>
          </cell>
        </row>
        <row r="213">
          <cell r="D213">
            <v>3303374</v>
          </cell>
          <cell r="E213">
            <v>30</v>
          </cell>
          <cell r="F213">
            <v>30</v>
          </cell>
          <cell r="G213">
            <v>30</v>
          </cell>
          <cell r="H213">
            <v>30</v>
          </cell>
          <cell r="I213">
            <v>30</v>
          </cell>
          <cell r="J213">
            <v>30</v>
          </cell>
          <cell r="K213">
            <v>30</v>
          </cell>
        </row>
        <row r="214">
          <cell r="D214">
            <v>3303375</v>
          </cell>
          <cell r="E214">
            <v>59</v>
          </cell>
          <cell r="F214">
            <v>60</v>
          </cell>
          <cell r="G214">
            <v>56</v>
          </cell>
          <cell r="H214">
            <v>57</v>
          </cell>
          <cell r="I214">
            <v>53</v>
          </cell>
          <cell r="J214">
            <v>54</v>
          </cell>
          <cell r="K214">
            <v>55</v>
          </cell>
        </row>
        <row r="215">
          <cell r="D215">
            <v>3303377</v>
          </cell>
          <cell r="E215">
            <v>30</v>
          </cell>
          <cell r="F215">
            <v>29</v>
          </cell>
          <cell r="G215">
            <v>30</v>
          </cell>
          <cell r="H215">
            <v>29</v>
          </cell>
          <cell r="I215">
            <v>24</v>
          </cell>
          <cell r="J215">
            <v>23</v>
          </cell>
          <cell r="K215">
            <v>30</v>
          </cell>
        </row>
        <row r="216">
          <cell r="D216">
            <v>3303379</v>
          </cell>
          <cell r="E216">
            <v>28</v>
          </cell>
          <cell r="F216">
            <v>26</v>
          </cell>
          <cell r="G216">
            <v>27</v>
          </cell>
          <cell r="H216">
            <v>29</v>
          </cell>
          <cell r="I216">
            <v>30</v>
          </cell>
          <cell r="J216">
            <v>27</v>
          </cell>
          <cell r="K216">
            <v>27</v>
          </cell>
        </row>
        <row r="217">
          <cell r="D217">
            <v>3303380</v>
          </cell>
          <cell r="E217">
            <v>30</v>
          </cell>
          <cell r="F217">
            <v>30</v>
          </cell>
          <cell r="G217">
            <v>30</v>
          </cell>
          <cell r="H217">
            <v>31</v>
          </cell>
          <cell r="I217">
            <v>29</v>
          </cell>
          <cell r="J217">
            <v>30</v>
          </cell>
          <cell r="K217">
            <v>30</v>
          </cell>
        </row>
        <row r="218">
          <cell r="D218">
            <v>3303381</v>
          </cell>
          <cell r="E218">
            <v>30</v>
          </cell>
          <cell r="F218">
            <v>30</v>
          </cell>
          <cell r="G218">
            <v>30</v>
          </cell>
          <cell r="H218">
            <v>30</v>
          </cell>
          <cell r="I218">
            <v>30</v>
          </cell>
          <cell r="J218">
            <v>29</v>
          </cell>
          <cell r="K218">
            <v>30</v>
          </cell>
        </row>
        <row r="219">
          <cell r="D219">
            <v>3303382</v>
          </cell>
          <cell r="E219">
            <v>30</v>
          </cell>
          <cell r="F219">
            <v>30</v>
          </cell>
          <cell r="G219">
            <v>30</v>
          </cell>
          <cell r="H219">
            <v>28</v>
          </cell>
          <cell r="I219">
            <v>28</v>
          </cell>
          <cell r="J219">
            <v>27</v>
          </cell>
          <cell r="K219">
            <v>27</v>
          </cell>
        </row>
        <row r="220">
          <cell r="D220">
            <v>3303383</v>
          </cell>
          <cell r="E220">
            <v>30</v>
          </cell>
          <cell r="F220">
            <v>30</v>
          </cell>
          <cell r="G220">
            <v>30</v>
          </cell>
          <cell r="H220">
            <v>30</v>
          </cell>
          <cell r="I220">
            <v>30</v>
          </cell>
          <cell r="J220">
            <v>30</v>
          </cell>
          <cell r="K220">
            <v>30</v>
          </cell>
        </row>
        <row r="221">
          <cell r="D221">
            <v>3303385</v>
          </cell>
          <cell r="E221">
            <v>30</v>
          </cell>
          <cell r="F221">
            <v>30</v>
          </cell>
          <cell r="G221">
            <v>30</v>
          </cell>
          <cell r="H221">
            <v>29</v>
          </cell>
          <cell r="I221">
            <v>30</v>
          </cell>
          <cell r="J221">
            <v>30</v>
          </cell>
          <cell r="K221">
            <v>28</v>
          </cell>
        </row>
        <row r="222">
          <cell r="D222">
            <v>3303386</v>
          </cell>
          <cell r="E222">
            <v>31</v>
          </cell>
          <cell r="F222">
            <v>31</v>
          </cell>
          <cell r="G222">
            <v>30</v>
          </cell>
          <cell r="H222">
            <v>30</v>
          </cell>
          <cell r="I222">
            <v>30</v>
          </cell>
          <cell r="J222">
            <v>30</v>
          </cell>
          <cell r="K222">
            <v>30</v>
          </cell>
        </row>
        <row r="223">
          <cell r="D223">
            <v>3303401</v>
          </cell>
          <cell r="E223">
            <v>30</v>
          </cell>
          <cell r="F223">
            <v>30</v>
          </cell>
          <cell r="G223">
            <v>30</v>
          </cell>
          <cell r="H223">
            <v>29</v>
          </cell>
          <cell r="I223">
            <v>31</v>
          </cell>
          <cell r="J223">
            <v>30</v>
          </cell>
          <cell r="K223">
            <v>30</v>
          </cell>
        </row>
        <row r="224">
          <cell r="D224">
            <v>3303402</v>
          </cell>
          <cell r="E224">
            <v>30</v>
          </cell>
          <cell r="F224">
            <v>30</v>
          </cell>
          <cell r="G224">
            <v>30</v>
          </cell>
          <cell r="H224">
            <v>30</v>
          </cell>
          <cell r="I224">
            <v>31</v>
          </cell>
          <cell r="J224">
            <v>29</v>
          </cell>
          <cell r="K224">
            <v>30</v>
          </cell>
        </row>
        <row r="225">
          <cell r="D225">
            <v>3303403</v>
          </cell>
          <cell r="E225">
            <v>30</v>
          </cell>
          <cell r="F225">
            <v>30</v>
          </cell>
          <cell r="G225">
            <v>30</v>
          </cell>
          <cell r="H225">
            <v>31</v>
          </cell>
          <cell r="I225">
            <v>31</v>
          </cell>
          <cell r="J225">
            <v>30</v>
          </cell>
          <cell r="K225">
            <v>30</v>
          </cell>
        </row>
        <row r="226">
          <cell r="D226">
            <v>3303406</v>
          </cell>
          <cell r="E226">
            <v>50</v>
          </cell>
          <cell r="F226">
            <v>59</v>
          </cell>
          <cell r="G226">
            <v>57</v>
          </cell>
          <cell r="H226">
            <v>50</v>
          </cell>
          <cell r="I226">
            <v>48</v>
          </cell>
          <cell r="J226">
            <v>53</v>
          </cell>
          <cell r="K226">
            <v>50</v>
          </cell>
        </row>
        <row r="227">
          <cell r="D227">
            <v>3303409</v>
          </cell>
          <cell r="E227">
            <v>30</v>
          </cell>
          <cell r="F227">
            <v>30</v>
          </cell>
          <cell r="G227">
            <v>30</v>
          </cell>
          <cell r="H227">
            <v>29</v>
          </cell>
          <cell r="I227">
            <v>28</v>
          </cell>
          <cell r="J227">
            <v>30</v>
          </cell>
          <cell r="K227">
            <v>30</v>
          </cell>
        </row>
        <row r="228">
          <cell r="D228">
            <v>3303410</v>
          </cell>
          <cell r="E228">
            <v>30</v>
          </cell>
          <cell r="F228">
            <v>30</v>
          </cell>
          <cell r="G228">
            <v>30</v>
          </cell>
          <cell r="H228">
            <v>31</v>
          </cell>
          <cell r="I228">
            <v>30</v>
          </cell>
          <cell r="J228">
            <v>32</v>
          </cell>
          <cell r="K228">
            <v>30</v>
          </cell>
        </row>
        <row r="229">
          <cell r="D229">
            <v>3303411</v>
          </cell>
          <cell r="E229">
            <v>51.5</v>
          </cell>
          <cell r="F229">
            <v>60</v>
          </cell>
          <cell r="G229">
            <v>57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D230">
            <v>3303412</v>
          </cell>
          <cell r="E230">
            <v>117</v>
          </cell>
          <cell r="F230">
            <v>113</v>
          </cell>
          <cell r="G230">
            <v>116</v>
          </cell>
          <cell r="H230">
            <v>88</v>
          </cell>
          <cell r="I230">
            <v>87</v>
          </cell>
          <cell r="J230">
            <v>88</v>
          </cell>
          <cell r="K230">
            <v>88</v>
          </cell>
        </row>
        <row r="231">
          <cell r="D231">
            <v>3303413</v>
          </cell>
          <cell r="E231">
            <v>90</v>
          </cell>
          <cell r="F231">
            <v>90</v>
          </cell>
          <cell r="G231">
            <v>90</v>
          </cell>
          <cell r="H231">
            <v>89</v>
          </cell>
          <cell r="I231">
            <v>91</v>
          </cell>
          <cell r="J231">
            <v>90</v>
          </cell>
          <cell r="K231">
            <v>90</v>
          </cell>
        </row>
        <row r="232">
          <cell r="D232">
            <v>3303421</v>
          </cell>
          <cell r="E232">
            <v>118</v>
          </cell>
          <cell r="F232">
            <v>120</v>
          </cell>
          <cell r="G232">
            <v>120</v>
          </cell>
          <cell r="H232">
            <v>89</v>
          </cell>
          <cell r="I232">
            <v>90</v>
          </cell>
          <cell r="J232">
            <v>90</v>
          </cell>
          <cell r="K232">
            <v>90</v>
          </cell>
        </row>
        <row r="233">
          <cell r="D233">
            <v>3303428</v>
          </cell>
          <cell r="E233">
            <v>59</v>
          </cell>
          <cell r="F233">
            <v>61</v>
          </cell>
          <cell r="G233">
            <v>60</v>
          </cell>
          <cell r="H233">
            <v>60</v>
          </cell>
          <cell r="I233">
            <v>58</v>
          </cell>
          <cell r="J233">
            <v>59</v>
          </cell>
          <cell r="K233">
            <v>58</v>
          </cell>
        </row>
        <row r="234">
          <cell r="D234">
            <v>3303430</v>
          </cell>
          <cell r="E234">
            <v>120</v>
          </cell>
          <cell r="F234">
            <v>118</v>
          </cell>
          <cell r="G234">
            <v>120</v>
          </cell>
          <cell r="H234">
            <v>89</v>
          </cell>
          <cell r="I234">
            <v>91</v>
          </cell>
          <cell r="J234">
            <v>93</v>
          </cell>
          <cell r="K234">
            <v>89</v>
          </cell>
        </row>
        <row r="235">
          <cell r="D235">
            <v>3303431</v>
          </cell>
          <cell r="E235">
            <v>89</v>
          </cell>
          <cell r="F235">
            <v>90</v>
          </cell>
          <cell r="G235">
            <v>90</v>
          </cell>
          <cell r="H235">
            <v>90</v>
          </cell>
          <cell r="I235">
            <v>88</v>
          </cell>
          <cell r="J235">
            <v>90</v>
          </cell>
          <cell r="K235">
            <v>87</v>
          </cell>
        </row>
        <row r="236">
          <cell r="D236">
            <v>3303432</v>
          </cell>
          <cell r="E236">
            <v>115</v>
          </cell>
          <cell r="F236">
            <v>119</v>
          </cell>
          <cell r="G236">
            <v>119</v>
          </cell>
          <cell r="H236">
            <v>90</v>
          </cell>
          <cell r="I236">
            <v>90</v>
          </cell>
          <cell r="J236">
            <v>90</v>
          </cell>
          <cell r="K236">
            <v>90</v>
          </cell>
        </row>
        <row r="237">
          <cell r="D237">
            <v>3303433</v>
          </cell>
          <cell r="E237">
            <v>61</v>
          </cell>
          <cell r="F237">
            <v>60</v>
          </cell>
          <cell r="G237">
            <v>58</v>
          </cell>
          <cell r="H237">
            <v>60</v>
          </cell>
          <cell r="I237">
            <v>57</v>
          </cell>
          <cell r="J237">
            <v>56</v>
          </cell>
          <cell r="K237">
            <v>47</v>
          </cell>
        </row>
        <row r="238">
          <cell r="D238">
            <v>3303435</v>
          </cell>
          <cell r="E238">
            <v>60</v>
          </cell>
          <cell r="F238">
            <v>60</v>
          </cell>
          <cell r="G238">
            <v>60</v>
          </cell>
          <cell r="H238">
            <v>60</v>
          </cell>
          <cell r="I238">
            <v>60</v>
          </cell>
          <cell r="J238">
            <v>60</v>
          </cell>
          <cell r="K238">
            <v>61</v>
          </cell>
        </row>
        <row r="239">
          <cell r="D239">
            <v>3303436</v>
          </cell>
          <cell r="E239">
            <v>30</v>
          </cell>
          <cell r="F239">
            <v>27</v>
          </cell>
          <cell r="G239">
            <v>31</v>
          </cell>
          <cell r="H239">
            <v>25</v>
          </cell>
          <cell r="I239">
            <v>21</v>
          </cell>
          <cell r="J239">
            <v>22</v>
          </cell>
          <cell r="K239">
            <v>24</v>
          </cell>
        </row>
        <row r="240">
          <cell r="D240">
            <v>3305202</v>
          </cell>
          <cell r="E240">
            <v>0</v>
          </cell>
          <cell r="F240">
            <v>0</v>
          </cell>
          <cell r="G240">
            <v>0</v>
          </cell>
          <cell r="H240">
            <v>89</v>
          </cell>
          <cell r="I240">
            <v>90</v>
          </cell>
          <cell r="J240">
            <v>90</v>
          </cell>
          <cell r="K240">
            <v>88</v>
          </cell>
        </row>
        <row r="241">
          <cell r="D241">
            <v>3305203</v>
          </cell>
          <cell r="E241">
            <v>90</v>
          </cell>
          <cell r="F241">
            <v>90</v>
          </cell>
          <cell r="G241">
            <v>90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D242">
            <v>3305204</v>
          </cell>
          <cell r="E242">
            <v>57</v>
          </cell>
          <cell r="F242">
            <v>60</v>
          </cell>
          <cell r="G242">
            <v>59</v>
          </cell>
          <cell r="H242">
            <v>59</v>
          </cell>
          <cell r="I242">
            <v>57</v>
          </cell>
          <cell r="J242">
            <v>53</v>
          </cell>
          <cell r="K242">
            <v>43</v>
          </cell>
        </row>
        <row r="243">
          <cell r="D243">
            <v>3305205</v>
          </cell>
          <cell r="E243">
            <v>31</v>
          </cell>
          <cell r="F243">
            <v>30</v>
          </cell>
          <cell r="G243">
            <v>30</v>
          </cell>
          <cell r="H243">
            <v>33</v>
          </cell>
          <cell r="I243">
            <v>32</v>
          </cell>
          <cell r="J243">
            <v>32</v>
          </cell>
          <cell r="K243">
            <v>30</v>
          </cell>
        </row>
        <row r="244">
          <cell r="D244">
            <v>3305949</v>
          </cell>
          <cell r="E244">
            <v>87</v>
          </cell>
          <cell r="F244">
            <v>81</v>
          </cell>
          <cell r="G244">
            <v>85</v>
          </cell>
          <cell r="H244">
            <v>54</v>
          </cell>
          <cell r="I244">
            <v>60</v>
          </cell>
          <cell r="J244">
            <v>49</v>
          </cell>
          <cell r="K244">
            <v>40</v>
          </cell>
        </row>
      </sheetData>
      <sheetData sheetId="3">
        <row r="1"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</row>
        <row r="3">
          <cell r="E3">
            <v>3301000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E4">
            <v>3301001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E5">
            <v>3301002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E6">
            <v>3301006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E7">
            <v>3301008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E8">
            <v>3301009</v>
          </cell>
          <cell r="F8">
            <v>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E9">
            <v>3301010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E10">
            <v>3301012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E11">
            <v>3301014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E12">
            <v>3301015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E13">
            <v>3301016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E14">
            <v>3301017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E15">
            <v>3301018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E16">
            <v>3301019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3301020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3301021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E19">
            <v>3301022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E20">
            <v>3301023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E21">
            <v>3301024</v>
          </cell>
          <cell r="F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E22">
            <v>3301025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E23">
            <v>3301026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E24">
            <v>3301027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E25">
            <v>3301028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E26">
            <v>3301038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E27">
            <v>3301048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E28">
            <v>3301049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E29">
            <v>3301802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E30">
            <v>3302002</v>
          </cell>
          <cell r="F30">
            <v>54</v>
          </cell>
          <cell r="G30">
            <v>57</v>
          </cell>
          <cell r="H30">
            <v>57</v>
          </cell>
          <cell r="I30">
            <v>70</v>
          </cell>
          <cell r="J30">
            <v>58</v>
          </cell>
          <cell r="K30">
            <v>56</v>
          </cell>
          <cell r="L30">
            <v>56</v>
          </cell>
        </row>
        <row r="31">
          <cell r="E31">
            <v>3302003</v>
          </cell>
          <cell r="F31">
            <v>88</v>
          </cell>
          <cell r="G31">
            <v>89</v>
          </cell>
          <cell r="H31">
            <v>88</v>
          </cell>
          <cell r="I31">
            <v>88</v>
          </cell>
          <cell r="J31">
            <v>94</v>
          </cell>
          <cell r="K31">
            <v>92</v>
          </cell>
          <cell r="L31">
            <v>95</v>
          </cell>
        </row>
        <row r="32">
          <cell r="E32">
            <v>3302004</v>
          </cell>
          <cell r="F32">
            <v>43</v>
          </cell>
          <cell r="G32">
            <v>45</v>
          </cell>
          <cell r="H32">
            <v>40</v>
          </cell>
          <cell r="I32">
            <v>46</v>
          </cell>
          <cell r="J32">
            <v>43</v>
          </cell>
          <cell r="K32">
            <v>40</v>
          </cell>
          <cell r="L32">
            <v>43</v>
          </cell>
        </row>
        <row r="33">
          <cell r="E33">
            <v>3302005</v>
          </cell>
          <cell r="F33">
            <v>90</v>
          </cell>
          <cell r="G33">
            <v>90</v>
          </cell>
          <cell r="H33">
            <v>90</v>
          </cell>
          <cell r="I33">
            <v>90</v>
          </cell>
          <cell r="J33">
            <v>90</v>
          </cell>
          <cell r="K33">
            <v>89</v>
          </cell>
          <cell r="L33">
            <v>89</v>
          </cell>
        </row>
        <row r="34">
          <cell r="E34">
            <v>3302008</v>
          </cell>
          <cell r="F34">
            <v>63</v>
          </cell>
          <cell r="G34">
            <v>59</v>
          </cell>
          <cell r="H34">
            <v>61</v>
          </cell>
          <cell r="I34">
            <v>60</v>
          </cell>
          <cell r="J34">
            <v>58</v>
          </cell>
          <cell r="K34">
            <v>62</v>
          </cell>
          <cell r="L34">
            <v>59</v>
          </cell>
        </row>
        <row r="35">
          <cell r="E35">
            <v>3302010</v>
          </cell>
          <cell r="F35">
            <v>88</v>
          </cell>
          <cell r="G35">
            <v>88</v>
          </cell>
          <cell r="H35">
            <v>87</v>
          </cell>
          <cell r="I35">
            <v>87</v>
          </cell>
          <cell r="J35">
            <v>89</v>
          </cell>
          <cell r="K35">
            <v>84</v>
          </cell>
          <cell r="L35">
            <v>85</v>
          </cell>
        </row>
        <row r="36">
          <cell r="E36">
            <v>3302011</v>
          </cell>
          <cell r="F36">
            <v>89</v>
          </cell>
          <cell r="G36">
            <v>88</v>
          </cell>
          <cell r="H36">
            <v>89</v>
          </cell>
          <cell r="I36">
            <v>91</v>
          </cell>
          <cell r="J36">
            <v>89</v>
          </cell>
          <cell r="K36">
            <v>90</v>
          </cell>
          <cell r="L36">
            <v>59</v>
          </cell>
        </row>
        <row r="37">
          <cell r="E37">
            <v>3302014</v>
          </cell>
          <cell r="F37">
            <v>55</v>
          </cell>
          <cell r="G37">
            <v>60</v>
          </cell>
          <cell r="H37">
            <v>60</v>
          </cell>
          <cell r="I37">
            <v>58</v>
          </cell>
          <cell r="J37">
            <v>57</v>
          </cell>
          <cell r="K37">
            <v>58</v>
          </cell>
          <cell r="L37">
            <v>48</v>
          </cell>
        </row>
        <row r="38">
          <cell r="E38">
            <v>3302015</v>
          </cell>
          <cell r="F38">
            <v>60</v>
          </cell>
          <cell r="G38">
            <v>59</v>
          </cell>
          <cell r="H38">
            <v>58</v>
          </cell>
          <cell r="I38">
            <v>58</v>
          </cell>
          <cell r="J38">
            <v>54</v>
          </cell>
          <cell r="K38">
            <v>55</v>
          </cell>
          <cell r="L38">
            <v>47</v>
          </cell>
        </row>
        <row r="39">
          <cell r="E39">
            <v>3302016</v>
          </cell>
          <cell r="F39">
            <v>0</v>
          </cell>
          <cell r="G39">
            <v>0</v>
          </cell>
          <cell r="H39">
            <v>0</v>
          </cell>
          <cell r="I39">
            <v>88</v>
          </cell>
          <cell r="J39">
            <v>85</v>
          </cell>
          <cell r="K39">
            <v>84</v>
          </cell>
          <cell r="L39">
            <v>83</v>
          </cell>
        </row>
        <row r="40">
          <cell r="E40">
            <v>3302017</v>
          </cell>
          <cell r="F40">
            <v>90</v>
          </cell>
          <cell r="G40">
            <v>88</v>
          </cell>
          <cell r="H40">
            <v>90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E41">
            <v>3302018</v>
          </cell>
          <cell r="F41">
            <v>28</v>
          </cell>
          <cell r="G41">
            <v>30</v>
          </cell>
          <cell r="H41">
            <v>29</v>
          </cell>
          <cell r="I41">
            <v>28</v>
          </cell>
          <cell r="J41">
            <v>26</v>
          </cell>
          <cell r="K41">
            <v>28</v>
          </cell>
          <cell r="L41">
            <v>23</v>
          </cell>
        </row>
        <row r="42">
          <cell r="E42">
            <v>3302019</v>
          </cell>
          <cell r="F42">
            <v>60</v>
          </cell>
          <cell r="G42">
            <v>60</v>
          </cell>
          <cell r="H42">
            <v>59</v>
          </cell>
          <cell r="I42">
            <v>52</v>
          </cell>
          <cell r="J42">
            <v>46</v>
          </cell>
          <cell r="K42">
            <v>48</v>
          </cell>
          <cell r="L42">
            <v>44</v>
          </cell>
        </row>
        <row r="43">
          <cell r="E43">
            <v>3302020</v>
          </cell>
          <cell r="F43">
            <v>60</v>
          </cell>
          <cell r="G43">
            <v>60</v>
          </cell>
          <cell r="H43">
            <v>60</v>
          </cell>
          <cell r="I43">
            <v>60</v>
          </cell>
          <cell r="J43">
            <v>60</v>
          </cell>
          <cell r="K43">
            <v>60</v>
          </cell>
          <cell r="L43">
            <v>60</v>
          </cell>
        </row>
        <row r="44">
          <cell r="E44">
            <v>3302021</v>
          </cell>
          <cell r="F44">
            <v>30</v>
          </cell>
          <cell r="G44">
            <v>29</v>
          </cell>
          <cell r="H44">
            <v>30</v>
          </cell>
          <cell r="I44">
            <v>28</v>
          </cell>
          <cell r="J44">
            <v>29</v>
          </cell>
          <cell r="K44">
            <v>29</v>
          </cell>
          <cell r="L44">
            <v>24</v>
          </cell>
        </row>
        <row r="45">
          <cell r="E45">
            <v>3302024</v>
          </cell>
          <cell r="F45">
            <v>0</v>
          </cell>
          <cell r="G45">
            <v>0</v>
          </cell>
          <cell r="H45">
            <v>0</v>
          </cell>
          <cell r="I45">
            <v>53</v>
          </cell>
          <cell r="J45">
            <v>56</v>
          </cell>
          <cell r="K45">
            <v>49</v>
          </cell>
          <cell r="L45">
            <v>48</v>
          </cell>
        </row>
        <row r="46">
          <cell r="E46">
            <v>3302025</v>
          </cell>
          <cell r="F46">
            <v>60</v>
          </cell>
          <cell r="G46">
            <v>60</v>
          </cell>
          <cell r="H46">
            <v>60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E47">
            <v>3302026</v>
          </cell>
          <cell r="F47">
            <v>56</v>
          </cell>
          <cell r="G47">
            <v>54</v>
          </cell>
          <cell r="H47">
            <v>61</v>
          </cell>
          <cell r="I47">
            <v>49</v>
          </cell>
          <cell r="J47">
            <v>51</v>
          </cell>
          <cell r="K47">
            <v>26</v>
          </cell>
          <cell r="L47">
            <v>42</v>
          </cell>
        </row>
        <row r="48">
          <cell r="E48">
            <v>3302027</v>
          </cell>
          <cell r="F48">
            <v>0</v>
          </cell>
          <cell r="G48">
            <v>0</v>
          </cell>
          <cell r="H48">
            <v>0</v>
          </cell>
          <cell r="I48">
            <v>90</v>
          </cell>
          <cell r="J48">
            <v>88</v>
          </cell>
          <cell r="K48">
            <v>89</v>
          </cell>
          <cell r="L48">
            <v>70</v>
          </cell>
        </row>
        <row r="49">
          <cell r="E49">
            <v>3302028</v>
          </cell>
          <cell r="F49">
            <v>87</v>
          </cell>
          <cell r="G49">
            <v>90</v>
          </cell>
          <cell r="H49">
            <v>89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E50">
            <v>3302030</v>
          </cell>
          <cell r="F50">
            <v>90</v>
          </cell>
          <cell r="G50">
            <v>90</v>
          </cell>
          <cell r="H50">
            <v>90</v>
          </cell>
          <cell r="I50">
            <v>90</v>
          </cell>
          <cell r="J50">
            <v>90</v>
          </cell>
          <cell r="K50">
            <v>90</v>
          </cell>
          <cell r="L50">
            <v>90</v>
          </cell>
        </row>
        <row r="51">
          <cell r="E51">
            <v>3302031</v>
          </cell>
          <cell r="F51">
            <v>30</v>
          </cell>
          <cell r="G51">
            <v>25</v>
          </cell>
          <cell r="H51">
            <v>28</v>
          </cell>
          <cell r="I51">
            <v>26</v>
          </cell>
          <cell r="J51">
            <v>28</v>
          </cell>
          <cell r="K51">
            <v>30</v>
          </cell>
          <cell r="L51">
            <v>28</v>
          </cell>
        </row>
        <row r="52">
          <cell r="E52">
            <v>3302032</v>
          </cell>
          <cell r="F52">
            <v>57</v>
          </cell>
          <cell r="G52">
            <v>61</v>
          </cell>
          <cell r="H52">
            <v>58</v>
          </cell>
          <cell r="I52">
            <v>50</v>
          </cell>
          <cell r="J52">
            <v>7</v>
          </cell>
          <cell r="K52">
            <v>0</v>
          </cell>
          <cell r="L52">
            <v>0</v>
          </cell>
        </row>
        <row r="53">
          <cell r="E53">
            <v>3302034</v>
          </cell>
          <cell r="F53">
            <v>51</v>
          </cell>
          <cell r="G53">
            <v>51</v>
          </cell>
          <cell r="H53">
            <v>44</v>
          </cell>
          <cell r="I53">
            <v>27</v>
          </cell>
          <cell r="J53">
            <v>26</v>
          </cell>
          <cell r="K53">
            <v>30</v>
          </cell>
          <cell r="L53">
            <v>23</v>
          </cell>
        </row>
        <row r="54">
          <cell r="E54">
            <v>3302035</v>
          </cell>
          <cell r="F54">
            <v>30</v>
          </cell>
          <cell r="G54">
            <v>30</v>
          </cell>
          <cell r="H54">
            <v>30</v>
          </cell>
          <cell r="I54">
            <v>31</v>
          </cell>
          <cell r="J54">
            <v>28</v>
          </cell>
          <cell r="K54">
            <v>29</v>
          </cell>
          <cell r="L54">
            <v>30</v>
          </cell>
        </row>
        <row r="55">
          <cell r="E55">
            <v>3302036</v>
          </cell>
          <cell r="F55">
            <v>57</v>
          </cell>
          <cell r="G55">
            <v>59</v>
          </cell>
          <cell r="H55">
            <v>60</v>
          </cell>
          <cell r="I55">
            <v>56</v>
          </cell>
          <cell r="J55">
            <v>60</v>
          </cell>
          <cell r="K55">
            <v>58</v>
          </cell>
          <cell r="L55">
            <v>59</v>
          </cell>
        </row>
        <row r="56">
          <cell r="E56">
            <v>3302037</v>
          </cell>
          <cell r="F56">
            <v>60</v>
          </cell>
          <cell r="G56">
            <v>30</v>
          </cell>
          <cell r="H56">
            <v>28</v>
          </cell>
          <cell r="I56">
            <v>27</v>
          </cell>
          <cell r="J56">
            <v>30</v>
          </cell>
          <cell r="K56">
            <v>29</v>
          </cell>
          <cell r="L56">
            <v>30</v>
          </cell>
        </row>
        <row r="57">
          <cell r="E57">
            <v>3302038</v>
          </cell>
          <cell r="F57">
            <v>171</v>
          </cell>
          <cell r="G57">
            <v>119</v>
          </cell>
          <cell r="H57">
            <v>89</v>
          </cell>
          <cell r="I57">
            <v>91</v>
          </cell>
          <cell r="J57">
            <v>90</v>
          </cell>
          <cell r="K57">
            <v>89</v>
          </cell>
          <cell r="L57">
            <v>90</v>
          </cell>
        </row>
        <row r="58">
          <cell r="E58">
            <v>3302039</v>
          </cell>
          <cell r="F58">
            <v>60</v>
          </cell>
          <cell r="G58">
            <v>60</v>
          </cell>
          <cell r="H58">
            <v>60</v>
          </cell>
          <cell r="I58">
            <v>60</v>
          </cell>
          <cell r="J58">
            <v>61</v>
          </cell>
          <cell r="K58">
            <v>60</v>
          </cell>
          <cell r="L58">
            <v>60</v>
          </cell>
        </row>
        <row r="59">
          <cell r="E59">
            <v>3302040</v>
          </cell>
          <cell r="F59">
            <v>60</v>
          </cell>
          <cell r="G59">
            <v>60</v>
          </cell>
          <cell r="H59">
            <v>60</v>
          </cell>
          <cell r="I59">
            <v>60</v>
          </cell>
          <cell r="J59">
            <v>59</v>
          </cell>
          <cell r="K59">
            <v>59</v>
          </cell>
          <cell r="L59">
            <v>59</v>
          </cell>
        </row>
        <row r="60">
          <cell r="E60">
            <v>3302041</v>
          </cell>
          <cell r="F60">
            <v>30</v>
          </cell>
          <cell r="G60">
            <v>30</v>
          </cell>
          <cell r="H60">
            <v>18</v>
          </cell>
          <cell r="I60">
            <v>22</v>
          </cell>
          <cell r="J60">
            <v>23</v>
          </cell>
          <cell r="K60">
            <v>10</v>
          </cell>
          <cell r="L60">
            <v>16</v>
          </cell>
        </row>
        <row r="61">
          <cell r="E61">
            <v>3302044</v>
          </cell>
          <cell r="F61">
            <v>44</v>
          </cell>
          <cell r="G61">
            <v>59</v>
          </cell>
          <cell r="H61">
            <v>53</v>
          </cell>
          <cell r="I61">
            <v>59</v>
          </cell>
          <cell r="J61">
            <v>60</v>
          </cell>
          <cell r="K61">
            <v>59</v>
          </cell>
          <cell r="L61">
            <v>60</v>
          </cell>
        </row>
        <row r="62">
          <cell r="E62">
            <v>3302047</v>
          </cell>
          <cell r="F62">
            <v>48</v>
          </cell>
          <cell r="G62">
            <v>58</v>
          </cell>
          <cell r="H62">
            <v>53</v>
          </cell>
          <cell r="I62">
            <v>47</v>
          </cell>
          <cell r="J62">
            <v>54</v>
          </cell>
          <cell r="K62">
            <v>39</v>
          </cell>
          <cell r="L62">
            <v>35</v>
          </cell>
        </row>
        <row r="63">
          <cell r="E63">
            <v>3302048</v>
          </cell>
          <cell r="F63">
            <v>24</v>
          </cell>
          <cell r="G63">
            <v>30</v>
          </cell>
          <cell r="H63">
            <v>30</v>
          </cell>
          <cell r="I63">
            <v>30</v>
          </cell>
          <cell r="J63">
            <v>29</v>
          </cell>
          <cell r="K63">
            <v>24</v>
          </cell>
          <cell r="L63">
            <v>25</v>
          </cell>
        </row>
        <row r="64">
          <cell r="E64">
            <v>3302051</v>
          </cell>
          <cell r="F64">
            <v>0</v>
          </cell>
          <cell r="G64">
            <v>0</v>
          </cell>
          <cell r="H64">
            <v>0</v>
          </cell>
          <cell r="I64">
            <v>57</v>
          </cell>
          <cell r="J64">
            <v>60</v>
          </cell>
          <cell r="K64">
            <v>58</v>
          </cell>
          <cell r="L64">
            <v>56</v>
          </cell>
        </row>
        <row r="65">
          <cell r="E65">
            <v>3302052</v>
          </cell>
          <cell r="F65">
            <v>60</v>
          </cell>
          <cell r="G65">
            <v>59</v>
          </cell>
          <cell r="H65">
            <v>58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E66">
            <v>3302053</v>
          </cell>
          <cell r="F66">
            <v>0</v>
          </cell>
          <cell r="G66">
            <v>0</v>
          </cell>
          <cell r="H66">
            <v>0</v>
          </cell>
          <cell r="I66">
            <v>91</v>
          </cell>
          <cell r="J66">
            <v>91</v>
          </cell>
          <cell r="K66">
            <v>90</v>
          </cell>
          <cell r="L66">
            <v>90</v>
          </cell>
        </row>
        <row r="67">
          <cell r="E67">
            <v>3302054</v>
          </cell>
          <cell r="F67">
            <v>120</v>
          </cell>
          <cell r="G67">
            <v>119</v>
          </cell>
          <cell r="H67">
            <v>121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</row>
        <row r="68">
          <cell r="E68">
            <v>3302055</v>
          </cell>
          <cell r="F68">
            <v>60</v>
          </cell>
          <cell r="G68">
            <v>60</v>
          </cell>
          <cell r="H68">
            <v>58</v>
          </cell>
          <cell r="I68">
            <v>55</v>
          </cell>
          <cell r="J68">
            <v>51</v>
          </cell>
          <cell r="K68">
            <v>48</v>
          </cell>
          <cell r="L68">
            <v>45</v>
          </cell>
        </row>
        <row r="69">
          <cell r="E69">
            <v>3302056</v>
          </cell>
          <cell r="F69">
            <v>45.5</v>
          </cell>
          <cell r="G69">
            <v>50</v>
          </cell>
          <cell r="H69">
            <v>51</v>
          </cell>
          <cell r="I69">
            <v>50</v>
          </cell>
          <cell r="J69">
            <v>54</v>
          </cell>
          <cell r="K69">
            <v>54</v>
          </cell>
          <cell r="L69">
            <v>48</v>
          </cell>
        </row>
        <row r="70">
          <cell r="E70">
            <v>3302057</v>
          </cell>
          <cell r="F70">
            <v>59</v>
          </cell>
          <cell r="G70">
            <v>59</v>
          </cell>
          <cell r="H70">
            <v>61</v>
          </cell>
          <cell r="I70">
            <v>60</v>
          </cell>
          <cell r="J70">
            <v>60</v>
          </cell>
          <cell r="K70">
            <v>59</v>
          </cell>
          <cell r="L70">
            <v>59</v>
          </cell>
        </row>
        <row r="71">
          <cell r="E71">
            <v>3302059</v>
          </cell>
          <cell r="F71">
            <v>30</v>
          </cell>
          <cell r="G71">
            <v>25</v>
          </cell>
          <cell r="H71">
            <v>30</v>
          </cell>
          <cell r="I71">
            <v>29</v>
          </cell>
          <cell r="J71">
            <v>21</v>
          </cell>
          <cell r="K71">
            <v>18</v>
          </cell>
          <cell r="L71">
            <v>21</v>
          </cell>
        </row>
        <row r="72">
          <cell r="E72">
            <v>3302060</v>
          </cell>
          <cell r="F72">
            <v>29</v>
          </cell>
          <cell r="G72">
            <v>29</v>
          </cell>
          <cell r="H72">
            <v>30</v>
          </cell>
          <cell r="I72">
            <v>30</v>
          </cell>
          <cell r="J72">
            <v>30</v>
          </cell>
          <cell r="K72">
            <v>30</v>
          </cell>
          <cell r="L72">
            <v>30</v>
          </cell>
        </row>
        <row r="73">
          <cell r="E73">
            <v>3302061</v>
          </cell>
          <cell r="F73">
            <v>24</v>
          </cell>
          <cell r="G73">
            <v>22</v>
          </cell>
          <cell r="H73">
            <v>22</v>
          </cell>
          <cell r="I73">
            <v>23</v>
          </cell>
          <cell r="J73">
            <v>24</v>
          </cell>
          <cell r="K73">
            <v>28</v>
          </cell>
          <cell r="L73">
            <v>25</v>
          </cell>
        </row>
        <row r="74">
          <cell r="E74">
            <v>3302062</v>
          </cell>
          <cell r="F74">
            <v>100</v>
          </cell>
          <cell r="G74">
            <v>90</v>
          </cell>
          <cell r="H74">
            <v>89</v>
          </cell>
          <cell r="I74">
            <v>89</v>
          </cell>
          <cell r="J74">
            <v>90</v>
          </cell>
          <cell r="K74">
            <v>89</v>
          </cell>
          <cell r="L74">
            <v>90</v>
          </cell>
        </row>
        <row r="75">
          <cell r="E75">
            <v>3302063</v>
          </cell>
          <cell r="F75">
            <v>82</v>
          </cell>
          <cell r="G75">
            <v>90</v>
          </cell>
          <cell r="H75">
            <v>60</v>
          </cell>
          <cell r="I75">
            <v>60</v>
          </cell>
          <cell r="J75">
            <v>60</v>
          </cell>
          <cell r="K75">
            <v>60</v>
          </cell>
          <cell r="L75">
            <v>60</v>
          </cell>
        </row>
        <row r="76">
          <cell r="E76">
            <v>3302064</v>
          </cell>
          <cell r="F76">
            <v>30</v>
          </cell>
          <cell r="G76">
            <v>30</v>
          </cell>
          <cell r="H76">
            <v>30</v>
          </cell>
          <cell r="I76">
            <v>29</v>
          </cell>
          <cell r="J76">
            <v>30</v>
          </cell>
          <cell r="K76">
            <v>30</v>
          </cell>
          <cell r="L76">
            <v>30</v>
          </cell>
        </row>
        <row r="77">
          <cell r="E77">
            <v>3302065</v>
          </cell>
          <cell r="F77">
            <v>90</v>
          </cell>
          <cell r="G77">
            <v>80</v>
          </cell>
          <cell r="H77">
            <v>83</v>
          </cell>
          <cell r="I77">
            <v>90</v>
          </cell>
          <cell r="J77">
            <v>81</v>
          </cell>
          <cell r="K77">
            <v>88</v>
          </cell>
          <cell r="L77">
            <v>73</v>
          </cell>
        </row>
        <row r="78">
          <cell r="E78">
            <v>3302067</v>
          </cell>
          <cell r="F78">
            <v>52</v>
          </cell>
          <cell r="G78">
            <v>56</v>
          </cell>
          <cell r="H78">
            <v>41</v>
          </cell>
          <cell r="I78">
            <v>45</v>
          </cell>
          <cell r="J78">
            <v>44</v>
          </cell>
          <cell r="K78">
            <v>41</v>
          </cell>
          <cell r="L78">
            <v>35</v>
          </cell>
        </row>
        <row r="79">
          <cell r="E79">
            <v>3302068</v>
          </cell>
          <cell r="F79">
            <v>44</v>
          </cell>
          <cell r="G79">
            <v>46</v>
          </cell>
          <cell r="H79">
            <v>39</v>
          </cell>
          <cell r="I79">
            <v>40</v>
          </cell>
          <cell r="J79">
            <v>39</v>
          </cell>
          <cell r="K79">
            <v>28</v>
          </cell>
          <cell r="L79">
            <v>27</v>
          </cell>
        </row>
        <row r="80">
          <cell r="E80">
            <v>3302070</v>
          </cell>
          <cell r="F80">
            <v>84</v>
          </cell>
          <cell r="G80">
            <v>90</v>
          </cell>
          <cell r="H80">
            <v>87</v>
          </cell>
          <cell r="I80">
            <v>88</v>
          </cell>
          <cell r="J80">
            <v>89</v>
          </cell>
          <cell r="K80">
            <v>90</v>
          </cell>
          <cell r="L80">
            <v>89</v>
          </cell>
        </row>
        <row r="81">
          <cell r="E81">
            <v>3302079</v>
          </cell>
          <cell r="F81">
            <v>36</v>
          </cell>
          <cell r="G81">
            <v>35</v>
          </cell>
          <cell r="H81">
            <v>35</v>
          </cell>
          <cell r="I81">
            <v>41</v>
          </cell>
          <cell r="J81">
            <v>39</v>
          </cell>
          <cell r="K81">
            <v>33</v>
          </cell>
          <cell r="L81">
            <v>24</v>
          </cell>
        </row>
        <row r="82">
          <cell r="E82">
            <v>3302081</v>
          </cell>
          <cell r="F82">
            <v>59</v>
          </cell>
          <cell r="G82">
            <v>60</v>
          </cell>
          <cell r="H82">
            <v>60</v>
          </cell>
          <cell r="I82">
            <v>60</v>
          </cell>
          <cell r="J82">
            <v>59</v>
          </cell>
          <cell r="K82">
            <v>60</v>
          </cell>
          <cell r="L82">
            <v>59</v>
          </cell>
        </row>
        <row r="83">
          <cell r="E83">
            <v>3302082</v>
          </cell>
          <cell r="F83">
            <v>61</v>
          </cell>
          <cell r="G83">
            <v>60</v>
          </cell>
          <cell r="H83">
            <v>60</v>
          </cell>
          <cell r="I83">
            <v>60</v>
          </cell>
          <cell r="J83">
            <v>59</v>
          </cell>
          <cell r="K83">
            <v>60</v>
          </cell>
          <cell r="L83">
            <v>59</v>
          </cell>
        </row>
        <row r="84">
          <cell r="E84">
            <v>3302085</v>
          </cell>
          <cell r="F84">
            <v>60</v>
          </cell>
          <cell r="G84">
            <v>61</v>
          </cell>
          <cell r="H84">
            <v>57</v>
          </cell>
          <cell r="I84">
            <v>62</v>
          </cell>
          <cell r="J84">
            <v>62</v>
          </cell>
          <cell r="K84">
            <v>51</v>
          </cell>
          <cell r="L84">
            <v>55</v>
          </cell>
        </row>
        <row r="85">
          <cell r="E85">
            <v>3302086</v>
          </cell>
          <cell r="F85">
            <v>120</v>
          </cell>
          <cell r="G85">
            <v>120</v>
          </cell>
          <cell r="H85">
            <v>120</v>
          </cell>
          <cell r="I85">
            <v>90</v>
          </cell>
          <cell r="J85">
            <v>90</v>
          </cell>
          <cell r="K85">
            <v>90</v>
          </cell>
          <cell r="L85">
            <v>90</v>
          </cell>
        </row>
        <row r="86">
          <cell r="E86">
            <v>3302087</v>
          </cell>
          <cell r="F86">
            <v>30</v>
          </cell>
          <cell r="G86">
            <v>28</v>
          </cell>
          <cell r="H86">
            <v>42</v>
          </cell>
          <cell r="I86">
            <v>41</v>
          </cell>
          <cell r="J86">
            <v>28</v>
          </cell>
          <cell r="K86">
            <v>30</v>
          </cell>
          <cell r="L86">
            <v>24</v>
          </cell>
        </row>
        <row r="87">
          <cell r="E87">
            <v>3302091</v>
          </cell>
          <cell r="F87">
            <v>30</v>
          </cell>
          <cell r="G87">
            <v>30</v>
          </cell>
          <cell r="H87">
            <v>30</v>
          </cell>
          <cell r="I87">
            <v>30</v>
          </cell>
          <cell r="J87">
            <v>29</v>
          </cell>
          <cell r="K87">
            <v>22</v>
          </cell>
          <cell r="L87">
            <v>25</v>
          </cell>
        </row>
        <row r="88">
          <cell r="E88">
            <v>3302092</v>
          </cell>
          <cell r="F88">
            <v>0</v>
          </cell>
          <cell r="G88">
            <v>0</v>
          </cell>
          <cell r="H88">
            <v>0</v>
          </cell>
          <cell r="I88">
            <v>90</v>
          </cell>
          <cell r="J88">
            <v>90</v>
          </cell>
          <cell r="K88">
            <v>90</v>
          </cell>
          <cell r="L88">
            <v>90</v>
          </cell>
        </row>
        <row r="89">
          <cell r="E89">
            <v>3302093</v>
          </cell>
          <cell r="F89">
            <v>120</v>
          </cell>
          <cell r="G89">
            <v>120</v>
          </cell>
          <cell r="H89">
            <v>120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E90">
            <v>3302097</v>
          </cell>
          <cell r="F90">
            <v>30</v>
          </cell>
          <cell r="G90">
            <v>30</v>
          </cell>
          <cell r="H90">
            <v>28</v>
          </cell>
          <cell r="I90">
            <v>27</v>
          </cell>
          <cell r="J90">
            <v>30</v>
          </cell>
          <cell r="K90">
            <v>30</v>
          </cell>
          <cell r="L90">
            <v>28</v>
          </cell>
        </row>
        <row r="91">
          <cell r="E91">
            <v>3302099</v>
          </cell>
          <cell r="F91">
            <v>30</v>
          </cell>
          <cell r="G91">
            <v>29</v>
          </cell>
          <cell r="H91">
            <v>31</v>
          </cell>
          <cell r="I91">
            <v>30</v>
          </cell>
          <cell r="J91">
            <v>29</v>
          </cell>
          <cell r="K91">
            <v>30</v>
          </cell>
          <cell r="L91">
            <v>26</v>
          </cell>
        </row>
        <row r="92">
          <cell r="E92">
            <v>3302101</v>
          </cell>
          <cell r="F92">
            <v>120</v>
          </cell>
          <cell r="G92">
            <v>120</v>
          </cell>
          <cell r="H92">
            <v>120</v>
          </cell>
          <cell r="I92">
            <v>119</v>
          </cell>
          <cell r="J92">
            <v>119</v>
          </cell>
          <cell r="K92">
            <v>117</v>
          </cell>
          <cell r="L92">
            <v>118</v>
          </cell>
        </row>
        <row r="93">
          <cell r="E93">
            <v>3302106</v>
          </cell>
          <cell r="F93">
            <v>58</v>
          </cell>
          <cell r="G93">
            <v>57</v>
          </cell>
          <cell r="H93">
            <v>58</v>
          </cell>
          <cell r="I93">
            <v>56</v>
          </cell>
          <cell r="J93">
            <v>60</v>
          </cell>
          <cell r="K93">
            <v>58</v>
          </cell>
          <cell r="L93">
            <v>59</v>
          </cell>
        </row>
        <row r="94">
          <cell r="E94">
            <v>3302108</v>
          </cell>
          <cell r="F94">
            <v>120</v>
          </cell>
          <cell r="G94">
            <v>120</v>
          </cell>
          <cell r="H94">
            <v>89</v>
          </cell>
          <cell r="I94">
            <v>60</v>
          </cell>
          <cell r="J94">
            <v>60</v>
          </cell>
          <cell r="K94">
            <v>60</v>
          </cell>
          <cell r="L94">
            <v>60</v>
          </cell>
        </row>
        <row r="95">
          <cell r="E95">
            <v>3302111</v>
          </cell>
          <cell r="F95">
            <v>30</v>
          </cell>
          <cell r="G95">
            <v>29</v>
          </cell>
          <cell r="H95">
            <v>27</v>
          </cell>
          <cell r="I95">
            <v>29</v>
          </cell>
          <cell r="J95">
            <v>26</v>
          </cell>
          <cell r="K95">
            <v>14</v>
          </cell>
          <cell r="L95">
            <v>22</v>
          </cell>
        </row>
        <row r="96">
          <cell r="E96">
            <v>3302115</v>
          </cell>
          <cell r="F96">
            <v>44</v>
          </cell>
          <cell r="G96">
            <v>45</v>
          </cell>
          <cell r="H96">
            <v>30</v>
          </cell>
          <cell r="I96">
            <v>41</v>
          </cell>
          <cell r="J96">
            <v>31</v>
          </cell>
          <cell r="K96">
            <v>30</v>
          </cell>
          <cell r="L96">
            <v>23</v>
          </cell>
        </row>
        <row r="97">
          <cell r="E97">
            <v>3302118</v>
          </cell>
          <cell r="F97">
            <v>60</v>
          </cell>
          <cell r="G97">
            <v>60</v>
          </cell>
          <cell r="H97">
            <v>60</v>
          </cell>
          <cell r="I97">
            <v>59</v>
          </cell>
          <cell r="J97">
            <v>60</v>
          </cell>
          <cell r="K97">
            <v>59</v>
          </cell>
          <cell r="L97">
            <v>55</v>
          </cell>
        </row>
        <row r="98">
          <cell r="E98">
            <v>3302119</v>
          </cell>
          <cell r="F98">
            <v>54</v>
          </cell>
          <cell r="G98">
            <v>54</v>
          </cell>
          <cell r="H98">
            <v>53</v>
          </cell>
          <cell r="I98">
            <v>53</v>
          </cell>
          <cell r="J98">
            <v>53</v>
          </cell>
          <cell r="K98">
            <v>54</v>
          </cell>
          <cell r="L98">
            <v>54</v>
          </cell>
        </row>
        <row r="99">
          <cell r="E99">
            <v>3302127</v>
          </cell>
          <cell r="F99">
            <v>58</v>
          </cell>
          <cell r="G99">
            <v>59</v>
          </cell>
          <cell r="H99">
            <v>60</v>
          </cell>
          <cell r="I99">
            <v>59</v>
          </cell>
          <cell r="J99">
            <v>59</v>
          </cell>
          <cell r="K99">
            <v>59</v>
          </cell>
          <cell r="L99">
            <v>60</v>
          </cell>
        </row>
        <row r="100">
          <cell r="E100">
            <v>3302128</v>
          </cell>
          <cell r="F100">
            <v>0</v>
          </cell>
          <cell r="G100">
            <v>0</v>
          </cell>
          <cell r="H100">
            <v>0</v>
          </cell>
          <cell r="I100">
            <v>92</v>
          </cell>
          <cell r="J100">
            <v>93</v>
          </cell>
          <cell r="K100">
            <v>94</v>
          </cell>
          <cell r="L100">
            <v>93</v>
          </cell>
        </row>
        <row r="101">
          <cell r="E101">
            <v>3302129</v>
          </cell>
          <cell r="F101">
            <v>90.5</v>
          </cell>
          <cell r="G101">
            <v>95</v>
          </cell>
          <cell r="H101">
            <v>94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E102">
            <v>3302132</v>
          </cell>
          <cell r="F102">
            <v>89</v>
          </cell>
          <cell r="G102">
            <v>89</v>
          </cell>
          <cell r="H102">
            <v>86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E103">
            <v>3302133</v>
          </cell>
          <cell r="F103">
            <v>59</v>
          </cell>
          <cell r="G103">
            <v>60</v>
          </cell>
          <cell r="H103">
            <v>61</v>
          </cell>
          <cell r="I103">
            <v>59</v>
          </cell>
          <cell r="J103">
            <v>58</v>
          </cell>
          <cell r="K103">
            <v>59</v>
          </cell>
          <cell r="L103">
            <v>60</v>
          </cell>
        </row>
        <row r="104">
          <cell r="E104">
            <v>3302142</v>
          </cell>
          <cell r="F104">
            <v>51</v>
          </cell>
          <cell r="G104">
            <v>29</v>
          </cell>
          <cell r="H104">
            <v>28</v>
          </cell>
          <cell r="I104">
            <v>31</v>
          </cell>
          <cell r="J104">
            <v>27</v>
          </cell>
          <cell r="K104">
            <v>20</v>
          </cell>
          <cell r="L104">
            <v>16</v>
          </cell>
        </row>
        <row r="105">
          <cell r="E105">
            <v>3302149</v>
          </cell>
          <cell r="F105">
            <v>52</v>
          </cell>
          <cell r="G105">
            <v>54</v>
          </cell>
          <cell r="H105">
            <v>30</v>
          </cell>
          <cell r="I105">
            <v>29</v>
          </cell>
          <cell r="J105">
            <v>29</v>
          </cell>
          <cell r="K105">
            <v>28</v>
          </cell>
          <cell r="L105">
            <v>27</v>
          </cell>
        </row>
        <row r="106">
          <cell r="E106">
            <v>3302150</v>
          </cell>
          <cell r="F106">
            <v>78</v>
          </cell>
          <cell r="G106">
            <v>85</v>
          </cell>
          <cell r="H106">
            <v>85</v>
          </cell>
          <cell r="I106">
            <v>60</v>
          </cell>
          <cell r="J106">
            <v>60</v>
          </cell>
          <cell r="K106">
            <v>58</v>
          </cell>
          <cell r="L106">
            <v>60</v>
          </cell>
        </row>
        <row r="107">
          <cell r="E107">
            <v>3302151</v>
          </cell>
          <cell r="F107">
            <v>24</v>
          </cell>
          <cell r="G107">
            <v>30</v>
          </cell>
          <cell r="H107">
            <v>21</v>
          </cell>
          <cell r="I107">
            <v>27</v>
          </cell>
          <cell r="J107">
            <v>29</v>
          </cell>
          <cell r="K107">
            <v>22</v>
          </cell>
          <cell r="L107">
            <v>24</v>
          </cell>
        </row>
        <row r="108">
          <cell r="E108">
            <v>3302153</v>
          </cell>
          <cell r="F108">
            <v>29</v>
          </cell>
          <cell r="G108">
            <v>30</v>
          </cell>
          <cell r="H108">
            <v>29</v>
          </cell>
          <cell r="I108">
            <v>27</v>
          </cell>
          <cell r="J108">
            <v>30</v>
          </cell>
          <cell r="K108">
            <v>29</v>
          </cell>
          <cell r="L108">
            <v>28</v>
          </cell>
        </row>
        <row r="109">
          <cell r="E109">
            <v>3302155</v>
          </cell>
          <cell r="F109">
            <v>0</v>
          </cell>
          <cell r="G109">
            <v>0</v>
          </cell>
          <cell r="H109">
            <v>0</v>
          </cell>
          <cell r="I109">
            <v>54</v>
          </cell>
          <cell r="J109">
            <v>59</v>
          </cell>
          <cell r="K109">
            <v>60</v>
          </cell>
          <cell r="L109">
            <v>38</v>
          </cell>
        </row>
        <row r="110">
          <cell r="E110">
            <v>3302156</v>
          </cell>
          <cell r="F110">
            <v>60</v>
          </cell>
          <cell r="G110">
            <v>60</v>
          </cell>
          <cell r="H110">
            <v>59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E111">
            <v>3302157</v>
          </cell>
          <cell r="F111">
            <v>60</v>
          </cell>
          <cell r="G111">
            <v>60</v>
          </cell>
          <cell r="H111">
            <v>58</v>
          </cell>
          <cell r="I111">
            <v>59</v>
          </cell>
          <cell r="J111">
            <v>54</v>
          </cell>
          <cell r="K111">
            <v>50</v>
          </cell>
          <cell r="L111">
            <v>50</v>
          </cell>
        </row>
        <row r="112">
          <cell r="E112">
            <v>3302159</v>
          </cell>
          <cell r="F112">
            <v>30</v>
          </cell>
          <cell r="G112">
            <v>30</v>
          </cell>
          <cell r="H112">
            <v>30</v>
          </cell>
          <cell r="I112">
            <v>30</v>
          </cell>
          <cell r="J112">
            <v>30</v>
          </cell>
          <cell r="K112">
            <v>30</v>
          </cell>
          <cell r="L112">
            <v>29</v>
          </cell>
        </row>
        <row r="113">
          <cell r="E113">
            <v>3302160</v>
          </cell>
          <cell r="F113">
            <v>0</v>
          </cell>
          <cell r="G113">
            <v>0</v>
          </cell>
          <cell r="H113">
            <v>0</v>
          </cell>
          <cell r="I113">
            <v>64</v>
          </cell>
          <cell r="J113">
            <v>53</v>
          </cell>
          <cell r="K113">
            <v>60</v>
          </cell>
          <cell r="L113">
            <v>41</v>
          </cell>
        </row>
        <row r="114">
          <cell r="E114">
            <v>3302161</v>
          </cell>
          <cell r="F114">
            <v>80</v>
          </cell>
          <cell r="G114">
            <v>56</v>
          </cell>
          <cell r="H114">
            <v>60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E115">
            <v>3302169</v>
          </cell>
          <cell r="F115">
            <v>49</v>
          </cell>
          <cell r="G115">
            <v>58</v>
          </cell>
          <cell r="H115">
            <v>59</v>
          </cell>
          <cell r="I115">
            <v>55</v>
          </cell>
          <cell r="J115">
            <v>56</v>
          </cell>
          <cell r="K115">
            <v>57</v>
          </cell>
          <cell r="L115">
            <v>57</v>
          </cell>
        </row>
        <row r="116">
          <cell r="E116">
            <v>3302172</v>
          </cell>
          <cell r="F116">
            <v>30</v>
          </cell>
          <cell r="G116">
            <v>30</v>
          </cell>
          <cell r="H116">
            <v>29</v>
          </cell>
          <cell r="I116">
            <v>30</v>
          </cell>
          <cell r="J116">
            <v>30</v>
          </cell>
          <cell r="K116">
            <v>24</v>
          </cell>
          <cell r="L116">
            <v>25</v>
          </cell>
        </row>
        <row r="117">
          <cell r="E117">
            <v>3302174</v>
          </cell>
          <cell r="F117">
            <v>120</v>
          </cell>
          <cell r="G117">
            <v>120</v>
          </cell>
          <cell r="H117">
            <v>120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E118">
            <v>3302176</v>
          </cell>
          <cell r="F118">
            <v>90</v>
          </cell>
          <cell r="G118">
            <v>90</v>
          </cell>
          <cell r="H118">
            <v>90</v>
          </cell>
          <cell r="I118">
            <v>96</v>
          </cell>
          <cell r="J118">
            <v>128</v>
          </cell>
          <cell r="K118">
            <v>96</v>
          </cell>
          <cell r="L118">
            <v>96</v>
          </cell>
        </row>
        <row r="119">
          <cell r="E119">
            <v>3302178</v>
          </cell>
          <cell r="F119">
            <v>30</v>
          </cell>
          <cell r="G119">
            <v>30</v>
          </cell>
          <cell r="H119">
            <v>28</v>
          </cell>
          <cell r="I119">
            <v>29</v>
          </cell>
          <cell r="J119">
            <v>28</v>
          </cell>
          <cell r="K119">
            <v>31</v>
          </cell>
          <cell r="L119">
            <v>29</v>
          </cell>
        </row>
        <row r="120">
          <cell r="E120">
            <v>3302179</v>
          </cell>
          <cell r="F120">
            <v>116</v>
          </cell>
          <cell r="G120">
            <v>157</v>
          </cell>
          <cell r="H120">
            <v>169</v>
          </cell>
          <cell r="I120">
            <v>130</v>
          </cell>
          <cell r="J120">
            <v>91</v>
          </cell>
          <cell r="K120">
            <v>92</v>
          </cell>
          <cell r="L120">
            <v>92</v>
          </cell>
        </row>
        <row r="121">
          <cell r="E121">
            <v>3302180</v>
          </cell>
          <cell r="F121">
            <v>60</v>
          </cell>
          <cell r="G121">
            <v>60</v>
          </cell>
          <cell r="H121">
            <v>60</v>
          </cell>
          <cell r="I121">
            <v>61</v>
          </cell>
          <cell r="J121">
            <v>60</v>
          </cell>
          <cell r="K121">
            <v>60</v>
          </cell>
          <cell r="L121">
            <v>55</v>
          </cell>
        </row>
        <row r="122">
          <cell r="E122">
            <v>3302182</v>
          </cell>
          <cell r="F122">
            <v>0</v>
          </cell>
          <cell r="G122">
            <v>0</v>
          </cell>
          <cell r="H122">
            <v>0</v>
          </cell>
          <cell r="I122">
            <v>150</v>
          </cell>
          <cell r="J122">
            <v>150</v>
          </cell>
          <cell r="K122">
            <v>150</v>
          </cell>
          <cell r="L122">
            <v>150</v>
          </cell>
        </row>
        <row r="123">
          <cell r="E123">
            <v>3302183</v>
          </cell>
          <cell r="F123">
            <v>148</v>
          </cell>
          <cell r="G123">
            <v>148</v>
          </cell>
          <cell r="H123">
            <v>150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E124">
            <v>3302184</v>
          </cell>
          <cell r="F124">
            <v>59</v>
          </cell>
          <cell r="G124">
            <v>59</v>
          </cell>
          <cell r="H124">
            <v>30</v>
          </cell>
          <cell r="I124">
            <v>30</v>
          </cell>
          <cell r="J124">
            <v>29</v>
          </cell>
          <cell r="K124">
            <v>30</v>
          </cell>
          <cell r="L124">
            <v>30</v>
          </cell>
        </row>
        <row r="125">
          <cell r="E125">
            <v>3302185</v>
          </cell>
          <cell r="F125">
            <v>60</v>
          </cell>
          <cell r="G125">
            <v>60</v>
          </cell>
          <cell r="H125">
            <v>60</v>
          </cell>
          <cell r="I125">
            <v>60</v>
          </cell>
          <cell r="J125">
            <v>59</v>
          </cell>
          <cell r="K125">
            <v>60</v>
          </cell>
          <cell r="L125">
            <v>60</v>
          </cell>
        </row>
        <row r="126">
          <cell r="E126">
            <v>3302188</v>
          </cell>
          <cell r="F126">
            <v>30</v>
          </cell>
          <cell r="G126">
            <v>27</v>
          </cell>
          <cell r="H126">
            <v>30</v>
          </cell>
          <cell r="I126">
            <v>28</v>
          </cell>
          <cell r="J126">
            <v>25</v>
          </cell>
          <cell r="K126">
            <v>27</v>
          </cell>
          <cell r="L126">
            <v>19</v>
          </cell>
        </row>
        <row r="127">
          <cell r="E127">
            <v>3302189</v>
          </cell>
          <cell r="F127">
            <v>60</v>
          </cell>
          <cell r="G127">
            <v>60</v>
          </cell>
          <cell r="H127">
            <v>60</v>
          </cell>
          <cell r="I127">
            <v>60</v>
          </cell>
          <cell r="J127">
            <v>60</v>
          </cell>
          <cell r="K127">
            <v>60</v>
          </cell>
          <cell r="L127">
            <v>60</v>
          </cell>
        </row>
        <row r="128">
          <cell r="E128">
            <v>3302190</v>
          </cell>
          <cell r="F128">
            <v>30</v>
          </cell>
          <cell r="G128">
            <v>30</v>
          </cell>
          <cell r="H128">
            <v>29</v>
          </cell>
          <cell r="I128">
            <v>25</v>
          </cell>
          <cell r="J128">
            <v>18</v>
          </cell>
          <cell r="K128">
            <v>29</v>
          </cell>
          <cell r="L128">
            <v>25</v>
          </cell>
        </row>
        <row r="129">
          <cell r="E129">
            <v>3302191</v>
          </cell>
          <cell r="F129">
            <v>27</v>
          </cell>
          <cell r="G129">
            <v>30</v>
          </cell>
          <cell r="H129">
            <v>30</v>
          </cell>
          <cell r="I129">
            <v>30</v>
          </cell>
          <cell r="J129">
            <v>28</v>
          </cell>
          <cell r="K129">
            <v>22</v>
          </cell>
          <cell r="L129">
            <v>24</v>
          </cell>
        </row>
        <row r="130">
          <cell r="E130">
            <v>3302192</v>
          </cell>
          <cell r="F130">
            <v>30</v>
          </cell>
          <cell r="G130">
            <v>31</v>
          </cell>
          <cell r="H130">
            <v>30</v>
          </cell>
          <cell r="I130">
            <v>178</v>
          </cell>
          <cell r="J130">
            <v>150</v>
          </cell>
          <cell r="K130">
            <v>150</v>
          </cell>
          <cell r="L130">
            <v>148</v>
          </cell>
        </row>
        <row r="131">
          <cell r="E131">
            <v>3302195</v>
          </cell>
          <cell r="F131">
            <v>63</v>
          </cell>
          <cell r="G131">
            <v>62</v>
          </cell>
          <cell r="H131">
            <v>63</v>
          </cell>
          <cell r="I131">
            <v>61</v>
          </cell>
          <cell r="J131">
            <v>62</v>
          </cell>
          <cell r="K131">
            <v>44</v>
          </cell>
          <cell r="L131">
            <v>44</v>
          </cell>
        </row>
        <row r="132">
          <cell r="E132">
            <v>3302200</v>
          </cell>
          <cell r="F132">
            <v>30</v>
          </cell>
          <cell r="G132">
            <v>30</v>
          </cell>
          <cell r="H132">
            <v>30</v>
          </cell>
          <cell r="I132">
            <v>23</v>
          </cell>
          <cell r="J132">
            <v>23</v>
          </cell>
          <cell r="K132">
            <v>23</v>
          </cell>
          <cell r="L132">
            <v>11</v>
          </cell>
        </row>
        <row r="133">
          <cell r="E133">
            <v>3302203</v>
          </cell>
          <cell r="F133">
            <v>60</v>
          </cell>
          <cell r="G133">
            <v>60</v>
          </cell>
          <cell r="H133">
            <v>60</v>
          </cell>
          <cell r="I133">
            <v>57</v>
          </cell>
          <cell r="J133">
            <v>60</v>
          </cell>
          <cell r="K133">
            <v>53</v>
          </cell>
          <cell r="L133">
            <v>45</v>
          </cell>
        </row>
        <row r="134">
          <cell r="E134">
            <v>3302224</v>
          </cell>
          <cell r="F134">
            <v>58</v>
          </cell>
          <cell r="G134">
            <v>60</v>
          </cell>
          <cell r="H134">
            <v>62</v>
          </cell>
          <cell r="I134">
            <v>61</v>
          </cell>
          <cell r="J134">
            <v>60</v>
          </cell>
          <cell r="K134">
            <v>58</v>
          </cell>
          <cell r="L134">
            <v>42</v>
          </cell>
        </row>
        <row r="135">
          <cell r="E135">
            <v>3302225</v>
          </cell>
          <cell r="F135">
            <v>0</v>
          </cell>
          <cell r="G135">
            <v>0</v>
          </cell>
          <cell r="H135">
            <v>0</v>
          </cell>
          <cell r="I135">
            <v>59</v>
          </cell>
          <cell r="J135">
            <v>60</v>
          </cell>
          <cell r="K135">
            <v>60</v>
          </cell>
          <cell r="L135">
            <v>58</v>
          </cell>
        </row>
        <row r="136">
          <cell r="E136">
            <v>3302226</v>
          </cell>
          <cell r="F136">
            <v>0</v>
          </cell>
          <cell r="G136">
            <v>0</v>
          </cell>
          <cell r="H136">
            <v>0</v>
          </cell>
          <cell r="I136">
            <v>89</v>
          </cell>
          <cell r="J136">
            <v>89</v>
          </cell>
          <cell r="K136">
            <v>88</v>
          </cell>
          <cell r="L136">
            <v>84</v>
          </cell>
        </row>
        <row r="137">
          <cell r="E137">
            <v>3302227</v>
          </cell>
          <cell r="F137">
            <v>30</v>
          </cell>
          <cell r="G137">
            <v>30</v>
          </cell>
          <cell r="H137">
            <v>29</v>
          </cell>
          <cell r="I137">
            <v>30</v>
          </cell>
          <cell r="J137">
            <v>26</v>
          </cell>
          <cell r="K137">
            <v>27</v>
          </cell>
          <cell r="L137">
            <v>26</v>
          </cell>
        </row>
        <row r="138">
          <cell r="E138">
            <v>3302229</v>
          </cell>
          <cell r="F138">
            <v>82</v>
          </cell>
          <cell r="G138">
            <v>82</v>
          </cell>
          <cell r="H138">
            <v>89</v>
          </cell>
          <cell r="I138">
            <v>85</v>
          </cell>
          <cell r="J138">
            <v>88</v>
          </cell>
          <cell r="K138">
            <v>87</v>
          </cell>
          <cell r="L138">
            <v>87</v>
          </cell>
        </row>
        <row r="139">
          <cell r="E139">
            <v>3302231</v>
          </cell>
          <cell r="F139">
            <v>60</v>
          </cell>
          <cell r="G139">
            <v>58</v>
          </cell>
          <cell r="H139">
            <v>60</v>
          </cell>
          <cell r="I139">
            <v>60</v>
          </cell>
          <cell r="J139">
            <v>62</v>
          </cell>
          <cell r="K139">
            <v>60</v>
          </cell>
          <cell r="L139">
            <v>60</v>
          </cell>
        </row>
        <row r="140">
          <cell r="E140">
            <v>3302236</v>
          </cell>
          <cell r="F140">
            <v>0</v>
          </cell>
          <cell r="G140">
            <v>0</v>
          </cell>
          <cell r="H140">
            <v>0</v>
          </cell>
          <cell r="I140">
            <v>57</v>
          </cell>
          <cell r="J140">
            <v>53</v>
          </cell>
          <cell r="K140">
            <v>57</v>
          </cell>
          <cell r="L140">
            <v>59</v>
          </cell>
        </row>
        <row r="141">
          <cell r="E141">
            <v>3302238</v>
          </cell>
          <cell r="F141">
            <v>60</v>
          </cell>
          <cell r="G141">
            <v>60</v>
          </cell>
          <cell r="H141">
            <v>59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E142">
            <v>3302239</v>
          </cell>
          <cell r="F142">
            <v>63</v>
          </cell>
          <cell r="G142">
            <v>60</v>
          </cell>
          <cell r="H142">
            <v>60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E143">
            <v>3302241</v>
          </cell>
          <cell r="F143">
            <v>0</v>
          </cell>
          <cell r="G143">
            <v>0</v>
          </cell>
          <cell r="H143">
            <v>0</v>
          </cell>
          <cell r="I143">
            <v>56</v>
          </cell>
          <cell r="J143">
            <v>49</v>
          </cell>
          <cell r="K143">
            <v>47</v>
          </cell>
          <cell r="L143">
            <v>40</v>
          </cell>
        </row>
        <row r="144">
          <cell r="E144">
            <v>3302245</v>
          </cell>
          <cell r="F144">
            <v>30</v>
          </cell>
          <cell r="G144">
            <v>29</v>
          </cell>
          <cell r="H144">
            <v>30</v>
          </cell>
          <cell r="I144">
            <v>28</v>
          </cell>
          <cell r="J144">
            <v>31</v>
          </cell>
          <cell r="K144">
            <v>27</v>
          </cell>
          <cell r="L144">
            <v>20</v>
          </cell>
        </row>
        <row r="145">
          <cell r="E145">
            <v>3302246</v>
          </cell>
          <cell r="F145">
            <v>62</v>
          </cell>
          <cell r="G145">
            <v>63</v>
          </cell>
          <cell r="H145">
            <v>62</v>
          </cell>
          <cell r="I145">
            <v>59</v>
          </cell>
          <cell r="J145">
            <v>64</v>
          </cell>
          <cell r="K145">
            <v>65</v>
          </cell>
          <cell r="L145">
            <v>43</v>
          </cell>
        </row>
        <row r="146">
          <cell r="E146">
            <v>3302249</v>
          </cell>
          <cell r="F146">
            <v>27</v>
          </cell>
          <cell r="G146">
            <v>29</v>
          </cell>
          <cell r="H146">
            <v>30</v>
          </cell>
          <cell r="I146">
            <v>28</v>
          </cell>
          <cell r="J146">
            <v>26</v>
          </cell>
          <cell r="K146">
            <v>21</v>
          </cell>
          <cell r="L146">
            <v>23</v>
          </cell>
        </row>
        <row r="147">
          <cell r="E147">
            <v>3302251</v>
          </cell>
          <cell r="F147">
            <v>59</v>
          </cell>
          <cell r="G147">
            <v>60</v>
          </cell>
          <cell r="H147">
            <v>59</v>
          </cell>
          <cell r="I147">
            <v>60</v>
          </cell>
          <cell r="J147">
            <v>60</v>
          </cell>
          <cell r="K147">
            <v>60</v>
          </cell>
          <cell r="L147">
            <v>60</v>
          </cell>
        </row>
        <row r="148">
          <cell r="E148">
            <v>3302254</v>
          </cell>
          <cell r="F148">
            <v>80</v>
          </cell>
          <cell r="G148">
            <v>83</v>
          </cell>
          <cell r="H148">
            <v>91</v>
          </cell>
          <cell r="I148">
            <v>89</v>
          </cell>
          <cell r="J148">
            <v>89</v>
          </cell>
          <cell r="K148">
            <v>87</v>
          </cell>
          <cell r="L148">
            <v>90</v>
          </cell>
        </row>
        <row r="149">
          <cell r="E149">
            <v>3302263</v>
          </cell>
          <cell r="F149">
            <v>54</v>
          </cell>
          <cell r="G149">
            <v>58</v>
          </cell>
          <cell r="H149">
            <v>55</v>
          </cell>
          <cell r="I149">
            <v>46</v>
          </cell>
          <cell r="J149">
            <v>38</v>
          </cell>
          <cell r="K149">
            <v>40</v>
          </cell>
          <cell r="L149">
            <v>36</v>
          </cell>
        </row>
        <row r="150">
          <cell r="E150">
            <v>3302272</v>
          </cell>
          <cell r="F150">
            <v>42</v>
          </cell>
          <cell r="G150">
            <v>54</v>
          </cell>
          <cell r="H150">
            <v>56</v>
          </cell>
          <cell r="I150">
            <v>48</v>
          </cell>
          <cell r="J150">
            <v>56</v>
          </cell>
          <cell r="K150">
            <v>43</v>
          </cell>
          <cell r="L150">
            <v>53</v>
          </cell>
        </row>
        <row r="151">
          <cell r="E151">
            <v>3302273</v>
          </cell>
          <cell r="F151">
            <v>31</v>
          </cell>
          <cell r="G151">
            <v>35</v>
          </cell>
          <cell r="H151">
            <v>41</v>
          </cell>
          <cell r="I151">
            <v>31</v>
          </cell>
          <cell r="J151">
            <v>32</v>
          </cell>
          <cell r="K151">
            <v>34</v>
          </cell>
          <cell r="L151">
            <v>36</v>
          </cell>
        </row>
        <row r="152">
          <cell r="E152">
            <v>3302276</v>
          </cell>
          <cell r="F152">
            <v>89</v>
          </cell>
          <cell r="G152">
            <v>89</v>
          </cell>
          <cell r="H152">
            <v>89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E153">
            <v>3302278</v>
          </cell>
          <cell r="F153">
            <v>59</v>
          </cell>
          <cell r="G153">
            <v>57</v>
          </cell>
          <cell r="H153">
            <v>59</v>
          </cell>
          <cell r="I153">
            <v>44</v>
          </cell>
          <cell r="J153">
            <v>61</v>
          </cell>
          <cell r="K153">
            <v>30</v>
          </cell>
          <cell r="L153">
            <v>49</v>
          </cell>
        </row>
        <row r="154">
          <cell r="E154">
            <v>3302283</v>
          </cell>
          <cell r="F154">
            <v>0</v>
          </cell>
          <cell r="G154">
            <v>0</v>
          </cell>
          <cell r="H154">
            <v>0</v>
          </cell>
          <cell r="I154">
            <v>87</v>
          </cell>
          <cell r="J154">
            <v>89</v>
          </cell>
          <cell r="K154">
            <v>90</v>
          </cell>
          <cell r="L154">
            <v>89</v>
          </cell>
        </row>
        <row r="155">
          <cell r="E155">
            <v>3302284</v>
          </cell>
          <cell r="F155">
            <v>30</v>
          </cell>
          <cell r="G155">
            <v>30</v>
          </cell>
          <cell r="H155">
            <v>30</v>
          </cell>
          <cell r="I155">
            <v>30</v>
          </cell>
          <cell r="J155">
            <v>29</v>
          </cell>
          <cell r="K155">
            <v>30</v>
          </cell>
          <cell r="L155">
            <v>27</v>
          </cell>
        </row>
        <row r="156">
          <cell r="E156">
            <v>3302288</v>
          </cell>
          <cell r="F156">
            <v>59</v>
          </cell>
          <cell r="G156">
            <v>60</v>
          </cell>
          <cell r="H156">
            <v>58</v>
          </cell>
          <cell r="I156">
            <v>59</v>
          </cell>
          <cell r="J156">
            <v>59</v>
          </cell>
          <cell r="K156">
            <v>60</v>
          </cell>
          <cell r="L156">
            <v>46</v>
          </cell>
        </row>
        <row r="157">
          <cell r="E157">
            <v>3302289</v>
          </cell>
          <cell r="F157">
            <v>54</v>
          </cell>
          <cell r="G157">
            <v>30</v>
          </cell>
          <cell r="H157">
            <v>29</v>
          </cell>
          <cell r="I157">
            <v>26</v>
          </cell>
          <cell r="J157">
            <v>25</v>
          </cell>
          <cell r="K157">
            <v>26</v>
          </cell>
          <cell r="L157">
            <v>22</v>
          </cell>
        </row>
        <row r="158">
          <cell r="E158">
            <v>3302293</v>
          </cell>
          <cell r="F158">
            <v>0</v>
          </cell>
          <cell r="G158">
            <v>0</v>
          </cell>
          <cell r="H158">
            <v>0</v>
          </cell>
          <cell r="I158">
            <v>89</v>
          </cell>
          <cell r="J158">
            <v>88</v>
          </cell>
          <cell r="K158">
            <v>89</v>
          </cell>
          <cell r="L158">
            <v>90</v>
          </cell>
        </row>
        <row r="159">
          <cell r="E159">
            <v>3302294</v>
          </cell>
          <cell r="F159">
            <v>54</v>
          </cell>
          <cell r="G159">
            <v>30</v>
          </cell>
          <cell r="H159">
            <v>30</v>
          </cell>
          <cell r="I159">
            <v>27</v>
          </cell>
          <cell r="J159">
            <v>26</v>
          </cell>
          <cell r="K159">
            <v>28</v>
          </cell>
          <cell r="L159">
            <v>28</v>
          </cell>
        </row>
        <row r="160">
          <cell r="E160">
            <v>3302295</v>
          </cell>
          <cell r="F160">
            <v>30</v>
          </cell>
          <cell r="G160">
            <v>30</v>
          </cell>
          <cell r="H160">
            <v>31</v>
          </cell>
          <cell r="I160">
            <v>30</v>
          </cell>
          <cell r="J160">
            <v>30</v>
          </cell>
          <cell r="K160">
            <v>30</v>
          </cell>
          <cell r="L160">
            <v>29</v>
          </cell>
        </row>
        <row r="161">
          <cell r="E161">
            <v>3302296</v>
          </cell>
          <cell r="F161">
            <v>60</v>
          </cell>
          <cell r="G161">
            <v>56</v>
          </cell>
          <cell r="H161">
            <v>43</v>
          </cell>
          <cell r="I161">
            <v>60</v>
          </cell>
          <cell r="J161">
            <v>54</v>
          </cell>
          <cell r="K161">
            <v>51</v>
          </cell>
          <cell r="L161">
            <v>55</v>
          </cell>
        </row>
        <row r="162">
          <cell r="E162">
            <v>3302297</v>
          </cell>
          <cell r="F162">
            <v>118</v>
          </cell>
          <cell r="G162">
            <v>89</v>
          </cell>
          <cell r="H162">
            <v>88</v>
          </cell>
          <cell r="I162">
            <v>89</v>
          </cell>
          <cell r="J162">
            <v>85</v>
          </cell>
          <cell r="K162">
            <v>89</v>
          </cell>
          <cell r="L162">
            <v>89</v>
          </cell>
        </row>
        <row r="163">
          <cell r="E163">
            <v>3302299</v>
          </cell>
          <cell r="F163">
            <v>89</v>
          </cell>
          <cell r="G163">
            <v>87</v>
          </cell>
          <cell r="H163">
            <v>90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E164">
            <v>3302300</v>
          </cell>
          <cell r="F164">
            <v>89</v>
          </cell>
          <cell r="G164">
            <v>88</v>
          </cell>
          <cell r="H164">
            <v>90</v>
          </cell>
          <cell r="I164">
            <v>90</v>
          </cell>
          <cell r="J164">
            <v>89</v>
          </cell>
          <cell r="K164">
            <v>60</v>
          </cell>
          <cell r="L164">
            <v>59</v>
          </cell>
        </row>
        <row r="165">
          <cell r="E165">
            <v>3302305</v>
          </cell>
          <cell r="F165">
            <v>57</v>
          </cell>
          <cell r="G165">
            <v>57</v>
          </cell>
          <cell r="H165">
            <v>59</v>
          </cell>
          <cell r="I165">
            <v>55</v>
          </cell>
          <cell r="J165">
            <v>55</v>
          </cell>
          <cell r="K165">
            <v>59</v>
          </cell>
          <cell r="L165">
            <v>55</v>
          </cell>
        </row>
        <row r="166">
          <cell r="E166">
            <v>3302306</v>
          </cell>
          <cell r="F166">
            <v>29</v>
          </cell>
          <cell r="G166">
            <v>29</v>
          </cell>
          <cell r="H166">
            <v>30</v>
          </cell>
          <cell r="I166">
            <v>26</v>
          </cell>
          <cell r="J166">
            <v>30</v>
          </cell>
          <cell r="K166">
            <v>28</v>
          </cell>
          <cell r="L166">
            <v>15</v>
          </cell>
        </row>
        <row r="167">
          <cell r="E167">
            <v>3302308</v>
          </cell>
          <cell r="F167">
            <v>60</v>
          </cell>
          <cell r="G167">
            <v>59</v>
          </cell>
          <cell r="H167">
            <v>61</v>
          </cell>
          <cell r="I167">
            <v>62</v>
          </cell>
          <cell r="J167">
            <v>63</v>
          </cell>
          <cell r="K167">
            <v>61</v>
          </cell>
          <cell r="L167">
            <v>57</v>
          </cell>
        </row>
        <row r="168">
          <cell r="E168">
            <v>3302309</v>
          </cell>
          <cell r="F168">
            <v>58</v>
          </cell>
          <cell r="G168">
            <v>60</v>
          </cell>
          <cell r="H168">
            <v>61</v>
          </cell>
          <cell r="I168">
            <v>60</v>
          </cell>
          <cell r="J168">
            <v>60</v>
          </cell>
          <cell r="K168">
            <v>60</v>
          </cell>
          <cell r="L168">
            <v>59</v>
          </cell>
        </row>
        <row r="169">
          <cell r="E169">
            <v>3302310</v>
          </cell>
          <cell r="F169">
            <v>30</v>
          </cell>
          <cell r="G169">
            <v>30</v>
          </cell>
          <cell r="H169">
            <v>28</v>
          </cell>
          <cell r="I169">
            <v>25</v>
          </cell>
          <cell r="J169">
            <v>26</v>
          </cell>
          <cell r="K169">
            <v>31</v>
          </cell>
          <cell r="L169">
            <v>17</v>
          </cell>
        </row>
        <row r="170">
          <cell r="E170">
            <v>3302312</v>
          </cell>
          <cell r="F170">
            <v>58</v>
          </cell>
          <cell r="G170">
            <v>60</v>
          </cell>
          <cell r="H170">
            <v>60</v>
          </cell>
          <cell r="I170">
            <v>30</v>
          </cell>
          <cell r="J170">
            <v>30</v>
          </cell>
          <cell r="K170">
            <v>31</v>
          </cell>
          <cell r="L170">
            <v>30</v>
          </cell>
        </row>
        <row r="171">
          <cell r="E171">
            <v>3302313</v>
          </cell>
          <cell r="F171">
            <v>59</v>
          </cell>
          <cell r="G171">
            <v>60</v>
          </cell>
          <cell r="H171">
            <v>60</v>
          </cell>
          <cell r="I171">
            <v>60</v>
          </cell>
          <cell r="J171">
            <v>60</v>
          </cell>
          <cell r="K171">
            <v>60</v>
          </cell>
          <cell r="L171">
            <v>60</v>
          </cell>
        </row>
        <row r="172">
          <cell r="E172">
            <v>3302314</v>
          </cell>
          <cell r="F172">
            <v>29</v>
          </cell>
          <cell r="G172">
            <v>30</v>
          </cell>
          <cell r="H172">
            <v>30</v>
          </cell>
          <cell r="I172">
            <v>30</v>
          </cell>
          <cell r="J172">
            <v>28</v>
          </cell>
          <cell r="K172">
            <v>29</v>
          </cell>
          <cell r="L172">
            <v>30</v>
          </cell>
        </row>
        <row r="173">
          <cell r="E173">
            <v>3302315</v>
          </cell>
          <cell r="F173">
            <v>30</v>
          </cell>
          <cell r="G173">
            <v>30</v>
          </cell>
          <cell r="H173">
            <v>30</v>
          </cell>
          <cell r="I173">
            <v>27</v>
          </cell>
          <cell r="J173">
            <v>29</v>
          </cell>
          <cell r="K173">
            <v>30</v>
          </cell>
          <cell r="L173">
            <v>17</v>
          </cell>
        </row>
        <row r="174">
          <cell r="E174">
            <v>3302317</v>
          </cell>
          <cell r="F174">
            <v>90</v>
          </cell>
          <cell r="G174">
            <v>60</v>
          </cell>
          <cell r="H174">
            <v>60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E175">
            <v>3302321</v>
          </cell>
          <cell r="F175">
            <v>30</v>
          </cell>
          <cell r="G175">
            <v>31</v>
          </cell>
          <cell r="H175">
            <v>28</v>
          </cell>
          <cell r="I175">
            <v>29</v>
          </cell>
          <cell r="J175">
            <v>29</v>
          </cell>
          <cell r="K175">
            <v>27</v>
          </cell>
          <cell r="L175">
            <v>25</v>
          </cell>
        </row>
        <row r="176">
          <cell r="E176">
            <v>3302401</v>
          </cell>
          <cell r="F176">
            <v>0</v>
          </cell>
          <cell r="G176">
            <v>0</v>
          </cell>
          <cell r="H176">
            <v>0</v>
          </cell>
          <cell r="I176">
            <v>90</v>
          </cell>
          <cell r="J176">
            <v>90</v>
          </cell>
          <cell r="K176">
            <v>89</v>
          </cell>
          <cell r="L176">
            <v>89</v>
          </cell>
        </row>
        <row r="177">
          <cell r="E177">
            <v>3302402</v>
          </cell>
          <cell r="F177">
            <v>90</v>
          </cell>
          <cell r="G177">
            <v>89</v>
          </cell>
          <cell r="H177">
            <v>90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E178">
            <v>3302406</v>
          </cell>
          <cell r="F178">
            <v>30</v>
          </cell>
          <cell r="G178">
            <v>27</v>
          </cell>
          <cell r="H178">
            <v>23</v>
          </cell>
          <cell r="I178">
            <v>25</v>
          </cell>
          <cell r="J178">
            <v>24</v>
          </cell>
          <cell r="K178">
            <v>18</v>
          </cell>
          <cell r="L178">
            <v>17</v>
          </cell>
        </row>
        <row r="179">
          <cell r="E179">
            <v>3302408</v>
          </cell>
          <cell r="F179">
            <v>0</v>
          </cell>
          <cell r="G179">
            <v>0</v>
          </cell>
          <cell r="H179">
            <v>0</v>
          </cell>
          <cell r="I179">
            <v>60</v>
          </cell>
          <cell r="J179">
            <v>59</v>
          </cell>
          <cell r="K179">
            <v>60</v>
          </cell>
          <cell r="L179">
            <v>51</v>
          </cell>
        </row>
        <row r="180">
          <cell r="E180">
            <v>3302412</v>
          </cell>
          <cell r="F180">
            <v>60</v>
          </cell>
          <cell r="G180">
            <v>60</v>
          </cell>
          <cell r="H180">
            <v>59</v>
          </cell>
          <cell r="I180">
            <v>60</v>
          </cell>
          <cell r="J180">
            <v>60</v>
          </cell>
          <cell r="K180">
            <v>60</v>
          </cell>
          <cell r="L180">
            <v>51</v>
          </cell>
        </row>
        <row r="181">
          <cell r="E181">
            <v>3302416</v>
          </cell>
          <cell r="F181">
            <v>30</v>
          </cell>
          <cell r="G181">
            <v>30</v>
          </cell>
          <cell r="H181">
            <v>30</v>
          </cell>
          <cell r="I181">
            <v>30</v>
          </cell>
          <cell r="J181">
            <v>31</v>
          </cell>
          <cell r="K181">
            <v>30</v>
          </cell>
          <cell r="L181">
            <v>30</v>
          </cell>
        </row>
        <row r="182">
          <cell r="E182">
            <v>3302420</v>
          </cell>
          <cell r="F182">
            <v>30</v>
          </cell>
          <cell r="G182">
            <v>30</v>
          </cell>
          <cell r="H182">
            <v>30</v>
          </cell>
          <cell r="I182">
            <v>30</v>
          </cell>
          <cell r="J182">
            <v>30</v>
          </cell>
          <cell r="K182">
            <v>30</v>
          </cell>
          <cell r="L182">
            <v>30</v>
          </cell>
        </row>
        <row r="183">
          <cell r="E183">
            <v>3302425</v>
          </cell>
          <cell r="F183">
            <v>29</v>
          </cell>
          <cell r="G183">
            <v>31</v>
          </cell>
          <cell r="H183">
            <v>30</v>
          </cell>
          <cell r="I183">
            <v>28</v>
          </cell>
          <cell r="J183">
            <v>32</v>
          </cell>
          <cell r="K183">
            <v>30</v>
          </cell>
          <cell r="L183">
            <v>30</v>
          </cell>
        </row>
        <row r="184">
          <cell r="E184">
            <v>3302429</v>
          </cell>
          <cell r="F184">
            <v>60</v>
          </cell>
          <cell r="G184">
            <v>60</v>
          </cell>
          <cell r="H184">
            <v>59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E185">
            <v>3302434</v>
          </cell>
          <cell r="F185">
            <v>60</v>
          </cell>
          <cell r="G185">
            <v>59</v>
          </cell>
          <cell r="H185">
            <v>58</v>
          </cell>
          <cell r="I185">
            <v>60</v>
          </cell>
          <cell r="J185">
            <v>59</v>
          </cell>
          <cell r="K185">
            <v>44</v>
          </cell>
          <cell r="L185">
            <v>58</v>
          </cell>
        </row>
        <row r="186">
          <cell r="E186">
            <v>3302435</v>
          </cell>
          <cell r="F186">
            <v>59</v>
          </cell>
          <cell r="G186">
            <v>59</v>
          </cell>
          <cell r="H186">
            <v>59</v>
          </cell>
          <cell r="I186">
            <v>59</v>
          </cell>
          <cell r="J186">
            <v>59</v>
          </cell>
          <cell r="K186">
            <v>56</v>
          </cell>
          <cell r="L186">
            <v>55</v>
          </cell>
        </row>
        <row r="187">
          <cell r="E187">
            <v>3302436</v>
          </cell>
          <cell r="F187">
            <v>28</v>
          </cell>
          <cell r="G187">
            <v>30</v>
          </cell>
          <cell r="H187">
            <v>30</v>
          </cell>
          <cell r="I187">
            <v>30</v>
          </cell>
          <cell r="J187">
            <v>29</v>
          </cell>
          <cell r="K187">
            <v>30</v>
          </cell>
          <cell r="L187">
            <v>20</v>
          </cell>
        </row>
        <row r="188">
          <cell r="E188">
            <v>3302437</v>
          </cell>
          <cell r="F188">
            <v>28</v>
          </cell>
          <cell r="G188">
            <v>23</v>
          </cell>
          <cell r="H188">
            <v>24</v>
          </cell>
          <cell r="I188">
            <v>30</v>
          </cell>
          <cell r="J188">
            <v>24</v>
          </cell>
          <cell r="K188">
            <v>17</v>
          </cell>
          <cell r="L188">
            <v>17</v>
          </cell>
        </row>
        <row r="189">
          <cell r="E189">
            <v>3302438</v>
          </cell>
          <cell r="F189">
            <v>30</v>
          </cell>
          <cell r="G189">
            <v>30</v>
          </cell>
          <cell r="H189">
            <v>29</v>
          </cell>
          <cell r="I189">
            <v>30</v>
          </cell>
          <cell r="J189">
            <v>30</v>
          </cell>
          <cell r="K189">
            <v>30</v>
          </cell>
          <cell r="L189">
            <v>26</v>
          </cell>
        </row>
        <row r="190">
          <cell r="E190">
            <v>3302439</v>
          </cell>
          <cell r="F190">
            <v>30</v>
          </cell>
          <cell r="G190">
            <v>29</v>
          </cell>
          <cell r="H190">
            <v>29</v>
          </cell>
          <cell r="I190">
            <v>29</v>
          </cell>
          <cell r="J190">
            <v>30</v>
          </cell>
          <cell r="K190">
            <v>28</v>
          </cell>
          <cell r="L190">
            <v>29</v>
          </cell>
        </row>
        <row r="191">
          <cell r="E191">
            <v>3302441</v>
          </cell>
          <cell r="F191">
            <v>49</v>
          </cell>
          <cell r="G191">
            <v>57</v>
          </cell>
          <cell r="H191">
            <v>50</v>
          </cell>
          <cell r="I191">
            <v>46</v>
          </cell>
          <cell r="J191">
            <v>34</v>
          </cell>
          <cell r="K191">
            <v>38</v>
          </cell>
          <cell r="L191">
            <v>31</v>
          </cell>
        </row>
        <row r="192">
          <cell r="E192">
            <v>3302442</v>
          </cell>
          <cell r="F192">
            <v>58</v>
          </cell>
          <cell r="G192">
            <v>59</v>
          </cell>
          <cell r="H192">
            <v>58</v>
          </cell>
          <cell r="I192">
            <v>57</v>
          </cell>
          <cell r="J192">
            <v>58</v>
          </cell>
          <cell r="K192">
            <v>58</v>
          </cell>
          <cell r="L192">
            <v>56</v>
          </cell>
        </row>
        <row r="193">
          <cell r="E193">
            <v>3302443</v>
          </cell>
          <cell r="F193">
            <v>55</v>
          </cell>
          <cell r="G193">
            <v>59</v>
          </cell>
          <cell r="H193">
            <v>53</v>
          </cell>
          <cell r="I193">
            <v>50</v>
          </cell>
          <cell r="J193">
            <v>57</v>
          </cell>
          <cell r="K193">
            <v>43</v>
          </cell>
          <cell r="L193">
            <v>49</v>
          </cell>
        </row>
        <row r="194">
          <cell r="E194">
            <v>3302444</v>
          </cell>
          <cell r="F194">
            <v>24</v>
          </cell>
          <cell r="G194">
            <v>30</v>
          </cell>
          <cell r="H194">
            <v>26</v>
          </cell>
          <cell r="I194">
            <v>24</v>
          </cell>
          <cell r="J194">
            <v>23</v>
          </cell>
          <cell r="K194">
            <v>23</v>
          </cell>
          <cell r="L194">
            <v>20</v>
          </cell>
        </row>
        <row r="195">
          <cell r="E195">
            <v>3302445</v>
          </cell>
          <cell r="F195">
            <v>28.5</v>
          </cell>
          <cell r="G195">
            <v>29</v>
          </cell>
          <cell r="H195">
            <v>28</v>
          </cell>
          <cell r="I195">
            <v>27</v>
          </cell>
          <cell r="J195">
            <v>30</v>
          </cell>
          <cell r="K195">
            <v>27</v>
          </cell>
          <cell r="L195">
            <v>26</v>
          </cell>
        </row>
        <row r="196">
          <cell r="E196">
            <v>3302446</v>
          </cell>
          <cell r="F196">
            <v>53</v>
          </cell>
          <cell r="G196">
            <v>54</v>
          </cell>
          <cell r="H196">
            <v>54</v>
          </cell>
          <cell r="I196">
            <v>59</v>
          </cell>
          <cell r="J196">
            <v>54</v>
          </cell>
          <cell r="K196">
            <v>52</v>
          </cell>
          <cell r="L196">
            <v>52</v>
          </cell>
        </row>
        <row r="197">
          <cell r="E197">
            <v>3302447</v>
          </cell>
          <cell r="F197">
            <v>90</v>
          </cell>
          <cell r="G197">
            <v>88</v>
          </cell>
          <cell r="H197">
            <v>89</v>
          </cell>
          <cell r="I197">
            <v>89</v>
          </cell>
          <cell r="J197">
            <v>59</v>
          </cell>
          <cell r="K197">
            <v>58</v>
          </cell>
          <cell r="L197">
            <v>60</v>
          </cell>
        </row>
        <row r="198">
          <cell r="E198">
            <v>3302448</v>
          </cell>
          <cell r="F198">
            <v>29</v>
          </cell>
          <cell r="G198">
            <v>30</v>
          </cell>
          <cell r="H198">
            <v>30</v>
          </cell>
          <cell r="I198">
            <v>28</v>
          </cell>
          <cell r="J198">
            <v>30</v>
          </cell>
          <cell r="K198">
            <v>28</v>
          </cell>
          <cell r="L198">
            <v>28</v>
          </cell>
        </row>
        <row r="199">
          <cell r="E199">
            <v>3302449</v>
          </cell>
          <cell r="F199">
            <v>57</v>
          </cell>
          <cell r="G199">
            <v>60</v>
          </cell>
          <cell r="H199">
            <v>61</v>
          </cell>
          <cell r="I199">
            <v>61</v>
          </cell>
          <cell r="J199">
            <v>61</v>
          </cell>
          <cell r="K199">
            <v>57</v>
          </cell>
          <cell r="L199">
            <v>58</v>
          </cell>
        </row>
        <row r="200">
          <cell r="E200">
            <v>3302450</v>
          </cell>
          <cell r="F200">
            <v>60</v>
          </cell>
          <cell r="G200">
            <v>59</v>
          </cell>
          <cell r="H200">
            <v>60</v>
          </cell>
          <cell r="I200">
            <v>57</v>
          </cell>
          <cell r="J200">
            <v>60</v>
          </cell>
          <cell r="K200">
            <v>59</v>
          </cell>
          <cell r="L200">
            <v>60</v>
          </cell>
        </row>
        <row r="201">
          <cell r="E201">
            <v>3302451</v>
          </cell>
          <cell r="F201">
            <v>60</v>
          </cell>
          <cell r="G201">
            <v>60</v>
          </cell>
          <cell r="H201">
            <v>60</v>
          </cell>
          <cell r="I201">
            <v>60</v>
          </cell>
          <cell r="J201">
            <v>60</v>
          </cell>
          <cell r="K201">
            <v>60</v>
          </cell>
          <cell r="L201">
            <v>60</v>
          </cell>
        </row>
        <row r="202">
          <cell r="E202">
            <v>3302452</v>
          </cell>
          <cell r="F202">
            <v>29</v>
          </cell>
          <cell r="G202">
            <v>30</v>
          </cell>
          <cell r="H202">
            <v>29</v>
          </cell>
          <cell r="I202">
            <v>29</v>
          </cell>
          <cell r="J202">
            <v>30</v>
          </cell>
          <cell r="K202">
            <v>25</v>
          </cell>
          <cell r="L202">
            <v>27</v>
          </cell>
        </row>
        <row r="203">
          <cell r="E203">
            <v>3302453</v>
          </cell>
          <cell r="F203">
            <v>60</v>
          </cell>
          <cell r="G203">
            <v>60</v>
          </cell>
          <cell r="H203">
            <v>90</v>
          </cell>
          <cell r="I203">
            <v>60</v>
          </cell>
          <cell r="J203">
            <v>90</v>
          </cell>
          <cell r="K203">
            <v>60</v>
          </cell>
          <cell r="L203">
            <v>60</v>
          </cell>
        </row>
        <row r="204">
          <cell r="E204">
            <v>3302454</v>
          </cell>
          <cell r="F204">
            <v>43</v>
          </cell>
          <cell r="G204">
            <v>48</v>
          </cell>
          <cell r="H204">
            <v>44</v>
          </cell>
          <cell r="I204">
            <v>40</v>
          </cell>
          <cell r="J204">
            <v>43</v>
          </cell>
          <cell r="K204">
            <v>40</v>
          </cell>
          <cell r="L204">
            <v>28</v>
          </cell>
        </row>
        <row r="205">
          <cell r="E205">
            <v>3302455</v>
          </cell>
          <cell r="F205">
            <v>60</v>
          </cell>
          <cell r="G205">
            <v>60</v>
          </cell>
          <cell r="H205">
            <v>59</v>
          </cell>
          <cell r="I205">
            <v>60</v>
          </cell>
          <cell r="J205">
            <v>57</v>
          </cell>
          <cell r="K205">
            <v>58</v>
          </cell>
          <cell r="L205">
            <v>59</v>
          </cell>
        </row>
        <row r="206">
          <cell r="E206">
            <v>3302456</v>
          </cell>
          <cell r="F206">
            <v>29</v>
          </cell>
          <cell r="G206">
            <v>31</v>
          </cell>
          <cell r="H206">
            <v>30</v>
          </cell>
          <cell r="I206">
            <v>24</v>
          </cell>
          <cell r="J206">
            <v>27</v>
          </cell>
          <cell r="K206">
            <v>26</v>
          </cell>
          <cell r="L206">
            <v>23</v>
          </cell>
        </row>
        <row r="207">
          <cell r="E207">
            <v>3302457</v>
          </cell>
          <cell r="F207">
            <v>57</v>
          </cell>
          <cell r="G207">
            <v>61</v>
          </cell>
          <cell r="H207">
            <v>60</v>
          </cell>
          <cell r="I207">
            <v>60</v>
          </cell>
          <cell r="J207">
            <v>59</v>
          </cell>
          <cell r="K207">
            <v>60</v>
          </cell>
          <cell r="L207">
            <v>60</v>
          </cell>
        </row>
        <row r="208">
          <cell r="E208">
            <v>3302458</v>
          </cell>
          <cell r="F208">
            <v>90</v>
          </cell>
          <cell r="G208">
            <v>90</v>
          </cell>
          <cell r="H208">
            <v>120</v>
          </cell>
          <cell r="I208">
            <v>91</v>
          </cell>
          <cell r="J208">
            <v>91</v>
          </cell>
          <cell r="K208">
            <v>92</v>
          </cell>
          <cell r="L208">
            <v>118</v>
          </cell>
        </row>
        <row r="209">
          <cell r="E209">
            <v>3302460</v>
          </cell>
          <cell r="F209">
            <v>90</v>
          </cell>
          <cell r="G209">
            <v>90</v>
          </cell>
          <cell r="H209">
            <v>60</v>
          </cell>
          <cell r="I209">
            <v>60</v>
          </cell>
          <cell r="J209">
            <v>60</v>
          </cell>
          <cell r="K209">
            <v>60</v>
          </cell>
          <cell r="L209">
            <v>59</v>
          </cell>
        </row>
        <row r="210">
          <cell r="E210">
            <v>3302461</v>
          </cell>
          <cell r="F210">
            <v>55</v>
          </cell>
          <cell r="G210">
            <v>60</v>
          </cell>
          <cell r="H210">
            <v>56</v>
          </cell>
          <cell r="I210">
            <v>59</v>
          </cell>
          <cell r="J210">
            <v>58</v>
          </cell>
          <cell r="K210">
            <v>58</v>
          </cell>
          <cell r="L210">
            <v>55</v>
          </cell>
        </row>
        <row r="211">
          <cell r="E211">
            <v>3302462</v>
          </cell>
          <cell r="F211">
            <v>60</v>
          </cell>
          <cell r="G211">
            <v>60</v>
          </cell>
          <cell r="H211">
            <v>60</v>
          </cell>
          <cell r="I211">
            <v>59</v>
          </cell>
          <cell r="J211">
            <v>60</v>
          </cell>
          <cell r="K211">
            <v>59</v>
          </cell>
          <cell r="L211">
            <v>60</v>
          </cell>
        </row>
        <row r="212">
          <cell r="E212">
            <v>3302463</v>
          </cell>
          <cell r="F212">
            <v>27</v>
          </cell>
          <cell r="G212">
            <v>35</v>
          </cell>
          <cell r="H212">
            <v>30</v>
          </cell>
          <cell r="I212">
            <v>29</v>
          </cell>
          <cell r="J212">
            <v>34</v>
          </cell>
          <cell r="K212">
            <v>25</v>
          </cell>
          <cell r="L212">
            <v>27</v>
          </cell>
        </row>
        <row r="213">
          <cell r="E213">
            <v>3302464</v>
          </cell>
          <cell r="F213">
            <v>60</v>
          </cell>
          <cell r="G213">
            <v>60</v>
          </cell>
          <cell r="H213">
            <v>60</v>
          </cell>
          <cell r="I213">
            <v>59</v>
          </cell>
          <cell r="J213">
            <v>59</v>
          </cell>
          <cell r="K213">
            <v>58</v>
          </cell>
          <cell r="L213">
            <v>60</v>
          </cell>
        </row>
        <row r="214">
          <cell r="E214">
            <v>3302465</v>
          </cell>
          <cell r="F214">
            <v>60</v>
          </cell>
          <cell r="G214">
            <v>56</v>
          </cell>
          <cell r="H214">
            <v>57</v>
          </cell>
          <cell r="I214">
            <v>60</v>
          </cell>
          <cell r="J214">
            <v>56</v>
          </cell>
          <cell r="K214">
            <v>50</v>
          </cell>
          <cell r="L214">
            <v>57</v>
          </cell>
        </row>
        <row r="215">
          <cell r="E215">
            <v>3302466</v>
          </cell>
          <cell r="F215">
            <v>87</v>
          </cell>
          <cell r="G215">
            <v>86</v>
          </cell>
          <cell r="H215">
            <v>89</v>
          </cell>
          <cell r="I215">
            <v>88</v>
          </cell>
          <cell r="J215">
            <v>88</v>
          </cell>
          <cell r="K215">
            <v>89</v>
          </cell>
          <cell r="L215">
            <v>86</v>
          </cell>
        </row>
        <row r="216">
          <cell r="E216">
            <v>3302468</v>
          </cell>
          <cell r="F216">
            <v>0</v>
          </cell>
          <cell r="G216">
            <v>0</v>
          </cell>
          <cell r="H216">
            <v>0</v>
          </cell>
          <cell r="I216">
            <v>51</v>
          </cell>
          <cell r="J216">
            <v>51</v>
          </cell>
          <cell r="K216">
            <v>40</v>
          </cell>
          <cell r="L216">
            <v>36</v>
          </cell>
        </row>
        <row r="217">
          <cell r="E217">
            <v>3302469</v>
          </cell>
          <cell r="F217">
            <v>34</v>
          </cell>
          <cell r="G217">
            <v>38</v>
          </cell>
          <cell r="H217">
            <v>40</v>
          </cell>
          <cell r="I217">
            <v>33</v>
          </cell>
          <cell r="J217">
            <v>43</v>
          </cell>
          <cell r="K217">
            <v>25</v>
          </cell>
          <cell r="L217">
            <v>25</v>
          </cell>
        </row>
        <row r="218">
          <cell r="E218">
            <v>3302471</v>
          </cell>
          <cell r="F218">
            <v>59</v>
          </cell>
          <cell r="G218">
            <v>57</v>
          </cell>
          <cell r="H218">
            <v>60</v>
          </cell>
          <cell r="I218">
            <v>57</v>
          </cell>
          <cell r="J218">
            <v>57</v>
          </cell>
          <cell r="K218">
            <v>59</v>
          </cell>
          <cell r="L218">
            <v>54</v>
          </cell>
        </row>
        <row r="219">
          <cell r="E219">
            <v>3302472</v>
          </cell>
          <cell r="F219">
            <v>90</v>
          </cell>
          <cell r="G219">
            <v>89</v>
          </cell>
          <cell r="H219">
            <v>90</v>
          </cell>
          <cell r="I219">
            <v>90</v>
          </cell>
          <cell r="J219">
            <v>90</v>
          </cell>
          <cell r="K219">
            <v>91</v>
          </cell>
          <cell r="L219">
            <v>90</v>
          </cell>
        </row>
        <row r="220">
          <cell r="E220">
            <v>3302473</v>
          </cell>
          <cell r="F220">
            <v>76</v>
          </cell>
          <cell r="G220">
            <v>80</v>
          </cell>
          <cell r="H220">
            <v>70</v>
          </cell>
          <cell r="I220">
            <v>85</v>
          </cell>
          <cell r="J220">
            <v>87</v>
          </cell>
          <cell r="K220">
            <v>86</v>
          </cell>
          <cell r="L220">
            <v>87</v>
          </cell>
        </row>
        <row r="221">
          <cell r="E221">
            <v>3302474</v>
          </cell>
          <cell r="F221">
            <v>58</v>
          </cell>
          <cell r="G221">
            <v>58</v>
          </cell>
          <cell r="H221">
            <v>60</v>
          </cell>
          <cell r="I221">
            <v>53</v>
          </cell>
          <cell r="J221">
            <v>61</v>
          </cell>
          <cell r="K221">
            <v>47</v>
          </cell>
          <cell r="L221">
            <v>60</v>
          </cell>
        </row>
        <row r="222">
          <cell r="E222">
            <v>3302475</v>
          </cell>
          <cell r="F222">
            <v>59</v>
          </cell>
          <cell r="G222">
            <v>60</v>
          </cell>
          <cell r="H222">
            <v>59</v>
          </cell>
          <cell r="I222">
            <v>59</v>
          </cell>
          <cell r="J222">
            <v>60</v>
          </cell>
          <cell r="K222">
            <v>58</v>
          </cell>
          <cell r="L222">
            <v>59</v>
          </cell>
        </row>
        <row r="223">
          <cell r="E223">
            <v>3302476</v>
          </cell>
          <cell r="F223">
            <v>54</v>
          </cell>
          <cell r="G223">
            <v>59</v>
          </cell>
          <cell r="H223">
            <v>55</v>
          </cell>
          <cell r="I223">
            <v>54</v>
          </cell>
          <cell r="J223">
            <v>50</v>
          </cell>
          <cell r="K223">
            <v>50</v>
          </cell>
          <cell r="L223">
            <v>51</v>
          </cell>
        </row>
        <row r="224">
          <cell r="E224">
            <v>3302477</v>
          </cell>
          <cell r="F224">
            <v>90</v>
          </cell>
          <cell r="G224">
            <v>91</v>
          </cell>
          <cell r="H224">
            <v>90</v>
          </cell>
          <cell r="I224">
            <v>90</v>
          </cell>
          <cell r="J224">
            <v>89</v>
          </cell>
          <cell r="K224">
            <v>89</v>
          </cell>
          <cell r="L224">
            <v>90</v>
          </cell>
        </row>
        <row r="225">
          <cell r="E225">
            <v>3302478</v>
          </cell>
          <cell r="F225">
            <v>90</v>
          </cell>
          <cell r="G225">
            <v>60</v>
          </cell>
          <cell r="H225">
            <v>60</v>
          </cell>
          <cell r="I225">
            <v>60</v>
          </cell>
          <cell r="J225">
            <v>61</v>
          </cell>
          <cell r="K225">
            <v>59</v>
          </cell>
          <cell r="L225">
            <v>54</v>
          </cell>
        </row>
        <row r="226">
          <cell r="E226">
            <v>3302479</v>
          </cell>
          <cell r="F226">
            <v>116</v>
          </cell>
          <cell r="G226">
            <v>89</v>
          </cell>
          <cell r="H226">
            <v>89</v>
          </cell>
          <cell r="I226">
            <v>90</v>
          </cell>
          <cell r="J226">
            <v>88</v>
          </cell>
          <cell r="K226">
            <v>87</v>
          </cell>
          <cell r="L226">
            <v>85</v>
          </cell>
        </row>
        <row r="227">
          <cell r="E227">
            <v>3302480</v>
          </cell>
          <cell r="F227">
            <v>58</v>
          </cell>
          <cell r="G227">
            <v>60</v>
          </cell>
          <cell r="H227">
            <v>57</v>
          </cell>
          <cell r="I227">
            <v>51</v>
          </cell>
          <cell r="J227">
            <v>53</v>
          </cell>
          <cell r="K227">
            <v>36</v>
          </cell>
          <cell r="L227">
            <v>24</v>
          </cell>
        </row>
        <row r="228">
          <cell r="E228">
            <v>3302481</v>
          </cell>
          <cell r="F228">
            <v>60</v>
          </cell>
          <cell r="G228">
            <v>61</v>
          </cell>
          <cell r="H228">
            <v>64</v>
          </cell>
          <cell r="I228">
            <v>61</v>
          </cell>
          <cell r="J228">
            <v>60</v>
          </cell>
          <cell r="K228">
            <v>62</v>
          </cell>
          <cell r="L228">
            <v>61</v>
          </cell>
        </row>
        <row r="229">
          <cell r="E229">
            <v>3302482</v>
          </cell>
          <cell r="F229">
            <v>59.5</v>
          </cell>
          <cell r="G229">
            <v>53</v>
          </cell>
          <cell r="H229">
            <v>58</v>
          </cell>
          <cell r="I229">
            <v>58</v>
          </cell>
          <cell r="J229">
            <v>59</v>
          </cell>
          <cell r="K229">
            <v>60</v>
          </cell>
          <cell r="L229">
            <v>59</v>
          </cell>
        </row>
        <row r="230">
          <cell r="E230">
            <v>3302483</v>
          </cell>
          <cell r="F230">
            <v>30</v>
          </cell>
          <cell r="G230">
            <v>30</v>
          </cell>
          <cell r="H230">
            <v>30</v>
          </cell>
          <cell r="I230">
            <v>27</v>
          </cell>
          <cell r="J230">
            <v>26</v>
          </cell>
          <cell r="K230">
            <v>26</v>
          </cell>
          <cell r="L230">
            <v>23</v>
          </cell>
        </row>
        <row r="231">
          <cell r="E231">
            <v>3302484</v>
          </cell>
          <cell r="F231">
            <v>87</v>
          </cell>
          <cell r="G231">
            <v>89</v>
          </cell>
          <cell r="H231">
            <v>90</v>
          </cell>
          <cell r="I231">
            <v>90</v>
          </cell>
          <cell r="J231">
            <v>89</v>
          </cell>
          <cell r="K231">
            <v>119</v>
          </cell>
          <cell r="L231">
            <v>90</v>
          </cell>
        </row>
        <row r="232">
          <cell r="E232">
            <v>3302485</v>
          </cell>
          <cell r="F232">
            <v>59</v>
          </cell>
          <cell r="G232">
            <v>58</v>
          </cell>
          <cell r="H232">
            <v>55</v>
          </cell>
          <cell r="I232">
            <v>58</v>
          </cell>
          <cell r="J232">
            <v>54</v>
          </cell>
          <cell r="K232">
            <v>48</v>
          </cell>
          <cell r="L232">
            <v>39</v>
          </cell>
        </row>
        <row r="233">
          <cell r="E233">
            <v>3302486</v>
          </cell>
          <cell r="F233">
            <v>29</v>
          </cell>
          <cell r="G233">
            <v>28</v>
          </cell>
          <cell r="H233">
            <v>29</v>
          </cell>
          <cell r="I233">
            <v>29</v>
          </cell>
          <cell r="J233">
            <v>28</v>
          </cell>
          <cell r="K233">
            <v>23</v>
          </cell>
          <cell r="L233">
            <v>25</v>
          </cell>
        </row>
        <row r="234">
          <cell r="E234">
            <v>3303002</v>
          </cell>
          <cell r="F234">
            <v>30</v>
          </cell>
          <cell r="G234">
            <v>28</v>
          </cell>
          <cell r="H234">
            <v>30</v>
          </cell>
          <cell r="I234">
            <v>29</v>
          </cell>
          <cell r="J234">
            <v>28</v>
          </cell>
          <cell r="K234">
            <v>30</v>
          </cell>
          <cell r="L234">
            <v>29</v>
          </cell>
        </row>
        <row r="235">
          <cell r="E235">
            <v>3303003</v>
          </cell>
          <cell r="F235">
            <v>30</v>
          </cell>
          <cell r="G235">
            <v>30</v>
          </cell>
          <cell r="H235">
            <v>30</v>
          </cell>
          <cell r="I235">
            <v>28</v>
          </cell>
          <cell r="J235">
            <v>30</v>
          </cell>
          <cell r="K235">
            <v>32</v>
          </cell>
          <cell r="L235">
            <v>30</v>
          </cell>
        </row>
        <row r="236">
          <cell r="E236">
            <v>3303004</v>
          </cell>
          <cell r="F236">
            <v>30</v>
          </cell>
          <cell r="G236">
            <v>30</v>
          </cell>
          <cell r="H236">
            <v>30</v>
          </cell>
          <cell r="I236">
            <v>30</v>
          </cell>
          <cell r="J236">
            <v>30</v>
          </cell>
          <cell r="K236">
            <v>30</v>
          </cell>
          <cell r="L236">
            <v>24</v>
          </cell>
        </row>
        <row r="237">
          <cell r="E237">
            <v>3303010</v>
          </cell>
          <cell r="F237">
            <v>60</v>
          </cell>
          <cell r="G237">
            <v>56</v>
          </cell>
          <cell r="H237">
            <v>60</v>
          </cell>
          <cell r="I237">
            <v>62</v>
          </cell>
          <cell r="J237">
            <v>56</v>
          </cell>
          <cell r="K237">
            <v>60</v>
          </cell>
          <cell r="L237">
            <v>60</v>
          </cell>
        </row>
        <row r="238">
          <cell r="E238">
            <v>3303011</v>
          </cell>
          <cell r="F238">
            <v>25</v>
          </cell>
          <cell r="G238">
            <v>23</v>
          </cell>
          <cell r="H238">
            <v>29</v>
          </cell>
          <cell r="I238">
            <v>27</v>
          </cell>
          <cell r="J238">
            <v>28</v>
          </cell>
          <cell r="K238">
            <v>23</v>
          </cell>
          <cell r="L238">
            <v>21</v>
          </cell>
        </row>
        <row r="239">
          <cell r="E239">
            <v>3303015</v>
          </cell>
          <cell r="F239">
            <v>45</v>
          </cell>
          <cell r="G239">
            <v>45</v>
          </cell>
          <cell r="H239">
            <v>45</v>
          </cell>
          <cell r="I239">
            <v>45</v>
          </cell>
          <cell r="J239">
            <v>44</v>
          </cell>
          <cell r="K239">
            <v>45</v>
          </cell>
          <cell r="L239">
            <v>45</v>
          </cell>
        </row>
        <row r="240">
          <cell r="E240">
            <v>3303016</v>
          </cell>
          <cell r="F240">
            <v>30</v>
          </cell>
          <cell r="G240">
            <v>30</v>
          </cell>
          <cell r="H240">
            <v>30</v>
          </cell>
          <cell r="I240">
            <v>29</v>
          </cell>
          <cell r="J240">
            <v>27</v>
          </cell>
          <cell r="K240">
            <v>30</v>
          </cell>
          <cell r="L240">
            <v>30</v>
          </cell>
        </row>
        <row r="241">
          <cell r="E241">
            <v>3303019</v>
          </cell>
          <cell r="F241">
            <v>60</v>
          </cell>
          <cell r="G241">
            <v>58</v>
          </cell>
          <cell r="H241">
            <v>60</v>
          </cell>
          <cell r="I241">
            <v>60</v>
          </cell>
          <cell r="J241">
            <v>62</v>
          </cell>
          <cell r="K241">
            <v>57</v>
          </cell>
          <cell r="L241">
            <v>61</v>
          </cell>
        </row>
        <row r="242">
          <cell r="E242">
            <v>3303025</v>
          </cell>
          <cell r="F242">
            <v>60</v>
          </cell>
          <cell r="G242">
            <v>30</v>
          </cell>
          <cell r="H242">
            <v>30</v>
          </cell>
          <cell r="I242">
            <v>30</v>
          </cell>
          <cell r="J242">
            <v>28</v>
          </cell>
          <cell r="K242">
            <v>30</v>
          </cell>
          <cell r="L242">
            <v>26</v>
          </cell>
        </row>
        <row r="243">
          <cell r="E243">
            <v>3303026</v>
          </cell>
          <cell r="F243">
            <v>30</v>
          </cell>
          <cell r="G243">
            <v>30</v>
          </cell>
          <cell r="H243">
            <v>30</v>
          </cell>
          <cell r="I243">
            <v>28</v>
          </cell>
          <cell r="J243">
            <v>28</v>
          </cell>
          <cell r="K243">
            <v>27</v>
          </cell>
          <cell r="L243">
            <v>25</v>
          </cell>
        </row>
        <row r="244">
          <cell r="E244">
            <v>3303302</v>
          </cell>
          <cell r="F244">
            <v>30</v>
          </cell>
          <cell r="G244">
            <v>30</v>
          </cell>
          <cell r="H244">
            <v>30</v>
          </cell>
          <cell r="I244">
            <v>30</v>
          </cell>
          <cell r="J244">
            <v>30</v>
          </cell>
          <cell r="K244">
            <v>30</v>
          </cell>
          <cell r="L244">
            <v>30</v>
          </cell>
        </row>
        <row r="245">
          <cell r="E245">
            <v>3303303</v>
          </cell>
          <cell r="F245">
            <v>29</v>
          </cell>
          <cell r="G245">
            <v>31</v>
          </cell>
          <cell r="H245">
            <v>30</v>
          </cell>
          <cell r="I245">
            <v>26</v>
          </cell>
          <cell r="J245">
            <v>28</v>
          </cell>
          <cell r="K245">
            <v>26</v>
          </cell>
          <cell r="L245">
            <v>25</v>
          </cell>
        </row>
        <row r="246">
          <cell r="E246">
            <v>3303305</v>
          </cell>
          <cell r="F246">
            <v>30</v>
          </cell>
          <cell r="G246">
            <v>30</v>
          </cell>
          <cell r="H246">
            <v>30</v>
          </cell>
          <cell r="I246">
            <v>30</v>
          </cell>
          <cell r="J246">
            <v>29</v>
          </cell>
          <cell r="K246">
            <v>28</v>
          </cell>
          <cell r="L246">
            <v>27</v>
          </cell>
        </row>
        <row r="247">
          <cell r="E247">
            <v>3303306</v>
          </cell>
          <cell r="F247">
            <v>60</v>
          </cell>
          <cell r="G247">
            <v>60</v>
          </cell>
          <cell r="H247">
            <v>60</v>
          </cell>
          <cell r="I247">
            <v>60</v>
          </cell>
          <cell r="J247">
            <v>60</v>
          </cell>
          <cell r="K247">
            <v>60</v>
          </cell>
          <cell r="L247">
            <v>60</v>
          </cell>
        </row>
        <row r="248">
          <cell r="E248">
            <v>3303307</v>
          </cell>
          <cell r="F248">
            <v>0</v>
          </cell>
          <cell r="G248">
            <v>0</v>
          </cell>
          <cell r="H248">
            <v>0</v>
          </cell>
          <cell r="I248">
            <v>88</v>
          </cell>
          <cell r="J248">
            <v>89</v>
          </cell>
          <cell r="K248">
            <v>84</v>
          </cell>
          <cell r="L248">
            <v>88</v>
          </cell>
        </row>
        <row r="249">
          <cell r="E249">
            <v>3303310</v>
          </cell>
          <cell r="F249">
            <v>30</v>
          </cell>
          <cell r="G249">
            <v>30</v>
          </cell>
          <cell r="H249">
            <v>30</v>
          </cell>
          <cell r="I249">
            <v>29</v>
          </cell>
          <cell r="J249">
            <v>30</v>
          </cell>
          <cell r="K249">
            <v>29</v>
          </cell>
          <cell r="L249">
            <v>24</v>
          </cell>
        </row>
        <row r="250">
          <cell r="E250">
            <v>3303311</v>
          </cell>
          <cell r="F250">
            <v>60</v>
          </cell>
          <cell r="G250">
            <v>57</v>
          </cell>
          <cell r="H250">
            <v>28</v>
          </cell>
          <cell r="I250">
            <v>25</v>
          </cell>
          <cell r="J250">
            <v>31</v>
          </cell>
          <cell r="K250">
            <v>26</v>
          </cell>
          <cell r="L250">
            <v>41</v>
          </cell>
        </row>
        <row r="251">
          <cell r="E251">
            <v>3303314</v>
          </cell>
          <cell r="F251">
            <v>30</v>
          </cell>
          <cell r="G251">
            <v>30</v>
          </cell>
          <cell r="H251">
            <v>30</v>
          </cell>
          <cell r="I251">
            <v>30</v>
          </cell>
          <cell r="J251">
            <v>27</v>
          </cell>
          <cell r="K251">
            <v>25</v>
          </cell>
          <cell r="L251">
            <v>21</v>
          </cell>
        </row>
        <row r="252">
          <cell r="E252">
            <v>3303316</v>
          </cell>
          <cell r="F252">
            <v>31</v>
          </cell>
          <cell r="G252">
            <v>30</v>
          </cell>
          <cell r="H252">
            <v>32</v>
          </cell>
          <cell r="I252">
            <v>29</v>
          </cell>
          <cell r="J252">
            <v>31</v>
          </cell>
          <cell r="K252">
            <v>32</v>
          </cell>
          <cell r="L252">
            <v>26</v>
          </cell>
        </row>
        <row r="253">
          <cell r="E253">
            <v>3303317</v>
          </cell>
          <cell r="F253">
            <v>30</v>
          </cell>
          <cell r="G253">
            <v>30</v>
          </cell>
          <cell r="H253">
            <v>30</v>
          </cell>
          <cell r="I253">
            <v>30</v>
          </cell>
          <cell r="J253">
            <v>30</v>
          </cell>
          <cell r="K253">
            <v>30</v>
          </cell>
          <cell r="L253">
            <v>28</v>
          </cell>
        </row>
        <row r="254">
          <cell r="E254">
            <v>3303318</v>
          </cell>
          <cell r="F254">
            <v>60</v>
          </cell>
          <cell r="G254">
            <v>60</v>
          </cell>
          <cell r="H254">
            <v>60</v>
          </cell>
          <cell r="I254">
            <v>60</v>
          </cell>
          <cell r="J254">
            <v>60</v>
          </cell>
          <cell r="K254">
            <v>53</v>
          </cell>
          <cell r="L254">
            <v>60</v>
          </cell>
        </row>
        <row r="255">
          <cell r="E255">
            <v>3303319</v>
          </cell>
          <cell r="F255">
            <v>54</v>
          </cell>
          <cell r="G255">
            <v>52</v>
          </cell>
          <cell r="H255">
            <v>52</v>
          </cell>
          <cell r="I255">
            <v>48</v>
          </cell>
          <cell r="J255">
            <v>53</v>
          </cell>
          <cell r="K255">
            <v>47</v>
          </cell>
          <cell r="L255">
            <v>42</v>
          </cell>
        </row>
        <row r="256">
          <cell r="E256">
            <v>3303320</v>
          </cell>
          <cell r="F256">
            <v>60</v>
          </cell>
          <cell r="G256">
            <v>56</v>
          </cell>
          <cell r="H256">
            <v>60</v>
          </cell>
          <cell r="I256">
            <v>60</v>
          </cell>
          <cell r="J256">
            <v>59</v>
          </cell>
          <cell r="K256">
            <v>56</v>
          </cell>
          <cell r="L256">
            <v>56</v>
          </cell>
        </row>
        <row r="257">
          <cell r="E257">
            <v>3303321</v>
          </cell>
          <cell r="F257">
            <v>59</v>
          </cell>
          <cell r="G257">
            <v>61</v>
          </cell>
          <cell r="H257">
            <v>55</v>
          </cell>
          <cell r="I257">
            <v>60</v>
          </cell>
          <cell r="J257">
            <v>59</v>
          </cell>
          <cell r="K257">
            <v>60</v>
          </cell>
          <cell r="L257">
            <v>57</v>
          </cell>
        </row>
        <row r="258">
          <cell r="E258">
            <v>3303322</v>
          </cell>
          <cell r="F258">
            <v>30</v>
          </cell>
          <cell r="G258">
            <v>29</v>
          </cell>
          <cell r="H258">
            <v>29</v>
          </cell>
          <cell r="I258">
            <v>30</v>
          </cell>
          <cell r="J258">
            <v>25</v>
          </cell>
          <cell r="K258">
            <v>25</v>
          </cell>
          <cell r="L258">
            <v>20</v>
          </cell>
        </row>
        <row r="259">
          <cell r="E259">
            <v>3303323</v>
          </cell>
          <cell r="F259">
            <v>30</v>
          </cell>
          <cell r="G259">
            <v>30</v>
          </cell>
          <cell r="H259">
            <v>29</v>
          </cell>
          <cell r="I259">
            <v>26</v>
          </cell>
          <cell r="J259">
            <v>29</v>
          </cell>
          <cell r="K259">
            <v>30</v>
          </cell>
          <cell r="L259">
            <v>30</v>
          </cell>
        </row>
        <row r="260">
          <cell r="E260">
            <v>3303325</v>
          </cell>
          <cell r="F260">
            <v>53</v>
          </cell>
          <cell r="G260">
            <v>49</v>
          </cell>
          <cell r="H260">
            <v>50</v>
          </cell>
          <cell r="I260">
            <v>49</v>
          </cell>
          <cell r="J260">
            <v>52</v>
          </cell>
          <cell r="K260">
            <v>49</v>
          </cell>
          <cell r="L260">
            <v>50</v>
          </cell>
        </row>
        <row r="261">
          <cell r="E261">
            <v>3303327</v>
          </cell>
          <cell r="F261">
            <v>60</v>
          </cell>
          <cell r="G261">
            <v>60</v>
          </cell>
          <cell r="H261">
            <v>61</v>
          </cell>
          <cell r="I261">
            <v>60</v>
          </cell>
          <cell r="J261">
            <v>58</v>
          </cell>
          <cell r="K261">
            <v>59</v>
          </cell>
          <cell r="L261">
            <v>58</v>
          </cell>
        </row>
        <row r="262">
          <cell r="E262">
            <v>3303328</v>
          </cell>
          <cell r="F262">
            <v>29.5</v>
          </cell>
          <cell r="G262">
            <v>30</v>
          </cell>
          <cell r="H262">
            <v>30</v>
          </cell>
          <cell r="I262">
            <v>30</v>
          </cell>
          <cell r="J262">
            <v>30</v>
          </cell>
          <cell r="K262">
            <v>45</v>
          </cell>
          <cell r="L262">
            <v>43</v>
          </cell>
        </row>
        <row r="263">
          <cell r="E263">
            <v>3303329</v>
          </cell>
          <cell r="F263">
            <v>30</v>
          </cell>
          <cell r="G263">
            <v>29</v>
          </cell>
          <cell r="H263">
            <v>29</v>
          </cell>
          <cell r="I263">
            <v>30</v>
          </cell>
          <cell r="J263">
            <v>30</v>
          </cell>
          <cell r="K263">
            <v>30</v>
          </cell>
          <cell r="L263">
            <v>30</v>
          </cell>
        </row>
        <row r="264">
          <cell r="E264">
            <v>3303330</v>
          </cell>
          <cell r="F264">
            <v>60</v>
          </cell>
          <cell r="G264">
            <v>60</v>
          </cell>
          <cell r="H264">
            <v>60</v>
          </cell>
          <cell r="I264">
            <v>60</v>
          </cell>
          <cell r="J264">
            <v>54</v>
          </cell>
          <cell r="K264">
            <v>56</v>
          </cell>
          <cell r="L264">
            <v>56</v>
          </cell>
        </row>
        <row r="265">
          <cell r="E265">
            <v>3303331</v>
          </cell>
          <cell r="F265">
            <v>29</v>
          </cell>
          <cell r="G265">
            <v>30</v>
          </cell>
          <cell r="H265">
            <v>29</v>
          </cell>
          <cell r="I265">
            <v>30</v>
          </cell>
          <cell r="J265">
            <v>30</v>
          </cell>
          <cell r="K265">
            <v>28</v>
          </cell>
          <cell r="L265">
            <v>31</v>
          </cell>
        </row>
        <row r="266">
          <cell r="E266">
            <v>3303335</v>
          </cell>
          <cell r="F266">
            <v>29</v>
          </cell>
          <cell r="G266">
            <v>30</v>
          </cell>
          <cell r="H266">
            <v>28</v>
          </cell>
          <cell r="I266">
            <v>28</v>
          </cell>
          <cell r="J266">
            <v>30</v>
          </cell>
          <cell r="K266">
            <v>30</v>
          </cell>
          <cell r="L266">
            <v>28</v>
          </cell>
        </row>
        <row r="267">
          <cell r="E267">
            <v>3303337</v>
          </cell>
          <cell r="F267">
            <v>28</v>
          </cell>
          <cell r="G267">
            <v>29</v>
          </cell>
          <cell r="H267">
            <v>28</v>
          </cell>
          <cell r="I267">
            <v>29</v>
          </cell>
          <cell r="J267">
            <v>25</v>
          </cell>
          <cell r="K267">
            <v>27</v>
          </cell>
          <cell r="L267">
            <v>24</v>
          </cell>
        </row>
        <row r="268">
          <cell r="E268">
            <v>3303339</v>
          </cell>
          <cell r="F268">
            <v>29</v>
          </cell>
          <cell r="G268">
            <v>30</v>
          </cell>
          <cell r="H268">
            <v>32</v>
          </cell>
          <cell r="I268">
            <v>27</v>
          </cell>
          <cell r="J268">
            <v>30</v>
          </cell>
          <cell r="K268">
            <v>33</v>
          </cell>
          <cell r="L268">
            <v>23</v>
          </cell>
        </row>
        <row r="269">
          <cell r="E269">
            <v>3303342</v>
          </cell>
          <cell r="F269">
            <v>60</v>
          </cell>
          <cell r="G269">
            <v>60</v>
          </cell>
          <cell r="H269">
            <v>58</v>
          </cell>
          <cell r="I269">
            <v>60</v>
          </cell>
          <cell r="J269">
            <v>59</v>
          </cell>
          <cell r="K269">
            <v>52</v>
          </cell>
          <cell r="L269">
            <v>54</v>
          </cell>
        </row>
        <row r="270">
          <cell r="E270">
            <v>3303344</v>
          </cell>
          <cell r="F270">
            <v>60</v>
          </cell>
          <cell r="G270">
            <v>60</v>
          </cell>
          <cell r="H270">
            <v>30</v>
          </cell>
          <cell r="I270">
            <v>32</v>
          </cell>
          <cell r="J270">
            <v>31</v>
          </cell>
          <cell r="K270">
            <v>32</v>
          </cell>
          <cell r="L270">
            <v>30</v>
          </cell>
        </row>
        <row r="271">
          <cell r="E271">
            <v>3303346</v>
          </cell>
          <cell r="F271">
            <v>30</v>
          </cell>
          <cell r="G271">
            <v>30</v>
          </cell>
          <cell r="H271">
            <v>30</v>
          </cell>
          <cell r="I271">
            <v>29</v>
          </cell>
          <cell r="J271">
            <v>29</v>
          </cell>
          <cell r="K271">
            <v>30</v>
          </cell>
          <cell r="L271">
            <v>24</v>
          </cell>
        </row>
        <row r="272">
          <cell r="E272">
            <v>3303347</v>
          </cell>
          <cell r="F272">
            <v>29</v>
          </cell>
          <cell r="G272">
            <v>30</v>
          </cell>
          <cell r="H272">
            <v>28</v>
          </cell>
          <cell r="I272">
            <v>29</v>
          </cell>
          <cell r="J272">
            <v>24</v>
          </cell>
          <cell r="K272">
            <v>27</v>
          </cell>
          <cell r="L272">
            <v>21</v>
          </cell>
        </row>
        <row r="273">
          <cell r="E273">
            <v>3303349</v>
          </cell>
          <cell r="F273">
            <v>46</v>
          </cell>
          <cell r="G273">
            <v>46</v>
          </cell>
          <cell r="H273">
            <v>47</v>
          </cell>
          <cell r="I273">
            <v>50</v>
          </cell>
          <cell r="J273">
            <v>50</v>
          </cell>
          <cell r="K273">
            <v>44</v>
          </cell>
          <cell r="L273">
            <v>48</v>
          </cell>
        </row>
        <row r="274">
          <cell r="E274">
            <v>3303350</v>
          </cell>
          <cell r="F274">
            <v>58</v>
          </cell>
          <cell r="G274">
            <v>60</v>
          </cell>
          <cell r="H274">
            <v>55</v>
          </cell>
          <cell r="I274">
            <v>53</v>
          </cell>
          <cell r="J274">
            <v>60</v>
          </cell>
          <cell r="K274">
            <v>59</v>
          </cell>
          <cell r="L274">
            <v>36</v>
          </cell>
        </row>
        <row r="275">
          <cell r="E275">
            <v>3303351</v>
          </cell>
          <cell r="F275">
            <v>30</v>
          </cell>
          <cell r="G275">
            <v>31</v>
          </cell>
          <cell r="H275">
            <v>27</v>
          </cell>
          <cell r="I275">
            <v>26</v>
          </cell>
          <cell r="J275">
            <v>29</v>
          </cell>
          <cell r="K275">
            <v>28</v>
          </cell>
          <cell r="L275">
            <v>15</v>
          </cell>
        </row>
        <row r="276">
          <cell r="E276">
            <v>3303352</v>
          </cell>
          <cell r="F276">
            <v>31</v>
          </cell>
          <cell r="G276">
            <v>31</v>
          </cell>
          <cell r="H276">
            <v>31</v>
          </cell>
          <cell r="I276">
            <v>31</v>
          </cell>
          <cell r="J276">
            <v>31</v>
          </cell>
          <cell r="K276">
            <v>30</v>
          </cell>
          <cell r="L276">
            <v>32</v>
          </cell>
        </row>
        <row r="277">
          <cell r="E277">
            <v>3303353</v>
          </cell>
          <cell r="F277">
            <v>0</v>
          </cell>
          <cell r="G277">
            <v>0</v>
          </cell>
          <cell r="H277">
            <v>0</v>
          </cell>
          <cell r="I277">
            <v>96</v>
          </cell>
          <cell r="J277">
            <v>95</v>
          </cell>
          <cell r="K277">
            <v>94</v>
          </cell>
          <cell r="L277">
            <v>94</v>
          </cell>
        </row>
        <row r="278">
          <cell r="E278">
            <v>3303354</v>
          </cell>
          <cell r="F278">
            <v>90</v>
          </cell>
          <cell r="G278">
            <v>90</v>
          </cell>
          <cell r="H278">
            <v>90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E279">
            <v>3303355</v>
          </cell>
          <cell r="F279">
            <v>60</v>
          </cell>
          <cell r="G279">
            <v>60</v>
          </cell>
          <cell r="H279">
            <v>59</v>
          </cell>
          <cell r="I279">
            <v>61</v>
          </cell>
          <cell r="J279">
            <v>58</v>
          </cell>
          <cell r="K279">
            <v>58</v>
          </cell>
          <cell r="L279">
            <v>56</v>
          </cell>
        </row>
        <row r="280">
          <cell r="E280">
            <v>3303356</v>
          </cell>
          <cell r="F280">
            <v>30</v>
          </cell>
          <cell r="G280">
            <v>30</v>
          </cell>
          <cell r="H280">
            <v>30</v>
          </cell>
          <cell r="I280">
            <v>32</v>
          </cell>
          <cell r="J280">
            <v>30</v>
          </cell>
          <cell r="K280">
            <v>29</v>
          </cell>
          <cell r="L280">
            <v>22</v>
          </cell>
        </row>
        <row r="281">
          <cell r="E281">
            <v>3303357</v>
          </cell>
          <cell r="F281">
            <v>31</v>
          </cell>
          <cell r="G281">
            <v>30</v>
          </cell>
          <cell r="H281">
            <v>30</v>
          </cell>
          <cell r="I281">
            <v>30</v>
          </cell>
          <cell r="J281">
            <v>30</v>
          </cell>
          <cell r="K281">
            <v>28</v>
          </cell>
          <cell r="L281">
            <v>19</v>
          </cell>
        </row>
        <row r="282">
          <cell r="E282">
            <v>3303358</v>
          </cell>
          <cell r="F282">
            <v>30</v>
          </cell>
          <cell r="G282">
            <v>27</v>
          </cell>
          <cell r="H282">
            <v>27</v>
          </cell>
          <cell r="I282">
            <v>30</v>
          </cell>
          <cell r="J282">
            <v>29</v>
          </cell>
          <cell r="K282">
            <v>25</v>
          </cell>
          <cell r="L282">
            <v>29</v>
          </cell>
        </row>
        <row r="283">
          <cell r="E283">
            <v>3303359</v>
          </cell>
          <cell r="F283">
            <v>45</v>
          </cell>
          <cell r="G283">
            <v>30</v>
          </cell>
          <cell r="H283">
            <v>30</v>
          </cell>
          <cell r="I283">
            <v>30</v>
          </cell>
          <cell r="J283">
            <v>30</v>
          </cell>
          <cell r="K283">
            <v>30</v>
          </cell>
          <cell r="L283">
            <v>29</v>
          </cell>
        </row>
        <row r="284">
          <cell r="E284">
            <v>3303360</v>
          </cell>
          <cell r="F284">
            <v>30</v>
          </cell>
          <cell r="G284">
            <v>30</v>
          </cell>
          <cell r="H284">
            <v>29</v>
          </cell>
          <cell r="I284">
            <v>31</v>
          </cell>
          <cell r="J284">
            <v>30</v>
          </cell>
          <cell r="K284">
            <v>28</v>
          </cell>
          <cell r="L284">
            <v>26</v>
          </cell>
        </row>
        <row r="285">
          <cell r="E285">
            <v>3303361</v>
          </cell>
          <cell r="F285">
            <v>31</v>
          </cell>
          <cell r="G285">
            <v>31</v>
          </cell>
          <cell r="H285">
            <v>31</v>
          </cell>
          <cell r="I285">
            <v>44</v>
          </cell>
          <cell r="J285">
            <v>32</v>
          </cell>
          <cell r="K285">
            <v>30</v>
          </cell>
          <cell r="L285">
            <v>29</v>
          </cell>
        </row>
        <row r="286">
          <cell r="E286">
            <v>3303362</v>
          </cell>
          <cell r="F286">
            <v>30</v>
          </cell>
          <cell r="G286">
            <v>30</v>
          </cell>
          <cell r="H286">
            <v>30</v>
          </cell>
          <cell r="I286">
            <v>30</v>
          </cell>
          <cell r="J286">
            <v>30</v>
          </cell>
          <cell r="K286">
            <v>29</v>
          </cell>
          <cell r="L286">
            <v>31</v>
          </cell>
        </row>
        <row r="287">
          <cell r="E287">
            <v>3303363</v>
          </cell>
          <cell r="F287">
            <v>60</v>
          </cell>
          <cell r="G287">
            <v>47</v>
          </cell>
          <cell r="H287">
            <v>43</v>
          </cell>
          <cell r="I287">
            <v>44</v>
          </cell>
          <cell r="J287">
            <v>39</v>
          </cell>
          <cell r="K287">
            <v>49</v>
          </cell>
          <cell r="L287">
            <v>30</v>
          </cell>
        </row>
        <row r="288">
          <cell r="E288">
            <v>3303365</v>
          </cell>
          <cell r="F288">
            <v>30</v>
          </cell>
          <cell r="G288">
            <v>30</v>
          </cell>
          <cell r="H288">
            <v>28</v>
          </cell>
          <cell r="I288">
            <v>31</v>
          </cell>
          <cell r="J288">
            <v>29</v>
          </cell>
          <cell r="K288">
            <v>29</v>
          </cell>
          <cell r="L288">
            <v>30</v>
          </cell>
        </row>
        <row r="289">
          <cell r="E289">
            <v>3303366</v>
          </cell>
          <cell r="F289">
            <v>30</v>
          </cell>
          <cell r="G289">
            <v>30</v>
          </cell>
          <cell r="H289">
            <v>30</v>
          </cell>
          <cell r="I289">
            <v>29</v>
          </cell>
          <cell r="J289">
            <v>23</v>
          </cell>
          <cell r="K289">
            <v>25</v>
          </cell>
          <cell r="L289">
            <v>23</v>
          </cell>
        </row>
        <row r="290">
          <cell r="E290">
            <v>3303367</v>
          </cell>
          <cell r="F290">
            <v>30</v>
          </cell>
          <cell r="G290">
            <v>30</v>
          </cell>
          <cell r="H290">
            <v>29</v>
          </cell>
          <cell r="I290">
            <v>29</v>
          </cell>
          <cell r="J290">
            <v>28</v>
          </cell>
          <cell r="K290">
            <v>27</v>
          </cell>
          <cell r="L290">
            <v>27</v>
          </cell>
        </row>
        <row r="291">
          <cell r="E291">
            <v>3303371</v>
          </cell>
          <cell r="F291">
            <v>90</v>
          </cell>
          <cell r="G291">
            <v>90</v>
          </cell>
          <cell r="H291">
            <v>90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E292">
            <v>3303372</v>
          </cell>
          <cell r="F292">
            <v>90</v>
          </cell>
          <cell r="G292">
            <v>88</v>
          </cell>
          <cell r="H292">
            <v>89</v>
          </cell>
          <cell r="I292">
            <v>88</v>
          </cell>
          <cell r="J292">
            <v>85</v>
          </cell>
          <cell r="K292">
            <v>88</v>
          </cell>
          <cell r="L292">
            <v>88</v>
          </cell>
        </row>
        <row r="293">
          <cell r="E293">
            <v>3303374</v>
          </cell>
          <cell r="F293">
            <v>30</v>
          </cell>
          <cell r="G293">
            <v>30</v>
          </cell>
          <cell r="H293">
            <v>30</v>
          </cell>
          <cell r="I293">
            <v>30</v>
          </cell>
          <cell r="J293">
            <v>30</v>
          </cell>
          <cell r="K293">
            <v>30</v>
          </cell>
          <cell r="L293">
            <v>30</v>
          </cell>
        </row>
        <row r="294">
          <cell r="E294">
            <v>3303375</v>
          </cell>
          <cell r="F294">
            <v>59</v>
          </cell>
          <cell r="G294">
            <v>58</v>
          </cell>
          <cell r="H294">
            <v>59</v>
          </cell>
          <cell r="I294">
            <v>56</v>
          </cell>
          <cell r="J294">
            <v>53</v>
          </cell>
          <cell r="K294">
            <v>53</v>
          </cell>
          <cell r="L294">
            <v>53</v>
          </cell>
        </row>
        <row r="295">
          <cell r="E295">
            <v>3303377</v>
          </cell>
          <cell r="F295">
            <v>30</v>
          </cell>
          <cell r="G295">
            <v>29</v>
          </cell>
          <cell r="H295">
            <v>30</v>
          </cell>
          <cell r="I295">
            <v>24</v>
          </cell>
          <cell r="J295">
            <v>21</v>
          </cell>
          <cell r="K295">
            <v>30</v>
          </cell>
          <cell r="L295">
            <v>20</v>
          </cell>
        </row>
        <row r="296">
          <cell r="E296">
            <v>3303379</v>
          </cell>
          <cell r="F296">
            <v>26</v>
          </cell>
          <cell r="G296">
            <v>30</v>
          </cell>
          <cell r="H296">
            <v>28</v>
          </cell>
          <cell r="I296">
            <v>30</v>
          </cell>
          <cell r="J296">
            <v>29</v>
          </cell>
          <cell r="K296">
            <v>29</v>
          </cell>
          <cell r="L296">
            <v>29</v>
          </cell>
        </row>
        <row r="297">
          <cell r="E297">
            <v>3303380</v>
          </cell>
          <cell r="F297">
            <v>29</v>
          </cell>
          <cell r="G297">
            <v>30</v>
          </cell>
          <cell r="H297">
            <v>30</v>
          </cell>
          <cell r="I297">
            <v>30</v>
          </cell>
          <cell r="J297">
            <v>30</v>
          </cell>
          <cell r="K297">
            <v>30</v>
          </cell>
          <cell r="L297">
            <v>29</v>
          </cell>
        </row>
        <row r="298">
          <cell r="E298">
            <v>3303381</v>
          </cell>
          <cell r="F298">
            <v>30</v>
          </cell>
          <cell r="G298">
            <v>29</v>
          </cell>
          <cell r="H298">
            <v>30</v>
          </cell>
          <cell r="I298">
            <v>30</v>
          </cell>
          <cell r="J298">
            <v>29</v>
          </cell>
          <cell r="K298">
            <v>28</v>
          </cell>
          <cell r="L298">
            <v>30</v>
          </cell>
        </row>
        <row r="299">
          <cell r="E299">
            <v>3303382</v>
          </cell>
          <cell r="F299">
            <v>30</v>
          </cell>
          <cell r="G299">
            <v>30</v>
          </cell>
          <cell r="H299">
            <v>30</v>
          </cell>
          <cell r="I299">
            <v>28</v>
          </cell>
          <cell r="J299">
            <v>26</v>
          </cell>
          <cell r="K299">
            <v>29</v>
          </cell>
          <cell r="L299">
            <v>32</v>
          </cell>
        </row>
        <row r="300">
          <cell r="E300">
            <v>3303383</v>
          </cell>
          <cell r="F300">
            <v>30</v>
          </cell>
          <cell r="G300">
            <v>26</v>
          </cell>
          <cell r="H300">
            <v>30</v>
          </cell>
          <cell r="I300">
            <v>29</v>
          </cell>
          <cell r="J300">
            <v>28</v>
          </cell>
          <cell r="K300">
            <v>29</v>
          </cell>
          <cell r="L300">
            <v>30</v>
          </cell>
        </row>
        <row r="301">
          <cell r="E301">
            <v>3303385</v>
          </cell>
          <cell r="F301">
            <v>30</v>
          </cell>
          <cell r="G301">
            <v>30</v>
          </cell>
          <cell r="H301">
            <v>30</v>
          </cell>
          <cell r="I301">
            <v>30</v>
          </cell>
          <cell r="J301">
            <v>30</v>
          </cell>
          <cell r="K301">
            <v>28</v>
          </cell>
          <cell r="L301">
            <v>28</v>
          </cell>
        </row>
        <row r="302">
          <cell r="E302">
            <v>3303386</v>
          </cell>
          <cell r="F302">
            <v>32</v>
          </cell>
          <cell r="G302">
            <v>30</v>
          </cell>
          <cell r="H302">
            <v>30</v>
          </cell>
          <cell r="I302">
            <v>30</v>
          </cell>
          <cell r="J302">
            <v>30</v>
          </cell>
          <cell r="K302">
            <v>30</v>
          </cell>
          <cell r="L302">
            <v>30</v>
          </cell>
        </row>
        <row r="303">
          <cell r="E303">
            <v>3303401</v>
          </cell>
          <cell r="F303">
            <v>30</v>
          </cell>
          <cell r="G303">
            <v>30</v>
          </cell>
          <cell r="H303">
            <v>30</v>
          </cell>
          <cell r="I303">
            <v>30</v>
          </cell>
          <cell r="J303">
            <v>30</v>
          </cell>
          <cell r="K303">
            <v>30</v>
          </cell>
          <cell r="L303">
            <v>30</v>
          </cell>
        </row>
        <row r="304">
          <cell r="E304">
            <v>3303402</v>
          </cell>
          <cell r="F304">
            <v>30</v>
          </cell>
          <cell r="G304">
            <v>28</v>
          </cell>
          <cell r="H304">
            <v>30</v>
          </cell>
          <cell r="I304">
            <v>30</v>
          </cell>
          <cell r="J304">
            <v>29</v>
          </cell>
          <cell r="K304">
            <v>30</v>
          </cell>
          <cell r="L304">
            <v>30</v>
          </cell>
        </row>
        <row r="305">
          <cell r="E305">
            <v>3303403</v>
          </cell>
          <cell r="F305">
            <v>29.5</v>
          </cell>
          <cell r="G305">
            <v>30</v>
          </cell>
          <cell r="H305">
            <v>30</v>
          </cell>
          <cell r="I305">
            <v>30</v>
          </cell>
          <cell r="J305">
            <v>30</v>
          </cell>
          <cell r="K305">
            <v>30</v>
          </cell>
          <cell r="L305">
            <v>30</v>
          </cell>
        </row>
        <row r="306">
          <cell r="E306">
            <v>3303406</v>
          </cell>
          <cell r="F306">
            <v>59</v>
          </cell>
          <cell r="G306">
            <v>59</v>
          </cell>
          <cell r="H306">
            <v>53</v>
          </cell>
          <cell r="I306">
            <v>45</v>
          </cell>
          <cell r="J306">
            <v>54</v>
          </cell>
          <cell r="K306">
            <v>48</v>
          </cell>
          <cell r="L306">
            <v>47</v>
          </cell>
        </row>
        <row r="307">
          <cell r="E307">
            <v>3303409</v>
          </cell>
          <cell r="F307">
            <v>30</v>
          </cell>
          <cell r="G307">
            <v>30</v>
          </cell>
          <cell r="H307">
            <v>30</v>
          </cell>
          <cell r="I307">
            <v>29</v>
          </cell>
          <cell r="J307">
            <v>30</v>
          </cell>
          <cell r="K307">
            <v>30</v>
          </cell>
          <cell r="L307">
            <v>32</v>
          </cell>
        </row>
        <row r="308">
          <cell r="E308">
            <v>3303410</v>
          </cell>
          <cell r="F308">
            <v>30</v>
          </cell>
          <cell r="G308">
            <v>31</v>
          </cell>
          <cell r="H308">
            <v>30</v>
          </cell>
          <cell r="I308">
            <v>31</v>
          </cell>
          <cell r="J308">
            <v>30</v>
          </cell>
          <cell r="K308">
            <v>31</v>
          </cell>
          <cell r="L308">
            <v>30</v>
          </cell>
        </row>
        <row r="309">
          <cell r="E309">
            <v>3303411</v>
          </cell>
          <cell r="F309">
            <v>60</v>
          </cell>
          <cell r="G309">
            <v>54</v>
          </cell>
          <cell r="H309">
            <v>38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E310">
            <v>3303412</v>
          </cell>
          <cell r="F310">
            <v>103</v>
          </cell>
          <cell r="G310">
            <v>116</v>
          </cell>
          <cell r="H310">
            <v>89</v>
          </cell>
          <cell r="I310">
            <v>90</v>
          </cell>
          <cell r="J310">
            <v>89</v>
          </cell>
          <cell r="K310">
            <v>90</v>
          </cell>
          <cell r="L310">
            <v>87</v>
          </cell>
        </row>
        <row r="311">
          <cell r="E311">
            <v>3303413</v>
          </cell>
          <cell r="F311">
            <v>89</v>
          </cell>
          <cell r="G311">
            <v>88</v>
          </cell>
          <cell r="H311">
            <v>89</v>
          </cell>
          <cell r="I311">
            <v>91</v>
          </cell>
          <cell r="J311">
            <v>90</v>
          </cell>
          <cell r="K311">
            <v>90</v>
          </cell>
          <cell r="L311">
            <v>90</v>
          </cell>
        </row>
        <row r="312">
          <cell r="E312">
            <v>3303419</v>
          </cell>
          <cell r="F312">
            <v>30</v>
          </cell>
          <cell r="G312">
            <v>30</v>
          </cell>
          <cell r="H312">
            <v>24</v>
          </cell>
          <cell r="I312">
            <v>35</v>
          </cell>
          <cell r="J312">
            <v>24</v>
          </cell>
          <cell r="K312">
            <v>36</v>
          </cell>
          <cell r="L312">
            <v>25</v>
          </cell>
        </row>
        <row r="313">
          <cell r="E313">
            <v>3303420</v>
          </cell>
          <cell r="F313">
            <v>57</v>
          </cell>
          <cell r="G313">
            <v>60</v>
          </cell>
          <cell r="H313">
            <v>59</v>
          </cell>
          <cell r="I313">
            <v>52</v>
          </cell>
          <cell r="J313">
            <v>58</v>
          </cell>
          <cell r="K313">
            <v>52</v>
          </cell>
          <cell r="L313">
            <v>39</v>
          </cell>
        </row>
        <row r="314">
          <cell r="E314">
            <v>3303421</v>
          </cell>
          <cell r="F314">
            <v>119</v>
          </cell>
          <cell r="G314">
            <v>120</v>
          </cell>
          <cell r="H314">
            <v>90</v>
          </cell>
          <cell r="I314">
            <v>90</v>
          </cell>
          <cell r="J314">
            <v>90</v>
          </cell>
          <cell r="K314">
            <v>90</v>
          </cell>
          <cell r="L314">
            <v>90</v>
          </cell>
        </row>
        <row r="315">
          <cell r="E315">
            <v>3303428</v>
          </cell>
          <cell r="F315">
            <v>60</v>
          </cell>
          <cell r="G315">
            <v>60</v>
          </cell>
          <cell r="H315">
            <v>60</v>
          </cell>
          <cell r="I315">
            <v>60</v>
          </cell>
          <cell r="J315">
            <v>60</v>
          </cell>
          <cell r="K315">
            <v>59</v>
          </cell>
          <cell r="L315">
            <v>46</v>
          </cell>
        </row>
        <row r="316">
          <cell r="E316">
            <v>3303429</v>
          </cell>
          <cell r="F316">
            <v>59</v>
          </cell>
          <cell r="G316">
            <v>60</v>
          </cell>
          <cell r="H316">
            <v>60</v>
          </cell>
          <cell r="I316">
            <v>60</v>
          </cell>
          <cell r="J316">
            <v>61</v>
          </cell>
          <cell r="K316">
            <v>60</v>
          </cell>
          <cell r="L316">
            <v>40</v>
          </cell>
        </row>
        <row r="317">
          <cell r="E317">
            <v>3303430</v>
          </cell>
          <cell r="F317">
            <v>116.5</v>
          </cell>
          <cell r="G317">
            <v>111</v>
          </cell>
          <cell r="H317">
            <v>87</v>
          </cell>
          <cell r="I317">
            <v>85</v>
          </cell>
          <cell r="J317">
            <v>87</v>
          </cell>
          <cell r="K317">
            <v>87</v>
          </cell>
          <cell r="L317">
            <v>89</v>
          </cell>
        </row>
        <row r="318">
          <cell r="E318">
            <v>3303431</v>
          </cell>
          <cell r="F318">
            <v>90</v>
          </cell>
          <cell r="G318">
            <v>90</v>
          </cell>
          <cell r="H318">
            <v>90</v>
          </cell>
          <cell r="I318">
            <v>86</v>
          </cell>
          <cell r="J318">
            <v>89</v>
          </cell>
          <cell r="K318">
            <v>85</v>
          </cell>
          <cell r="L318">
            <v>86</v>
          </cell>
        </row>
        <row r="319">
          <cell r="E319">
            <v>3303432</v>
          </cell>
          <cell r="F319">
            <v>120</v>
          </cell>
          <cell r="G319">
            <v>116</v>
          </cell>
          <cell r="H319">
            <v>90</v>
          </cell>
          <cell r="I319">
            <v>90</v>
          </cell>
          <cell r="J319">
            <v>90</v>
          </cell>
          <cell r="K319">
            <v>90</v>
          </cell>
          <cell r="L319">
            <v>90</v>
          </cell>
        </row>
        <row r="320">
          <cell r="E320">
            <v>3303433</v>
          </cell>
          <cell r="F320">
            <v>60</v>
          </cell>
          <cell r="G320">
            <v>59</v>
          </cell>
          <cell r="H320">
            <v>60</v>
          </cell>
          <cell r="I320">
            <v>56</v>
          </cell>
          <cell r="J320">
            <v>53</v>
          </cell>
          <cell r="K320">
            <v>45</v>
          </cell>
          <cell r="L320">
            <v>57</v>
          </cell>
        </row>
        <row r="321">
          <cell r="E321">
            <v>3303434</v>
          </cell>
          <cell r="F321">
            <v>51</v>
          </cell>
          <cell r="G321">
            <v>51</v>
          </cell>
          <cell r="H321">
            <v>30</v>
          </cell>
          <cell r="I321">
            <v>30</v>
          </cell>
          <cell r="J321">
            <v>30</v>
          </cell>
          <cell r="K321">
            <v>28</v>
          </cell>
          <cell r="L321">
            <v>28</v>
          </cell>
        </row>
        <row r="322">
          <cell r="E322">
            <v>3303435</v>
          </cell>
          <cell r="F322">
            <v>59</v>
          </cell>
          <cell r="G322">
            <v>60</v>
          </cell>
          <cell r="H322">
            <v>60</v>
          </cell>
          <cell r="I322">
            <v>60</v>
          </cell>
          <cell r="J322">
            <v>60</v>
          </cell>
          <cell r="K322">
            <v>61</v>
          </cell>
          <cell r="L322">
            <v>60</v>
          </cell>
        </row>
        <row r="323">
          <cell r="E323">
            <v>3303436</v>
          </cell>
          <cell r="F323">
            <v>30</v>
          </cell>
          <cell r="G323">
            <v>29</v>
          </cell>
          <cell r="H323">
            <v>29</v>
          </cell>
          <cell r="I323">
            <v>25</v>
          </cell>
          <cell r="J323">
            <v>31</v>
          </cell>
          <cell r="K323">
            <v>26</v>
          </cell>
          <cell r="L323">
            <v>25</v>
          </cell>
        </row>
        <row r="324">
          <cell r="E324">
            <v>3304000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E325">
            <v>3304001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E326">
            <v>3304002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E327">
            <v>3304003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E328">
            <v>3304004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E329">
            <v>3304008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E330">
            <v>3304009</v>
          </cell>
          <cell r="F330">
            <v>41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E331">
            <v>3304012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E332">
            <v>3304015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E333">
            <v>3304057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E334">
            <v>3304060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E335">
            <v>3304063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E336">
            <v>3304084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E337">
            <v>3304108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E338">
            <v>3304109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E339">
            <v>3304115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E340">
            <v>3304129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E341">
            <v>3304138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E342">
            <v>3304173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E343">
            <v>3304177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E344">
            <v>3304187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E345">
            <v>3304188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E346">
            <v>3304193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E347">
            <v>3304201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E348">
            <v>3304206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E349">
            <v>3304207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E350">
            <v>3304214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E351">
            <v>3304220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E352">
            <v>3304223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E353">
            <v>3304226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E354">
            <v>3304227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E355">
            <v>3304233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E356">
            <v>3304237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E357">
            <v>3304238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E358">
            <v>3304240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E359">
            <v>3304241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E360">
            <v>3304244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E361">
            <v>3304245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E362">
            <v>3304246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E363">
            <v>3304300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E364">
            <v>3304301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E365">
            <v>3304307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E366">
            <v>3304323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E367">
            <v>3304330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E368">
            <v>3304331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E369">
            <v>3304333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E370">
            <v>3304334</v>
          </cell>
          <cell r="F370">
            <v>60</v>
          </cell>
          <cell r="G370">
            <v>60</v>
          </cell>
          <cell r="H370">
            <v>60</v>
          </cell>
          <cell r="I370">
            <v>60</v>
          </cell>
          <cell r="J370">
            <v>60</v>
          </cell>
          <cell r="K370">
            <v>61</v>
          </cell>
          <cell r="L370">
            <v>59</v>
          </cell>
        </row>
        <row r="371">
          <cell r="E371">
            <v>3304606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E372">
            <v>3304616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E373">
            <v>3304625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E374">
            <v>3304660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</v>
          </cell>
        </row>
        <row r="375">
          <cell r="E375">
            <v>3304661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E376">
            <v>3304663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E377">
            <v>3304664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E378">
            <v>3304801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E379">
            <v>3304804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E380">
            <v>3305201</v>
          </cell>
          <cell r="F380">
            <v>60</v>
          </cell>
          <cell r="G380">
            <v>60</v>
          </cell>
          <cell r="H380">
            <v>60</v>
          </cell>
          <cell r="I380">
            <v>60</v>
          </cell>
          <cell r="J380">
            <v>58</v>
          </cell>
          <cell r="K380">
            <v>56</v>
          </cell>
          <cell r="L380">
            <v>58</v>
          </cell>
        </row>
        <row r="381">
          <cell r="E381">
            <v>3305202</v>
          </cell>
          <cell r="F381">
            <v>0</v>
          </cell>
          <cell r="G381">
            <v>0</v>
          </cell>
          <cell r="H381">
            <v>0</v>
          </cell>
          <cell r="I381">
            <v>90</v>
          </cell>
          <cell r="J381">
            <v>90</v>
          </cell>
          <cell r="K381">
            <v>89</v>
          </cell>
          <cell r="L381">
            <v>89</v>
          </cell>
        </row>
        <row r="382">
          <cell r="E382">
            <v>3305203</v>
          </cell>
          <cell r="F382">
            <v>91</v>
          </cell>
          <cell r="G382">
            <v>90</v>
          </cell>
          <cell r="H382">
            <v>90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E383">
            <v>3305204</v>
          </cell>
          <cell r="F383">
            <v>58</v>
          </cell>
          <cell r="G383">
            <v>58</v>
          </cell>
          <cell r="H383">
            <v>52</v>
          </cell>
          <cell r="I383">
            <v>57</v>
          </cell>
          <cell r="J383">
            <v>41</v>
          </cell>
          <cell r="K383">
            <v>43</v>
          </cell>
          <cell r="L383">
            <v>44</v>
          </cell>
        </row>
        <row r="384">
          <cell r="E384">
            <v>3305205</v>
          </cell>
          <cell r="F384">
            <v>30</v>
          </cell>
          <cell r="G384">
            <v>30</v>
          </cell>
          <cell r="H384">
            <v>30</v>
          </cell>
          <cell r="I384">
            <v>32</v>
          </cell>
          <cell r="J384">
            <v>30</v>
          </cell>
          <cell r="K384">
            <v>31</v>
          </cell>
          <cell r="L384">
            <v>32</v>
          </cell>
        </row>
        <row r="385">
          <cell r="E385">
            <v>3305400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E386">
            <v>3305401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E387">
            <v>3305402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E388">
            <v>3305403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E389">
            <v>3305404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E390">
            <v>3305405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</row>
        <row r="391">
          <cell r="E391">
            <v>3305406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</row>
        <row r="392">
          <cell r="E392">
            <v>3305407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</row>
        <row r="393">
          <cell r="E393">
            <v>3305408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</row>
        <row r="394">
          <cell r="E394">
            <v>3305409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</row>
        <row r="395">
          <cell r="E395">
            <v>3305410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E396">
            <v>3305411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</row>
        <row r="397">
          <cell r="E397">
            <v>3305412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E398">
            <v>3305413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E399">
            <v>3305414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</row>
        <row r="400">
          <cell r="E400">
            <v>3305415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</row>
        <row r="401">
          <cell r="E401">
            <v>3305416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</row>
        <row r="402">
          <cell r="E402">
            <v>3305949</v>
          </cell>
          <cell r="F402">
            <v>89</v>
          </cell>
          <cell r="G402">
            <v>90</v>
          </cell>
          <cell r="H402">
            <v>58</v>
          </cell>
          <cell r="I402">
            <v>64</v>
          </cell>
          <cell r="J402">
            <v>52</v>
          </cell>
          <cell r="K402">
            <v>43</v>
          </cell>
          <cell r="L402">
            <v>42</v>
          </cell>
        </row>
        <row r="403">
          <cell r="E403">
            <v>3306905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E404">
            <v>3306906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</row>
        <row r="405">
          <cell r="E405">
            <v>3306907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</row>
        <row r="406">
          <cell r="E406">
            <v>3306908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</row>
        <row r="407">
          <cell r="E407">
            <v>3306909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</row>
        <row r="408">
          <cell r="E408">
            <v>3306910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</row>
        <row r="409">
          <cell r="E409">
            <v>3307006</v>
          </cell>
          <cell r="F409">
            <v>0</v>
          </cell>
          <cell r="G409">
            <v>7</v>
          </cell>
          <cell r="H409">
            <v>12</v>
          </cell>
          <cell r="I409">
            <v>9</v>
          </cell>
          <cell r="J409">
            <v>7</v>
          </cell>
          <cell r="K409">
            <v>11</v>
          </cell>
          <cell r="L409">
            <v>12</v>
          </cell>
        </row>
        <row r="410">
          <cell r="E410">
            <v>3307009</v>
          </cell>
          <cell r="F410">
            <v>13</v>
          </cell>
          <cell r="G410">
            <v>11</v>
          </cell>
          <cell r="H410">
            <v>12</v>
          </cell>
          <cell r="I410">
            <v>11</v>
          </cell>
          <cell r="J410">
            <v>12</v>
          </cell>
          <cell r="K410">
            <v>10</v>
          </cell>
          <cell r="L410">
            <v>4</v>
          </cell>
        </row>
        <row r="411">
          <cell r="E411">
            <v>3307012</v>
          </cell>
          <cell r="F411">
            <v>2</v>
          </cell>
          <cell r="G411">
            <v>5</v>
          </cell>
          <cell r="H411">
            <v>9</v>
          </cell>
          <cell r="I411">
            <v>5</v>
          </cell>
          <cell r="J411">
            <v>7</v>
          </cell>
          <cell r="K411">
            <v>8</v>
          </cell>
          <cell r="L411">
            <v>6</v>
          </cell>
        </row>
        <row r="412">
          <cell r="E412">
            <v>3307013</v>
          </cell>
          <cell r="F412">
            <v>13</v>
          </cell>
          <cell r="G412">
            <v>13</v>
          </cell>
          <cell r="H412">
            <v>16</v>
          </cell>
          <cell r="I412">
            <v>19</v>
          </cell>
          <cell r="J412">
            <v>12</v>
          </cell>
          <cell r="K412">
            <v>21</v>
          </cell>
          <cell r="L412">
            <v>11</v>
          </cell>
        </row>
        <row r="413">
          <cell r="E413">
            <v>3307014</v>
          </cell>
          <cell r="F413">
            <v>6</v>
          </cell>
          <cell r="G413">
            <v>10</v>
          </cell>
          <cell r="H413">
            <v>16</v>
          </cell>
          <cell r="I413">
            <v>13</v>
          </cell>
          <cell r="J413">
            <v>15</v>
          </cell>
          <cell r="K413">
            <v>15</v>
          </cell>
          <cell r="L413">
            <v>15</v>
          </cell>
        </row>
        <row r="414">
          <cell r="E414">
            <v>3307016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</row>
        <row r="415">
          <cell r="E415">
            <v>3307026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E416">
            <v>3307027</v>
          </cell>
          <cell r="F416">
            <v>1</v>
          </cell>
          <cell r="G416">
            <v>5</v>
          </cell>
          <cell r="H416">
            <v>8</v>
          </cell>
          <cell r="I416">
            <v>7</v>
          </cell>
          <cell r="J416">
            <v>13</v>
          </cell>
          <cell r="K416">
            <v>10</v>
          </cell>
          <cell r="L416">
            <v>10</v>
          </cell>
        </row>
        <row r="417">
          <cell r="E417">
            <v>3307030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E418">
            <v>3307031</v>
          </cell>
          <cell r="F418">
            <v>5</v>
          </cell>
          <cell r="G418">
            <v>5</v>
          </cell>
          <cell r="H418">
            <v>4</v>
          </cell>
          <cell r="I418">
            <v>5</v>
          </cell>
          <cell r="J418">
            <v>8</v>
          </cell>
          <cell r="K418">
            <v>9</v>
          </cell>
          <cell r="L418">
            <v>8</v>
          </cell>
        </row>
        <row r="419">
          <cell r="E419">
            <v>3307033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E420">
            <v>3307034</v>
          </cell>
          <cell r="F420">
            <v>5</v>
          </cell>
          <cell r="G420">
            <v>3</v>
          </cell>
          <cell r="H420">
            <v>2</v>
          </cell>
          <cell r="I420">
            <v>1</v>
          </cell>
          <cell r="J420">
            <v>2</v>
          </cell>
          <cell r="K420">
            <v>5</v>
          </cell>
          <cell r="L420">
            <v>3</v>
          </cell>
        </row>
        <row r="421">
          <cell r="E421">
            <v>3307035</v>
          </cell>
          <cell r="F421">
            <v>4</v>
          </cell>
          <cell r="G421">
            <v>11</v>
          </cell>
          <cell r="H421">
            <v>15</v>
          </cell>
          <cell r="I421">
            <v>15</v>
          </cell>
          <cell r="J421">
            <v>26</v>
          </cell>
          <cell r="K421">
            <v>26</v>
          </cell>
          <cell r="L421">
            <v>24</v>
          </cell>
        </row>
        <row r="422">
          <cell r="E422">
            <v>3307036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</row>
        <row r="423">
          <cell r="E423">
            <v>3307037</v>
          </cell>
          <cell r="F423">
            <v>0</v>
          </cell>
          <cell r="G423">
            <v>1</v>
          </cell>
          <cell r="H423">
            <v>2</v>
          </cell>
          <cell r="I423">
            <v>11</v>
          </cell>
          <cell r="J423">
            <v>10</v>
          </cell>
          <cell r="K423">
            <v>14</v>
          </cell>
          <cell r="L423">
            <v>22</v>
          </cell>
        </row>
        <row r="424">
          <cell r="E424">
            <v>3307038</v>
          </cell>
          <cell r="F424">
            <v>13</v>
          </cell>
          <cell r="G424">
            <v>17</v>
          </cell>
          <cell r="H424">
            <v>10</v>
          </cell>
          <cell r="I424">
            <v>10</v>
          </cell>
          <cell r="J424">
            <v>4</v>
          </cell>
          <cell r="K424">
            <v>6</v>
          </cell>
          <cell r="L424">
            <v>12</v>
          </cell>
        </row>
        <row r="425">
          <cell r="E425">
            <v>3307040</v>
          </cell>
          <cell r="F425">
            <v>12.5</v>
          </cell>
          <cell r="G425">
            <v>14</v>
          </cell>
          <cell r="H425">
            <v>20</v>
          </cell>
          <cell r="I425">
            <v>12</v>
          </cell>
          <cell r="J425">
            <v>10</v>
          </cell>
          <cell r="K425">
            <v>17</v>
          </cell>
          <cell r="L425">
            <v>19</v>
          </cell>
        </row>
        <row r="426">
          <cell r="E426">
            <v>3307045</v>
          </cell>
          <cell r="F426">
            <v>9</v>
          </cell>
          <cell r="G426">
            <v>11</v>
          </cell>
          <cell r="H426">
            <v>12</v>
          </cell>
          <cell r="I426">
            <v>11</v>
          </cell>
          <cell r="J426">
            <v>13</v>
          </cell>
          <cell r="K426">
            <v>13</v>
          </cell>
          <cell r="L426">
            <v>13</v>
          </cell>
        </row>
        <row r="427">
          <cell r="E427">
            <v>3307047</v>
          </cell>
          <cell r="F427">
            <v>0</v>
          </cell>
          <cell r="G427">
            <v>3</v>
          </cell>
          <cell r="H427">
            <v>4</v>
          </cell>
          <cell r="I427">
            <v>11</v>
          </cell>
          <cell r="J427">
            <v>14</v>
          </cell>
          <cell r="K427">
            <v>22</v>
          </cell>
          <cell r="L427">
            <v>16</v>
          </cell>
        </row>
        <row r="428">
          <cell r="E428">
            <v>3307049</v>
          </cell>
          <cell r="F428">
            <v>8</v>
          </cell>
          <cell r="G428">
            <v>6</v>
          </cell>
          <cell r="H428">
            <v>7</v>
          </cell>
          <cell r="I428">
            <v>8</v>
          </cell>
          <cell r="J428">
            <v>7</v>
          </cell>
          <cell r="K428">
            <v>9</v>
          </cell>
          <cell r="L428">
            <v>7</v>
          </cell>
        </row>
        <row r="429">
          <cell r="E429">
            <v>3307050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</row>
        <row r="430">
          <cell r="E430">
            <v>3307051</v>
          </cell>
          <cell r="F430">
            <v>2</v>
          </cell>
          <cell r="G430">
            <v>10</v>
          </cell>
          <cell r="H430">
            <v>11</v>
          </cell>
          <cell r="I430">
            <v>8</v>
          </cell>
          <cell r="J430">
            <v>10</v>
          </cell>
          <cell r="K430">
            <v>9</v>
          </cell>
          <cell r="L430">
            <v>5</v>
          </cell>
        </row>
        <row r="431">
          <cell r="E431">
            <v>3307052</v>
          </cell>
          <cell r="F431">
            <v>6</v>
          </cell>
          <cell r="G431">
            <v>8</v>
          </cell>
          <cell r="H431">
            <v>5</v>
          </cell>
          <cell r="I431">
            <v>6</v>
          </cell>
          <cell r="J431">
            <v>6</v>
          </cell>
          <cell r="K431">
            <v>7</v>
          </cell>
          <cell r="L431">
            <v>2</v>
          </cell>
        </row>
        <row r="432">
          <cell r="E432">
            <v>3307053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</row>
        <row r="433">
          <cell r="E433">
            <v>3307060</v>
          </cell>
          <cell r="F433">
            <v>6</v>
          </cell>
          <cell r="G433">
            <v>10</v>
          </cell>
          <cell r="H433">
            <v>8</v>
          </cell>
          <cell r="I433">
            <v>18</v>
          </cell>
          <cell r="J433">
            <v>18</v>
          </cell>
          <cell r="K433">
            <v>10</v>
          </cell>
          <cell r="L433">
            <v>16</v>
          </cell>
        </row>
        <row r="434">
          <cell r="E434">
            <v>3307062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</row>
        <row r="435">
          <cell r="E435">
            <v>3307063</v>
          </cell>
          <cell r="F435">
            <v>15</v>
          </cell>
          <cell r="G435">
            <v>22</v>
          </cell>
          <cell r="H435">
            <v>20</v>
          </cell>
          <cell r="I435">
            <v>14</v>
          </cell>
          <cell r="J435">
            <v>19</v>
          </cell>
          <cell r="K435">
            <v>17</v>
          </cell>
          <cell r="L435">
            <v>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tabSelected="1" topLeftCell="B32" zoomScaleNormal="100" workbookViewId="0">
      <selection activeCell="C74" sqref="C74"/>
    </sheetView>
  </sheetViews>
  <sheetFormatPr defaultRowHeight="12.75" x14ac:dyDescent="0.2"/>
  <cols>
    <col min="1" max="1" width="10.7109375" hidden="1" customWidth="1"/>
    <col min="2" max="2" width="13.42578125" customWidth="1"/>
    <col min="3" max="3" width="49.140625" customWidth="1"/>
    <col min="4" max="4" width="12.85546875" hidden="1" customWidth="1"/>
    <col min="5" max="5" width="12.42578125" hidden="1" customWidth="1"/>
    <col min="6" max="6" width="11" hidden="1" customWidth="1"/>
    <col min="7" max="7" width="11.28515625" hidden="1" customWidth="1"/>
    <col min="8" max="8" width="0.42578125" hidden="1" customWidth="1"/>
    <col min="9" max="10" width="12.28515625" hidden="1" customWidth="1"/>
    <col min="11" max="11" width="2.7109375" hidden="1" customWidth="1"/>
    <col min="12" max="14" width="14" hidden="1" customWidth="1"/>
    <col min="15" max="15" width="16.42578125" hidden="1" customWidth="1"/>
    <col min="16" max="16" width="13.42578125" hidden="1" customWidth="1"/>
    <col min="17" max="17" width="11.140625" hidden="1" customWidth="1"/>
    <col min="18" max="18" width="12.85546875" customWidth="1"/>
    <col min="19" max="19" width="12.85546875" bestFit="1" customWidth="1"/>
    <col min="20" max="26" width="6" hidden="1" customWidth="1"/>
  </cols>
  <sheetData>
    <row r="1" spans="1:27" x14ac:dyDescent="0.2">
      <c r="C1" s="1"/>
      <c r="AA1" t="s">
        <v>93</v>
      </c>
    </row>
    <row r="3" spans="1:27" x14ac:dyDescent="0.2">
      <c r="C3" s="1"/>
    </row>
    <row r="4" spans="1:27" x14ac:dyDescent="0.2">
      <c r="C4" s="55" t="s">
        <v>94</v>
      </c>
    </row>
    <row r="7" spans="1:27" x14ac:dyDescent="0.2">
      <c r="T7">
        <v>19</v>
      </c>
    </row>
    <row r="8" spans="1:27" ht="13.5" thickBot="1" x14ac:dyDescent="0.25">
      <c r="D8" s="61"/>
      <c r="E8" s="61"/>
      <c r="F8" s="61"/>
      <c r="G8" s="61"/>
      <c r="H8" s="2"/>
      <c r="I8" s="61"/>
      <c r="J8" s="61"/>
      <c r="L8" s="61"/>
      <c r="M8" s="61"/>
      <c r="N8" s="61"/>
      <c r="O8" s="61"/>
      <c r="Q8" s="62"/>
      <c r="R8" s="62"/>
      <c r="S8" s="62"/>
      <c r="T8" s="63" t="s">
        <v>0</v>
      </c>
      <c r="U8" s="63"/>
      <c r="V8" s="63"/>
      <c r="W8" s="63"/>
      <c r="X8" s="63"/>
      <c r="Y8" s="63"/>
      <c r="Z8" s="63"/>
    </row>
    <row r="9" spans="1:27" ht="65.25" customHeight="1" thickBot="1" x14ac:dyDescent="0.25">
      <c r="A9" s="3" t="s">
        <v>1</v>
      </c>
      <c r="B9" s="4" t="s">
        <v>2</v>
      </c>
      <c r="C9" s="5" t="s">
        <v>3</v>
      </c>
      <c r="D9" s="6" t="s">
        <v>4</v>
      </c>
      <c r="E9" s="6" t="s">
        <v>5</v>
      </c>
      <c r="F9" s="6" t="s">
        <v>6</v>
      </c>
      <c r="G9" s="7" t="s">
        <v>7</v>
      </c>
      <c r="H9" s="8"/>
      <c r="I9" s="9" t="s">
        <v>8</v>
      </c>
      <c r="J9" s="7" t="s">
        <v>9</v>
      </c>
      <c r="L9" s="9" t="s">
        <v>10</v>
      </c>
      <c r="M9" s="6" t="s">
        <v>5</v>
      </c>
      <c r="N9" s="6" t="s">
        <v>11</v>
      </c>
      <c r="O9" s="7" t="s">
        <v>7</v>
      </c>
      <c r="Q9" s="10" t="s">
        <v>12</v>
      </c>
      <c r="R9" s="11" t="s">
        <v>13</v>
      </c>
      <c r="S9" s="12" t="s">
        <v>14</v>
      </c>
      <c r="T9" s="13" t="s">
        <v>15</v>
      </c>
      <c r="U9" s="13" t="s">
        <v>16</v>
      </c>
      <c r="V9" s="13" t="s">
        <v>17</v>
      </c>
      <c r="W9" s="13" t="s">
        <v>18</v>
      </c>
      <c r="X9" s="13" t="s">
        <v>19</v>
      </c>
      <c r="Y9" s="13" t="s">
        <v>20</v>
      </c>
      <c r="Z9" s="13" t="s">
        <v>21</v>
      </c>
    </row>
    <row r="10" spans="1:27" x14ac:dyDescent="0.2">
      <c r="A10" s="14"/>
      <c r="B10" s="15"/>
      <c r="C10" s="16"/>
      <c r="D10" s="15"/>
      <c r="E10" s="15"/>
      <c r="F10" s="15"/>
      <c r="G10" s="17"/>
      <c r="H10" s="18"/>
      <c r="I10" s="14"/>
      <c r="J10" s="17"/>
      <c r="L10" s="14"/>
      <c r="M10" s="15"/>
      <c r="N10" s="15"/>
      <c r="O10" s="17"/>
      <c r="Q10" s="14"/>
      <c r="R10" s="15"/>
      <c r="S10" s="17">
        <v>3096</v>
      </c>
    </row>
    <row r="11" spans="1:27" x14ac:dyDescent="0.2">
      <c r="A11" s="19" t="s">
        <v>22</v>
      </c>
      <c r="B11" s="22">
        <v>3302034</v>
      </c>
      <c r="C11" s="23" t="s">
        <v>23</v>
      </c>
      <c r="D11" s="22">
        <v>3</v>
      </c>
      <c r="E11" s="18">
        <v>20</v>
      </c>
      <c r="F11" s="24">
        <f>VLOOKUP(D11,$E$76:$F$82,2,0)</f>
        <v>2406.0652817108112</v>
      </c>
      <c r="G11" s="25">
        <f t="shared" ref="G11:G23" si="0">+E11*F11/12*7</f>
        <v>28070.761619959463</v>
      </c>
      <c r="H11" s="26"/>
      <c r="I11" s="20">
        <v>20</v>
      </c>
      <c r="J11" s="21">
        <v>29484</v>
      </c>
      <c r="L11" s="27">
        <f>+D11+1</f>
        <v>4</v>
      </c>
      <c r="M11" s="24">
        <f>+E11</f>
        <v>20</v>
      </c>
      <c r="N11" s="28">
        <v>3102.4449289631293</v>
      </c>
      <c r="O11" s="21">
        <f>+M11*N11/12*7</f>
        <v>36195.190837903181</v>
      </c>
      <c r="P11" s="29">
        <f>+N11*M11/12*5</f>
        <v>25853.707741359412</v>
      </c>
      <c r="Q11" s="19">
        <f>VLOOKUP(B11,[2]Sheet1!A$6:H$305,8,0)</f>
        <v>48</v>
      </c>
      <c r="R11" s="18">
        <v>20</v>
      </c>
      <c r="S11" s="21">
        <f>+$S$10*R11/12*7</f>
        <v>36120</v>
      </c>
      <c r="T11">
        <f>VLOOKUP($B11,[3]oct13!$D$3:$K$244,[3]oct13!E$1,0)-VLOOKUP(Sheet1!$B11,[3]oct12!$E$3:$L$435,[3]oct12!F$1,0)</f>
        <v>6</v>
      </c>
      <c r="U11">
        <f>VLOOKUP($B11,[3]oct13!$D$3:$K$244,[3]oct13!F$1,0)-VLOOKUP(Sheet1!$B11,[3]oct12!$E$3:$L$435,[3]oct12!G$1,0)</f>
        <v>5</v>
      </c>
      <c r="V11">
        <f>VLOOKUP($B11,[3]oct13!$D$3:$K$244,[3]oct13!G$1,0)-VLOOKUP(Sheet1!$B11,[3]oct12!$E$3:$L$435,[3]oct12!H$1,0)</f>
        <v>9</v>
      </c>
      <c r="W11">
        <f>VLOOKUP($B11,[3]oct13!$D$3:$K$244,[3]oct13!H$1,0)-VLOOKUP(Sheet1!$B11,[3]oct12!$E$3:$L$435,[3]oct12!I$1,0)</f>
        <v>20</v>
      </c>
      <c r="X11">
        <f>VLOOKUP($B11,[3]oct13!$D$3:$K$244,[3]oct13!I$1,0)-VLOOKUP(Sheet1!$B11,[3]oct12!$E$3:$L$435,[3]oct12!J$1,0)</f>
        <v>4</v>
      </c>
      <c r="Y11">
        <f>VLOOKUP($B11,[3]oct13!$D$3:$K$244,[3]oct13!J$1,0)-VLOOKUP(Sheet1!$B11,[3]oct12!$E$3:$L$435,[3]oct12!K$1,0)</f>
        <v>-2</v>
      </c>
      <c r="Z11">
        <f>VLOOKUP($B11,[3]oct13!$D$3:$K$244,[3]oct13!K$1,0)-VLOOKUP(Sheet1!$B11,[3]oct12!$E$3:$L$435,[3]oct12!L$1,0)</f>
        <v>6</v>
      </c>
    </row>
    <row r="12" spans="1:27" x14ac:dyDescent="0.2">
      <c r="A12" s="19" t="s">
        <v>24</v>
      </c>
      <c r="B12" s="22">
        <v>3302063</v>
      </c>
      <c r="C12" s="23" t="s">
        <v>25</v>
      </c>
      <c r="D12" s="22">
        <v>1</v>
      </c>
      <c r="E12" s="18">
        <v>30</v>
      </c>
      <c r="F12" s="24">
        <f>VLOOKUP(D12,$E$76:$F$82,2,0)</f>
        <v>2417.5936752937832</v>
      </c>
      <c r="G12" s="25">
        <f t="shared" si="0"/>
        <v>42307.889317641209</v>
      </c>
      <c r="H12" s="26"/>
      <c r="I12" s="20">
        <v>30</v>
      </c>
      <c r="J12" s="21">
        <v>29430.333333333332</v>
      </c>
      <c r="L12" s="27">
        <f t="shared" ref="L12:L41" si="1">+D12+1</f>
        <v>2</v>
      </c>
      <c r="M12" s="24">
        <f t="shared" ref="M12:M42" si="2">+E12</f>
        <v>30</v>
      </c>
      <c r="N12" s="28">
        <v>3102.4449289631293</v>
      </c>
      <c r="O12" s="21">
        <f t="shared" ref="O12:O42" si="3">+M12*N12/12*7</f>
        <v>54292.786256854757</v>
      </c>
      <c r="P12" s="29">
        <f t="shared" ref="P12:P42" si="4">+N12*M12/12*5</f>
        <v>38780.561612039113</v>
      </c>
      <c r="Q12" s="19">
        <f>VLOOKUP(B12,[2]Sheet1!A$6:H$305,8,0)</f>
        <v>34</v>
      </c>
      <c r="R12" s="18">
        <v>30</v>
      </c>
      <c r="S12" s="21">
        <f t="shared" ref="S12:S42" si="5">+$S$10*R12/12*7</f>
        <v>54180</v>
      </c>
      <c r="T12">
        <f>VLOOKUP($B12,[3]oct13!$D$3:$K$244,[3]oct13!E$1,0)-VLOOKUP(Sheet1!$B12,[3]oct12!$E$3:$L$435,[3]oct12!F$1,0)</f>
        <v>8</v>
      </c>
      <c r="U12">
        <f>VLOOKUP($B12,[3]oct13!$D$3:$K$244,[3]oct13!F$1,0)-VLOOKUP(Sheet1!$B12,[3]oct12!$E$3:$L$435,[3]oct12!G$1,0)</f>
        <v>-4</v>
      </c>
      <c r="V12">
        <f>VLOOKUP($B12,[3]oct13!$D$3:$K$244,[3]oct13!G$1,0)-VLOOKUP(Sheet1!$B12,[3]oct12!$E$3:$L$435,[3]oct12!H$1,0)</f>
        <v>30</v>
      </c>
      <c r="W12">
        <f>VLOOKUP($B12,[3]oct13!$D$3:$K$244,[3]oct13!H$1,0)-VLOOKUP(Sheet1!$B12,[3]oct12!$E$3:$L$435,[3]oct12!I$1,0)</f>
        <v>0</v>
      </c>
      <c r="X12">
        <f>VLOOKUP($B12,[3]oct13!$D$3:$K$244,[3]oct13!I$1,0)-VLOOKUP(Sheet1!$B12,[3]oct12!$E$3:$L$435,[3]oct12!J$1,0)</f>
        <v>0</v>
      </c>
      <c r="Y12">
        <f>VLOOKUP($B12,[3]oct13!$D$3:$K$244,[3]oct13!J$1,0)-VLOOKUP(Sheet1!$B12,[3]oct12!$E$3:$L$435,[3]oct12!K$1,0)</f>
        <v>0</v>
      </c>
      <c r="Z12">
        <f>VLOOKUP($B12,[3]oct13!$D$3:$K$244,[3]oct13!K$1,0)-VLOOKUP(Sheet1!$B12,[3]oct12!$E$3:$L$435,[3]oct12!L$1,0)</f>
        <v>0</v>
      </c>
    </row>
    <row r="13" spans="1:27" x14ac:dyDescent="0.2">
      <c r="A13" s="19" t="s">
        <v>26</v>
      </c>
      <c r="B13" s="22">
        <v>3302086</v>
      </c>
      <c r="C13" s="23" t="s">
        <v>27</v>
      </c>
      <c r="D13" s="22">
        <v>2</v>
      </c>
      <c r="E13" s="22">
        <v>30</v>
      </c>
      <c r="F13" s="24">
        <f>VLOOKUP(D13,$E$76:$F$82,2,0)</f>
        <v>2417.5936752937823</v>
      </c>
      <c r="G13" s="25">
        <f t="shared" si="0"/>
        <v>42307.889317641188</v>
      </c>
      <c r="H13" s="26"/>
      <c r="I13" s="31">
        <v>30</v>
      </c>
      <c r="J13" s="25">
        <v>42297.5</v>
      </c>
      <c r="L13" s="27">
        <f t="shared" si="1"/>
        <v>3</v>
      </c>
      <c r="M13" s="24">
        <f t="shared" si="2"/>
        <v>30</v>
      </c>
      <c r="N13" s="28">
        <v>3102.4449289631293</v>
      </c>
      <c r="O13" s="21">
        <f t="shared" si="3"/>
        <v>54292.786256854757</v>
      </c>
      <c r="P13" s="29">
        <f t="shared" si="4"/>
        <v>38780.561612039113</v>
      </c>
      <c r="Q13" s="19">
        <f>VLOOKUP(B13,[2]Sheet1!A$6:H$305,8,0)</f>
        <v>31</v>
      </c>
      <c r="R13" s="18">
        <v>30</v>
      </c>
      <c r="S13" s="21">
        <f t="shared" si="5"/>
        <v>54180</v>
      </c>
      <c r="T13">
        <f>VLOOKUP($B13,[3]oct13!$D$3:$K$244,[3]oct13!E$1,0)-VLOOKUP(Sheet1!$B13,[3]oct12!$E$3:$L$435,[3]oct12!F$1,0)</f>
        <v>0</v>
      </c>
      <c r="U13">
        <f>VLOOKUP($B13,[3]oct13!$D$3:$K$244,[3]oct13!F$1,0)-VLOOKUP(Sheet1!$B13,[3]oct12!$E$3:$L$435,[3]oct12!G$1,0)</f>
        <v>0</v>
      </c>
      <c r="V13">
        <f>VLOOKUP($B13,[3]oct13!$D$3:$K$244,[3]oct13!G$1,0)-VLOOKUP(Sheet1!$B13,[3]oct12!$E$3:$L$435,[3]oct12!H$1,0)</f>
        <v>0</v>
      </c>
      <c r="W13">
        <f>VLOOKUP($B13,[3]oct13!$D$3:$K$244,[3]oct13!H$1,0)-VLOOKUP(Sheet1!$B13,[3]oct12!$E$3:$L$435,[3]oct12!I$1,0)</f>
        <v>30</v>
      </c>
      <c r="X13">
        <f>VLOOKUP($B13,[3]oct13!$D$3:$K$244,[3]oct13!I$1,0)-VLOOKUP(Sheet1!$B13,[3]oct12!$E$3:$L$435,[3]oct12!J$1,0)</f>
        <v>1</v>
      </c>
      <c r="Y13">
        <f>VLOOKUP($B13,[3]oct13!$D$3:$K$244,[3]oct13!J$1,0)-VLOOKUP(Sheet1!$B13,[3]oct12!$E$3:$L$435,[3]oct12!K$1,0)</f>
        <v>0</v>
      </c>
      <c r="Z13">
        <f>VLOOKUP($B13,[3]oct13!$D$3:$K$244,[3]oct13!K$1,0)-VLOOKUP(Sheet1!$B13,[3]oct12!$E$3:$L$435,[3]oct12!L$1,0)</f>
        <v>0</v>
      </c>
    </row>
    <row r="14" spans="1:27" x14ac:dyDescent="0.2">
      <c r="A14" s="19" t="s">
        <v>28</v>
      </c>
      <c r="B14" s="22">
        <v>3302108</v>
      </c>
      <c r="C14" s="23" t="s">
        <v>29</v>
      </c>
      <c r="D14" s="22">
        <v>2</v>
      </c>
      <c r="E14" s="22">
        <v>60</v>
      </c>
      <c r="F14" s="24">
        <f>VLOOKUP(D14,$E$76:$F$82,2,0)</f>
        <v>2417.5936752937823</v>
      </c>
      <c r="G14" s="25">
        <f t="shared" si="0"/>
        <v>84615.778635282375</v>
      </c>
      <c r="H14" s="26"/>
      <c r="I14" s="31">
        <v>65</v>
      </c>
      <c r="J14" s="25">
        <v>93514.166666666657</v>
      </c>
      <c r="L14" s="27">
        <f t="shared" si="1"/>
        <v>3</v>
      </c>
      <c r="M14" s="24">
        <f t="shared" si="2"/>
        <v>60</v>
      </c>
      <c r="N14" s="28">
        <v>3102.4449289631293</v>
      </c>
      <c r="O14" s="21">
        <f t="shared" si="3"/>
        <v>108585.57251370951</v>
      </c>
      <c r="P14" s="29">
        <f t="shared" si="4"/>
        <v>77561.123224078226</v>
      </c>
      <c r="Q14" s="19">
        <f>VLOOKUP(B14,[2]Sheet1!A$6:H$305,8,0)</f>
        <v>51</v>
      </c>
      <c r="R14" s="18">
        <v>51</v>
      </c>
      <c r="S14" s="21">
        <f t="shared" si="5"/>
        <v>92106</v>
      </c>
      <c r="T14">
        <f>VLOOKUP($B14,[3]oct13!$D$3:$K$244,[3]oct13!E$1,0)-VLOOKUP(Sheet1!$B14,[3]oct12!$E$3:$L$435,[3]oct12!F$1,0)+24.5</f>
        <v>-4</v>
      </c>
      <c r="U14">
        <f>VLOOKUP($B14,[3]oct13!$D$3:$K$244,[3]oct13!F$1,0)-VLOOKUP(Sheet1!$B14,[3]oct12!$E$3:$L$435,[3]oct12!G$1,0)</f>
        <v>-2</v>
      </c>
      <c r="V14">
        <f>VLOOKUP($B14,[3]oct13!$D$3:$K$244,[3]oct13!G$1,0)-VLOOKUP(Sheet1!$B14,[3]oct12!$E$3:$L$435,[3]oct12!H$1,0)</f>
        <v>28</v>
      </c>
      <c r="W14">
        <f>VLOOKUP($B14,[3]oct13!$D$3:$K$244,[3]oct13!H$1,0)-VLOOKUP(Sheet1!$B14,[3]oct12!$E$3:$L$435,[3]oct12!I$1,0)</f>
        <v>29</v>
      </c>
      <c r="X14">
        <f>VLOOKUP($B14,[3]oct13!$D$3:$K$244,[3]oct13!I$1,0)-VLOOKUP(Sheet1!$B14,[3]oct12!$E$3:$L$435,[3]oct12!J$1,0)</f>
        <v>0</v>
      </c>
      <c r="Y14">
        <f>VLOOKUP($B14,[3]oct13!$D$3:$K$244,[3]oct13!J$1,0)-VLOOKUP(Sheet1!$B14,[3]oct12!$E$3:$L$435,[3]oct12!K$1,0)</f>
        <v>-1</v>
      </c>
      <c r="Z14">
        <f>VLOOKUP($B14,[3]oct13!$D$3:$K$244,[3]oct13!K$1,0)-VLOOKUP(Sheet1!$B14,[3]oct12!$E$3:$L$435,[3]oct12!L$1,0)</f>
        <v>1</v>
      </c>
    </row>
    <row r="15" spans="1:27" x14ac:dyDescent="0.2">
      <c r="A15" s="19"/>
      <c r="B15" s="22">
        <v>3302108</v>
      </c>
      <c r="C15" s="23" t="s">
        <v>29</v>
      </c>
      <c r="D15" s="22"/>
      <c r="E15" s="22"/>
      <c r="F15" s="24"/>
      <c r="G15" s="25"/>
      <c r="H15" s="26"/>
      <c r="I15" s="31"/>
      <c r="J15" s="25"/>
      <c r="L15" s="27"/>
      <c r="M15" s="24"/>
      <c r="N15" s="28"/>
      <c r="O15" s="21"/>
      <c r="P15" s="29"/>
      <c r="Q15" s="32" t="s">
        <v>30</v>
      </c>
      <c r="R15" s="22">
        <v>50</v>
      </c>
      <c r="S15" s="21">
        <f>+$S$10*R15/12*5</f>
        <v>64500</v>
      </c>
      <c r="T15" t="s">
        <v>31</v>
      </c>
    </row>
    <row r="16" spans="1:27" x14ac:dyDescent="0.2">
      <c r="A16" s="19"/>
      <c r="B16" s="22">
        <v>3302139</v>
      </c>
      <c r="C16" s="23" t="s">
        <v>32</v>
      </c>
      <c r="D16" s="22"/>
      <c r="E16" s="22"/>
      <c r="F16" s="24"/>
      <c r="G16" s="25"/>
      <c r="H16" s="26"/>
      <c r="I16" s="31"/>
      <c r="J16" s="25"/>
      <c r="L16" s="27"/>
      <c r="M16" s="24"/>
      <c r="N16" s="28"/>
      <c r="O16" s="21"/>
      <c r="P16" s="29"/>
      <c r="Q16" s="32" t="s">
        <v>30</v>
      </c>
      <c r="R16" s="18">
        <v>60</v>
      </c>
      <c r="S16" s="21">
        <f>+$S$10*R16/12*7</f>
        <v>108360</v>
      </c>
      <c r="T16" t="s">
        <v>31</v>
      </c>
    </row>
    <row r="17" spans="1:29" x14ac:dyDescent="0.2">
      <c r="A17" s="19"/>
      <c r="B17" s="30">
        <v>3302142</v>
      </c>
      <c r="C17" s="23" t="s">
        <v>33</v>
      </c>
      <c r="D17" s="22"/>
      <c r="E17" s="22"/>
      <c r="F17" s="24"/>
      <c r="G17" s="25"/>
      <c r="H17" s="26"/>
      <c r="I17" s="31">
        <v>30</v>
      </c>
      <c r="J17" s="25">
        <v>57253</v>
      </c>
      <c r="L17" s="27">
        <v>1</v>
      </c>
      <c r="M17" s="24">
        <v>30</v>
      </c>
      <c r="N17" s="28">
        <v>3102.4449289631302</v>
      </c>
      <c r="O17" s="21">
        <f>+M17*N17/12*7</f>
        <v>54292.786256854779</v>
      </c>
      <c r="P17" s="29">
        <f t="shared" si="4"/>
        <v>38780.561612039128</v>
      </c>
      <c r="Q17" s="19">
        <f>VLOOKUP(B17,[2]Sheet1!A$6:H$305,8,0)</f>
        <v>29</v>
      </c>
      <c r="R17" s="18">
        <v>21</v>
      </c>
      <c r="S17" s="21">
        <f t="shared" si="5"/>
        <v>37926</v>
      </c>
      <c r="T17">
        <f>VLOOKUP($B17,[3]oct13!$D$3:$K$244,[3]oct13!E$1,0)-VLOOKUP(Sheet1!$B17,[3]oct12!$E$3:$L$435,[3]oct12!F$1,0)</f>
        <v>-5</v>
      </c>
      <c r="U17">
        <f>VLOOKUP($B17,[3]oct13!$D$3:$K$244,[3]oct13!F$1,0)-VLOOKUP(Sheet1!$B17,[3]oct12!$E$3:$L$435,[3]oct12!G$1,0)</f>
        <v>21</v>
      </c>
      <c r="V17">
        <f>VLOOKUP($B17,[3]oct13!$D$3:$K$244,[3]oct13!G$1,0)-VLOOKUP(Sheet1!$B17,[3]oct12!$E$3:$L$435,[3]oct12!H$1,0)</f>
        <v>1</v>
      </c>
      <c r="W17">
        <f>VLOOKUP($B17,[3]oct13!$D$3:$K$244,[3]oct13!H$1,0)-VLOOKUP(Sheet1!$B17,[3]oct12!$E$3:$L$435,[3]oct12!I$1,0)</f>
        <v>-2</v>
      </c>
      <c r="X17">
        <f>VLOOKUP($B17,[3]oct13!$D$3:$K$244,[3]oct13!I$1,0)-VLOOKUP(Sheet1!$B17,[3]oct12!$E$3:$L$435,[3]oct12!J$1,0)</f>
        <v>1</v>
      </c>
      <c r="Y17">
        <f>VLOOKUP($B17,[3]oct13!$D$3:$K$244,[3]oct13!J$1,0)-VLOOKUP(Sheet1!$B17,[3]oct12!$E$3:$L$435,[3]oct12!K$1,0)</f>
        <v>8</v>
      </c>
      <c r="Z17">
        <f>VLOOKUP($B17,[3]oct13!$D$3:$K$244,[3]oct13!K$1,0)-VLOOKUP(Sheet1!$B17,[3]oct12!$E$3:$L$435,[3]oct12!L$1,0)</f>
        <v>5</v>
      </c>
    </row>
    <row r="18" spans="1:29" x14ac:dyDescent="0.2">
      <c r="A18" s="19" t="s">
        <v>34</v>
      </c>
      <c r="B18" s="22">
        <v>3302149</v>
      </c>
      <c r="C18" s="23" t="s">
        <v>35</v>
      </c>
      <c r="D18" s="22">
        <v>1</v>
      </c>
      <c r="E18" s="22">
        <v>30</v>
      </c>
      <c r="F18" s="24">
        <f>VLOOKUP(D18,$E$76:$F$82,2,0)</f>
        <v>2417.5936752937832</v>
      </c>
      <c r="G18" s="25">
        <f t="shared" si="0"/>
        <v>42307.889317641209</v>
      </c>
      <c r="H18" s="26"/>
      <c r="I18" s="31">
        <v>28</v>
      </c>
      <c r="J18" s="25">
        <v>38697.75</v>
      </c>
      <c r="L18" s="27">
        <f t="shared" si="1"/>
        <v>2</v>
      </c>
      <c r="M18" s="24">
        <f t="shared" si="2"/>
        <v>30</v>
      </c>
      <c r="N18" s="28">
        <v>3102.4449289631302</v>
      </c>
      <c r="O18" s="21">
        <f t="shared" si="3"/>
        <v>54292.786256854779</v>
      </c>
      <c r="P18" s="29">
        <f t="shared" si="4"/>
        <v>38780.561612039128</v>
      </c>
      <c r="Q18" s="19">
        <f>VLOOKUP(B18,[2]Sheet1!A$6:H$305,8,0)</f>
        <v>37</v>
      </c>
      <c r="R18" s="18">
        <v>28</v>
      </c>
      <c r="S18" s="21">
        <f t="shared" si="5"/>
        <v>50568</v>
      </c>
      <c r="T18">
        <f>VLOOKUP($B18,[3]oct13!$D$3:$K$244,[3]oct13!E$1,0)-VLOOKUP(Sheet1!$B18,[3]oct12!$E$3:$L$435,[3]oct12!F$1,0)</f>
        <v>5</v>
      </c>
      <c r="U18">
        <f>VLOOKUP($B18,[3]oct13!$D$3:$K$244,[3]oct13!F$1,0)-VLOOKUP(Sheet1!$B18,[3]oct12!$E$3:$L$435,[3]oct12!G$1,0)</f>
        <v>2</v>
      </c>
      <c r="V18">
        <f>VLOOKUP($B18,[3]oct13!$D$3:$K$244,[3]oct13!G$1,0)-VLOOKUP(Sheet1!$B18,[3]oct12!$E$3:$L$435,[3]oct12!H$1,0)</f>
        <v>28</v>
      </c>
      <c r="W18">
        <f>VLOOKUP($B18,[3]oct13!$D$3:$K$244,[3]oct13!H$1,0)-VLOOKUP(Sheet1!$B18,[3]oct12!$E$3:$L$435,[3]oct12!I$1,0)</f>
        <v>-1</v>
      </c>
      <c r="X18">
        <f>VLOOKUP($B18,[3]oct13!$D$3:$K$244,[3]oct13!I$1,0)-VLOOKUP(Sheet1!$B18,[3]oct12!$E$3:$L$435,[3]oct12!J$1,0)</f>
        <v>1</v>
      </c>
      <c r="Y18">
        <f>VLOOKUP($B18,[3]oct13!$D$3:$K$244,[3]oct13!J$1,0)-VLOOKUP(Sheet1!$B18,[3]oct12!$E$3:$L$435,[3]oct12!K$1,0)</f>
        <v>2</v>
      </c>
      <c r="Z18">
        <f>VLOOKUP($B18,[3]oct13!$D$3:$K$244,[3]oct13!K$1,0)-VLOOKUP(Sheet1!$B18,[3]oct12!$E$3:$L$435,[3]oct12!L$1,0)</f>
        <v>0</v>
      </c>
    </row>
    <row r="19" spans="1:29" x14ac:dyDescent="0.2">
      <c r="A19" s="19" t="s">
        <v>36</v>
      </c>
      <c r="B19" s="22">
        <v>3302150</v>
      </c>
      <c r="C19" s="23" t="s">
        <v>37</v>
      </c>
      <c r="D19" s="22">
        <v>2</v>
      </c>
      <c r="E19" s="22">
        <v>30</v>
      </c>
      <c r="F19" s="24">
        <f>VLOOKUP(D19,$E$76:$F$82,2,0)</f>
        <v>2417.5936752937823</v>
      </c>
      <c r="G19" s="25">
        <f t="shared" si="0"/>
        <v>42307.889317641188</v>
      </c>
      <c r="H19" s="26"/>
      <c r="I19" s="31">
        <v>18</v>
      </c>
      <c r="J19" s="25">
        <v>20446.416666666664</v>
      </c>
      <c r="L19" s="27">
        <f t="shared" si="1"/>
        <v>3</v>
      </c>
      <c r="M19" s="24">
        <f t="shared" si="2"/>
        <v>30</v>
      </c>
      <c r="N19" s="28">
        <v>3102.4449289631302</v>
      </c>
      <c r="O19" s="21">
        <f t="shared" si="3"/>
        <v>54292.786256854779</v>
      </c>
      <c r="P19" s="29">
        <f t="shared" si="4"/>
        <v>38780.561612039128</v>
      </c>
      <c r="Q19" s="19">
        <f>VLOOKUP(B19,[2]Sheet1!A$6:H$305,8,0)</f>
        <v>27</v>
      </c>
      <c r="R19" s="18">
        <v>24</v>
      </c>
      <c r="S19" s="21">
        <f t="shared" si="5"/>
        <v>43344</v>
      </c>
      <c r="T19">
        <f>VLOOKUP($B19,[3]oct13!$D$3:$K$244,[3]oct13!E$1,0)-VLOOKUP(Sheet1!$B19,[3]oct12!$E$3:$L$435,[3]oct12!F$1,0)</f>
        <v>2.5</v>
      </c>
      <c r="U19">
        <f>VLOOKUP($B19,[3]oct13!$D$3:$K$244,[3]oct13!F$1,0)-VLOOKUP(Sheet1!$B19,[3]oct12!$E$3:$L$435,[3]oct12!G$1,0)</f>
        <v>1</v>
      </c>
      <c r="V19">
        <f>VLOOKUP($B19,[3]oct13!$D$3:$K$244,[3]oct13!G$1,0)-VLOOKUP(Sheet1!$B19,[3]oct12!$E$3:$L$435,[3]oct12!H$1,0)</f>
        <v>-1</v>
      </c>
      <c r="W19">
        <f>VLOOKUP($B19,[3]oct13!$D$3:$K$244,[3]oct13!H$1,0)-VLOOKUP(Sheet1!$B19,[3]oct12!$E$3:$L$435,[3]oct12!I$1,0)</f>
        <v>24</v>
      </c>
      <c r="X19">
        <f>VLOOKUP($B19,[3]oct13!$D$3:$K$244,[3]oct13!I$1,0)-VLOOKUP(Sheet1!$B19,[3]oct12!$E$3:$L$435,[3]oct12!J$1,0)</f>
        <v>-2</v>
      </c>
      <c r="Y19">
        <f>VLOOKUP($B19,[3]oct13!$D$3:$K$244,[3]oct13!J$1,0)-VLOOKUP(Sheet1!$B19,[3]oct12!$E$3:$L$435,[3]oct12!K$1,0)</f>
        <v>1</v>
      </c>
      <c r="Z19">
        <f>VLOOKUP($B19,[3]oct13!$D$3:$K$244,[3]oct13!K$1,0)-VLOOKUP(Sheet1!$B19,[3]oct12!$E$3:$L$435,[3]oct12!L$1,0)</f>
        <v>1</v>
      </c>
    </row>
    <row r="20" spans="1:29" ht="12" customHeight="1" x14ac:dyDescent="0.2">
      <c r="A20" s="19"/>
      <c r="B20" s="30">
        <v>3302160</v>
      </c>
      <c r="C20" s="23" t="s">
        <v>38</v>
      </c>
      <c r="D20" s="22"/>
      <c r="E20" s="22"/>
      <c r="F20" s="24"/>
      <c r="G20" s="25"/>
      <c r="H20" s="26"/>
      <c r="I20" s="31">
        <v>27</v>
      </c>
      <c r="J20" s="25">
        <v>37894.5</v>
      </c>
      <c r="L20" s="27"/>
      <c r="M20" s="24"/>
      <c r="N20" s="28">
        <v>3102.4449289631302</v>
      </c>
      <c r="O20" s="21">
        <f t="shared" si="3"/>
        <v>0</v>
      </c>
      <c r="P20" s="29">
        <f t="shared" si="4"/>
        <v>0</v>
      </c>
      <c r="Q20" s="19">
        <f>VLOOKUP(B20,[2]Sheet1!A$6:H$305,8,0)</f>
        <v>41</v>
      </c>
      <c r="R20" s="22">
        <v>30</v>
      </c>
      <c r="S20" s="21">
        <f t="shared" si="5"/>
        <v>54180</v>
      </c>
      <c r="T20">
        <f>VLOOKUP($B20,[3]oct13!$D$3:$K$244,[3]oct13!E$1,0)-VLOOKUP(Sheet1!$B20,[3]oct12!$E$3:$L$435,[3]oct12!F$1,0)</f>
        <v>0</v>
      </c>
      <c r="U20">
        <f>VLOOKUP($B20,[3]oct13!$D$3:$K$244,[3]oct13!F$1,0)-VLOOKUP(Sheet1!$B20,[3]oct12!$E$3:$L$435,[3]oct12!G$1,0)</f>
        <v>0</v>
      </c>
      <c r="V20">
        <f>VLOOKUP($B20,[3]oct13!$D$3:$K$244,[3]oct13!G$1,0)-VLOOKUP(Sheet1!$B20,[3]oct12!$E$3:$L$435,[3]oct12!H$1,0)</f>
        <v>0</v>
      </c>
      <c r="W20">
        <f>VLOOKUP($B20,[3]oct13!$D$3:$K$244,[3]oct13!H$1,0)-VLOOKUP(Sheet1!$B20,[3]oct12!$E$3:$L$435,[3]oct12!I$1,0)</f>
        <v>4</v>
      </c>
      <c r="X20">
        <f>VLOOKUP($B20,[3]oct13!$D$3:$K$244,[3]oct13!I$1,0)-VLOOKUP(Sheet1!$B20,[3]oct12!$E$3:$L$435,[3]oct12!J$1,0)</f>
        <v>22</v>
      </c>
      <c r="Y20">
        <f>VLOOKUP($B20,[3]oct13!$D$3:$K$244,[3]oct13!J$1,0)-VLOOKUP(Sheet1!$B20,[3]oct12!$E$3:$L$435,[3]oct12!K$1,0)</f>
        <v>-5</v>
      </c>
      <c r="Z20">
        <f>VLOOKUP($B20,[3]oct13!$D$3:$K$244,[3]oct13!K$1,0)-VLOOKUP(Sheet1!$B20,[3]oct12!$E$3:$L$435,[3]oct12!L$1,0)</f>
        <v>20</v>
      </c>
    </row>
    <row r="21" spans="1:29" x14ac:dyDescent="0.2">
      <c r="A21" s="19"/>
      <c r="B21" s="30">
        <v>3302161</v>
      </c>
      <c r="C21" s="23" t="s">
        <v>38</v>
      </c>
      <c r="D21" s="22"/>
      <c r="E21" s="22"/>
      <c r="F21" s="24"/>
      <c r="G21" s="25"/>
      <c r="H21" s="26"/>
      <c r="I21" s="31">
        <v>24</v>
      </c>
      <c r="J21" s="25">
        <v>44307.666666666672</v>
      </c>
      <c r="L21" s="27">
        <v>1</v>
      </c>
      <c r="M21" s="33">
        <v>30</v>
      </c>
      <c r="N21" s="28">
        <v>3102.4449289631302</v>
      </c>
      <c r="O21" s="21">
        <f t="shared" si="3"/>
        <v>54292.786256854779</v>
      </c>
      <c r="P21" s="29">
        <f t="shared" si="4"/>
        <v>38780.561612039128</v>
      </c>
      <c r="Q21" s="19">
        <f>VLOOKUP(B21,[2]Sheet1!A$6:H$305,8,0)</f>
        <v>16</v>
      </c>
      <c r="R21" s="18">
        <v>16</v>
      </c>
      <c r="S21" s="21">
        <f t="shared" si="5"/>
        <v>28896</v>
      </c>
      <c r="T21">
        <f>VLOOKUP($B21,[3]oct13!$D$3:$K$244,[3]oct13!E$1,0)-VLOOKUP(Sheet1!$B21,[3]oct12!$E$3:$L$435,[3]oct12!F$1,0)</f>
        <v>-15</v>
      </c>
      <c r="U21">
        <f>VLOOKUP($B21,[3]oct13!$D$3:$K$244,[3]oct13!F$1,0)-VLOOKUP(Sheet1!$B21,[3]oct12!$E$3:$L$435,[3]oct12!G$1,0)</f>
        <v>32</v>
      </c>
      <c r="V21">
        <f>VLOOKUP($B21,[3]oct13!$D$3:$K$244,[3]oct13!G$1,0)-VLOOKUP(Sheet1!$B21,[3]oct12!$E$3:$L$435,[3]oct12!H$1,0)</f>
        <v>-1</v>
      </c>
      <c r="W21">
        <f>VLOOKUP($B21,[3]oct13!$D$3:$K$244,[3]oct13!H$1,0)-VLOOKUP(Sheet1!$B21,[3]oct12!$E$3:$L$435,[3]oct12!I$1,0)</f>
        <v>0</v>
      </c>
      <c r="X21">
        <f>VLOOKUP($B21,[3]oct13!$D$3:$K$244,[3]oct13!I$1,0)-VLOOKUP(Sheet1!$B21,[3]oct12!$E$3:$L$435,[3]oct12!J$1,0)</f>
        <v>0</v>
      </c>
      <c r="Y21">
        <f>VLOOKUP($B21,[3]oct13!$D$3:$K$244,[3]oct13!J$1,0)-VLOOKUP(Sheet1!$B21,[3]oct12!$E$3:$L$435,[3]oct12!K$1,0)</f>
        <v>0</v>
      </c>
      <c r="Z21">
        <f>VLOOKUP($B21,[3]oct13!$D$3:$K$244,[3]oct13!K$1,0)-VLOOKUP(Sheet1!$B21,[3]oct12!$E$3:$L$435,[3]oct12!L$1,0)</f>
        <v>0</v>
      </c>
    </row>
    <row r="22" spans="1:29" x14ac:dyDescent="0.2">
      <c r="A22" s="19" t="s">
        <v>39</v>
      </c>
      <c r="B22" s="22">
        <v>3302179</v>
      </c>
      <c r="C22" s="23" t="s">
        <v>40</v>
      </c>
      <c r="D22" s="22">
        <v>2</v>
      </c>
      <c r="E22" s="22">
        <v>50</v>
      </c>
      <c r="F22" s="24">
        <f>VLOOKUP(D22,$E$76:$F$82,2,0)</f>
        <v>2417.5936752937823</v>
      </c>
      <c r="G22" s="25">
        <f t="shared" si="0"/>
        <v>70513.148862735325</v>
      </c>
      <c r="H22" s="26"/>
      <c r="I22" s="31">
        <v>84</v>
      </c>
      <c r="J22" s="25">
        <v>109537.75</v>
      </c>
      <c r="L22" s="27">
        <f t="shared" si="1"/>
        <v>3</v>
      </c>
      <c r="M22" s="24">
        <v>80</v>
      </c>
      <c r="N22" s="28">
        <v>3102.4449289631302</v>
      </c>
      <c r="O22" s="21">
        <f t="shared" si="3"/>
        <v>144780.76335161272</v>
      </c>
      <c r="P22" s="29">
        <f t="shared" si="4"/>
        <v>103414.83096543766</v>
      </c>
      <c r="Q22" s="19">
        <f>VLOOKUP(B22,[2]Sheet1!A$6:H$305,8,0)</f>
        <v>101</v>
      </c>
      <c r="R22" s="18">
        <v>115</v>
      </c>
      <c r="S22" s="21">
        <f>+$S$10*R22</f>
        <v>356040</v>
      </c>
      <c r="T22">
        <f>VLOOKUP($B22,[3]oct13!$D$3:$K$244,[3]oct13!E$1,0)-VLOOKUP(Sheet1!$B22,[3]oct12!$E$3:$L$435,[3]oct12!F$1,0)</f>
        <v>20.5</v>
      </c>
      <c r="U22">
        <f>VLOOKUP($B22,[3]oct13!$D$3:$K$244,[3]oct13!F$1,0)-VLOOKUP(Sheet1!$B22,[3]oct12!$E$3:$L$435,[3]oct12!G$1,0)</f>
        <v>-20</v>
      </c>
      <c r="V22">
        <f>VLOOKUP($B22,[3]oct13!$D$3:$K$244,[3]oct13!G$1,0)-VLOOKUP(Sheet1!$B22,[3]oct12!$E$3:$L$435,[3]oct12!H$1,0)</f>
        <v>-5</v>
      </c>
      <c r="W22">
        <f>VLOOKUP($B22,[3]oct13!$D$3:$K$244,[3]oct13!H$1,0)-VLOOKUP(Sheet1!$B22,[3]oct12!$E$3:$L$435,[3]oct12!I$1,0)</f>
        <v>56</v>
      </c>
      <c r="X22">
        <f>VLOOKUP($B22,[3]oct13!$D$3:$K$244,[3]oct13!I$1,0)-VLOOKUP(Sheet1!$B22,[3]oct12!$E$3:$L$435,[3]oct12!J$1,0)</f>
        <v>47</v>
      </c>
      <c r="Y22">
        <f>VLOOKUP($B22,[3]oct13!$D$3:$K$244,[3]oct13!J$1,0)-VLOOKUP(Sheet1!$B22,[3]oct12!$E$3:$L$435,[3]oct12!K$1,0)</f>
        <v>0</v>
      </c>
      <c r="Z22">
        <f>VLOOKUP($B22,[3]oct13!$D$3:$K$244,[3]oct13!K$1,0)-VLOOKUP(Sheet1!$B22,[3]oct12!$E$3:$L$435,[3]oct12!L$1,0)</f>
        <v>2</v>
      </c>
      <c r="AB22" s="36"/>
      <c r="AC22" s="36"/>
    </row>
    <row r="23" spans="1:29" x14ac:dyDescent="0.2">
      <c r="A23" s="19" t="s">
        <v>41</v>
      </c>
      <c r="B23" s="22">
        <v>3302184</v>
      </c>
      <c r="C23" s="23" t="s">
        <v>42</v>
      </c>
      <c r="D23" s="22">
        <v>1</v>
      </c>
      <c r="E23" s="22">
        <v>30</v>
      </c>
      <c r="F23" s="24">
        <f>VLOOKUP(D23,$E$76:$F$82,2,0)</f>
        <v>2417.5936752937832</v>
      </c>
      <c r="G23" s="25">
        <f t="shared" si="0"/>
        <v>42307.889317641209</v>
      </c>
      <c r="H23" s="26"/>
      <c r="I23" s="31">
        <v>28</v>
      </c>
      <c r="J23" s="25">
        <v>39484.083333333328</v>
      </c>
      <c r="L23" s="27">
        <f t="shared" si="1"/>
        <v>2</v>
      </c>
      <c r="M23" s="24">
        <f t="shared" si="2"/>
        <v>30</v>
      </c>
      <c r="N23" s="28">
        <v>3102.4449289631302</v>
      </c>
      <c r="O23" s="21">
        <f t="shared" si="3"/>
        <v>54292.786256854779</v>
      </c>
      <c r="P23" s="29">
        <f t="shared" si="4"/>
        <v>38780.561612039128</v>
      </c>
      <c r="Q23" s="19">
        <f>VLOOKUP(B23,[2]Sheet1!A$6:H$305,8,0)</f>
        <v>33</v>
      </c>
      <c r="R23" s="18">
        <v>30</v>
      </c>
      <c r="S23" s="21">
        <f t="shared" si="5"/>
        <v>54180</v>
      </c>
      <c r="T23">
        <f>VLOOKUP($B23,[3]oct13!$D$3:$K$244,[3]oct13!E$1,0)-VLOOKUP(Sheet1!$B23,[3]oct12!$E$3:$L$435,[3]oct12!F$1,0)</f>
        <v>1</v>
      </c>
      <c r="U23">
        <f>VLOOKUP($B23,[3]oct13!$D$3:$K$244,[3]oct13!F$1,0)-VLOOKUP(Sheet1!$B23,[3]oct12!$E$3:$L$435,[3]oct12!G$1,0)</f>
        <v>1</v>
      </c>
      <c r="V23">
        <f>VLOOKUP($B23,[3]oct13!$D$3:$K$244,[3]oct13!G$1,0)-VLOOKUP(Sheet1!$B23,[3]oct12!$E$3:$L$435,[3]oct12!H$1,0)</f>
        <v>30</v>
      </c>
      <c r="W23">
        <f>VLOOKUP($B23,[3]oct13!$D$3:$K$244,[3]oct13!H$1,0)-VLOOKUP(Sheet1!$B23,[3]oct12!$E$3:$L$435,[3]oct12!I$1,0)</f>
        <v>0</v>
      </c>
      <c r="X23">
        <f>VLOOKUP($B23,[3]oct13!$D$3:$K$244,[3]oct13!I$1,0)-VLOOKUP(Sheet1!$B23,[3]oct12!$E$3:$L$435,[3]oct12!J$1,0)</f>
        <v>1</v>
      </c>
      <c r="Y23">
        <f>VLOOKUP($B23,[3]oct13!$D$3:$K$244,[3]oct13!J$1,0)-VLOOKUP(Sheet1!$B23,[3]oct12!$E$3:$L$435,[3]oct12!K$1,0)</f>
        <v>0</v>
      </c>
      <c r="Z23">
        <f>VLOOKUP($B23,[3]oct13!$D$3:$K$244,[3]oct13!K$1,0)-VLOOKUP(Sheet1!$B23,[3]oct12!$E$3:$L$435,[3]oct12!L$1,0)</f>
        <v>0</v>
      </c>
    </row>
    <row r="24" spans="1:29" x14ac:dyDescent="0.2">
      <c r="A24" s="19"/>
      <c r="B24" s="30">
        <v>3302294</v>
      </c>
      <c r="C24" s="23" t="s">
        <v>43</v>
      </c>
      <c r="D24" s="22"/>
      <c r="E24" s="22"/>
      <c r="F24" s="24"/>
      <c r="G24" s="25"/>
      <c r="H24" s="26"/>
      <c r="I24" s="31">
        <v>30</v>
      </c>
      <c r="J24" s="25">
        <v>40017.833333333328</v>
      </c>
      <c r="L24" s="27">
        <v>1</v>
      </c>
      <c r="M24" s="34">
        <v>30</v>
      </c>
      <c r="N24" s="28">
        <v>3102.4449289631302</v>
      </c>
      <c r="O24" s="21">
        <f t="shared" si="3"/>
        <v>54292.786256854779</v>
      </c>
      <c r="P24" s="29">
        <f t="shared" si="4"/>
        <v>38780.561612039128</v>
      </c>
      <c r="Q24" s="19">
        <f>VLOOKUP(B24,[2]Sheet1!A$6:H$305,8,0)</f>
        <v>29</v>
      </c>
      <c r="R24" s="18">
        <v>21</v>
      </c>
      <c r="S24" s="21">
        <f t="shared" si="5"/>
        <v>37926</v>
      </c>
      <c r="T24">
        <f>VLOOKUP($B24,[3]oct13!$D$3:$K$244,[3]oct13!E$1,0)-VLOOKUP(Sheet1!$B24,[3]oct12!$E$3:$L$435,[3]oct12!F$1,0)</f>
        <v>3</v>
      </c>
      <c r="U24">
        <f>VLOOKUP($B24,[3]oct13!$D$3:$K$244,[3]oct13!F$1,0)-VLOOKUP(Sheet1!$B24,[3]oct12!$E$3:$L$435,[3]oct12!G$1,0)</f>
        <v>21</v>
      </c>
      <c r="V24">
        <f>VLOOKUP($B24,[3]oct13!$D$3:$K$244,[3]oct13!G$1,0)-VLOOKUP(Sheet1!$B24,[3]oct12!$E$3:$L$435,[3]oct12!H$1,0)</f>
        <v>0</v>
      </c>
      <c r="W24">
        <f>VLOOKUP($B24,[3]oct13!$D$3:$K$244,[3]oct13!H$1,0)-VLOOKUP(Sheet1!$B24,[3]oct12!$E$3:$L$435,[3]oct12!I$1,0)</f>
        <v>3</v>
      </c>
      <c r="X24">
        <f>VLOOKUP($B24,[3]oct13!$D$3:$K$244,[3]oct13!I$1,0)-VLOOKUP(Sheet1!$B24,[3]oct12!$E$3:$L$435,[3]oct12!J$1,0)</f>
        <v>3</v>
      </c>
      <c r="Y24">
        <f>VLOOKUP($B24,[3]oct13!$D$3:$K$244,[3]oct13!J$1,0)-VLOOKUP(Sheet1!$B24,[3]oct12!$E$3:$L$435,[3]oct12!K$1,0)</f>
        <v>-2</v>
      </c>
      <c r="Z24">
        <f>VLOOKUP($B24,[3]oct13!$D$3:$K$244,[3]oct13!K$1,0)-VLOOKUP(Sheet1!$B24,[3]oct12!$E$3:$L$435,[3]oct12!L$1,0)</f>
        <v>1</v>
      </c>
    </row>
    <row r="25" spans="1:29" x14ac:dyDescent="0.2">
      <c r="A25" s="35" t="s">
        <v>44</v>
      </c>
      <c r="B25" s="22">
        <v>3302300</v>
      </c>
      <c r="C25" s="23" t="s">
        <v>45</v>
      </c>
      <c r="D25" s="22">
        <v>4</v>
      </c>
      <c r="E25" s="18">
        <v>30</v>
      </c>
      <c r="F25" s="24">
        <f>VLOOKUP(D25,$E$76:$F$82,2,0)</f>
        <v>2406.0652817108116</v>
      </c>
      <c r="G25" s="25">
        <f>+E25*F25/12*7</f>
        <v>42106.142429939202</v>
      </c>
      <c r="H25" s="26"/>
      <c r="I25" s="31">
        <v>27</v>
      </c>
      <c r="J25" s="25">
        <v>38262</v>
      </c>
      <c r="L25" s="27">
        <f t="shared" si="1"/>
        <v>5</v>
      </c>
      <c r="M25" s="24">
        <f t="shared" si="2"/>
        <v>30</v>
      </c>
      <c r="N25" s="28">
        <v>3102.4449289631302</v>
      </c>
      <c r="O25" s="21">
        <f t="shared" si="3"/>
        <v>54292.786256854779</v>
      </c>
      <c r="P25" s="29">
        <f t="shared" si="4"/>
        <v>38780.561612039128</v>
      </c>
      <c r="Q25" s="19">
        <f>VLOOKUP(B25,[2]Sheet1!A$6:H$305,8,0)</f>
        <v>35</v>
      </c>
      <c r="R25" s="18">
        <v>30</v>
      </c>
      <c r="S25" s="21">
        <f t="shared" si="5"/>
        <v>54180</v>
      </c>
      <c r="T25">
        <f>VLOOKUP($B25,[3]oct13!$D$3:$K$244,[3]oct13!E$1,0)-VLOOKUP(Sheet1!$B25,[3]oct12!$E$3:$L$435,[3]oct12!F$1,0)</f>
        <v>1</v>
      </c>
      <c r="U25">
        <f>VLOOKUP($B25,[3]oct13!$D$3:$K$244,[3]oct13!F$1,0)-VLOOKUP(Sheet1!$B25,[3]oct12!$E$3:$L$435,[3]oct12!G$1,0)</f>
        <v>2</v>
      </c>
      <c r="V25">
        <f>VLOOKUP($B25,[3]oct13!$D$3:$K$244,[3]oct13!G$1,0)-VLOOKUP(Sheet1!$B25,[3]oct12!$E$3:$L$435,[3]oct12!H$1,0)</f>
        <v>0</v>
      </c>
      <c r="W25">
        <f>VLOOKUP($B25,[3]oct13!$D$3:$K$244,[3]oct13!H$1,0)-VLOOKUP(Sheet1!$B25,[3]oct12!$E$3:$L$435,[3]oct12!I$1,0)</f>
        <v>0</v>
      </c>
      <c r="X25">
        <f>VLOOKUP($B25,[3]oct13!$D$3:$K$244,[3]oct13!I$1,0)-VLOOKUP(Sheet1!$B25,[3]oct12!$E$3:$L$435,[3]oct12!J$1,0)</f>
        <v>1</v>
      </c>
      <c r="Y25">
        <f>VLOOKUP($B25,[3]oct13!$D$3:$K$244,[3]oct13!J$1,0)-VLOOKUP(Sheet1!$B25,[3]oct12!$E$3:$L$435,[3]oct12!K$1,0)</f>
        <v>30</v>
      </c>
      <c r="Z25">
        <f>VLOOKUP($B25,[3]oct13!$D$3:$K$244,[3]oct13!K$1,0)-VLOOKUP(Sheet1!$B25,[3]oct12!$E$3:$L$435,[3]oct12!L$1,0)</f>
        <v>1</v>
      </c>
    </row>
    <row r="26" spans="1:29" x14ac:dyDescent="0.2">
      <c r="A26" s="19" t="s">
        <v>46</v>
      </c>
      <c r="B26" s="22">
        <v>3302312</v>
      </c>
      <c r="C26" s="23" t="s">
        <v>47</v>
      </c>
      <c r="D26" s="22">
        <v>2</v>
      </c>
      <c r="E26" s="22">
        <v>30</v>
      </c>
      <c r="F26" s="24">
        <f>VLOOKUP(D26,$E$76:$F$82,2,0)</f>
        <v>2417.5936752937823</v>
      </c>
      <c r="G26" s="25">
        <f>+E26*F26/12*7</f>
        <v>42307.889317641188</v>
      </c>
      <c r="H26" s="26"/>
      <c r="I26" s="31">
        <v>26</v>
      </c>
      <c r="J26" s="25">
        <v>36657.833333333328</v>
      </c>
      <c r="L26" s="27">
        <f t="shared" si="1"/>
        <v>3</v>
      </c>
      <c r="M26" s="24">
        <f t="shared" si="2"/>
        <v>30</v>
      </c>
      <c r="N26" s="28">
        <v>3102.4449289631302</v>
      </c>
      <c r="O26" s="21">
        <f t="shared" si="3"/>
        <v>54292.786256854779</v>
      </c>
      <c r="P26" s="29">
        <f t="shared" si="4"/>
        <v>38780.561612039128</v>
      </c>
      <c r="Q26" s="19">
        <f>VLOOKUP(B26,[2]Sheet1!A$6:H$305,8,0)</f>
        <v>33</v>
      </c>
      <c r="R26" s="18">
        <v>30</v>
      </c>
      <c r="S26" s="21">
        <f t="shared" si="5"/>
        <v>54180</v>
      </c>
      <c r="T26">
        <f>VLOOKUP($B26,[3]oct13!$D$3:$K$244,[3]oct13!E$1,0)-VLOOKUP(Sheet1!$B26,[3]oct12!$E$3:$L$435,[3]oct12!F$1,0)</f>
        <v>1</v>
      </c>
      <c r="U26">
        <f>VLOOKUP($B26,[3]oct13!$D$3:$K$244,[3]oct13!F$1,0)-VLOOKUP(Sheet1!$B26,[3]oct12!$E$3:$L$435,[3]oct12!G$1,0)</f>
        <v>-1</v>
      </c>
      <c r="V26">
        <f>VLOOKUP($B26,[3]oct13!$D$3:$K$244,[3]oct13!G$1,0)-VLOOKUP(Sheet1!$B26,[3]oct12!$E$3:$L$435,[3]oct12!H$1,0)</f>
        <v>2</v>
      </c>
      <c r="W26">
        <f>VLOOKUP($B26,[3]oct13!$D$3:$K$244,[3]oct13!H$1,0)-VLOOKUP(Sheet1!$B26,[3]oct12!$E$3:$L$435,[3]oct12!I$1,0)</f>
        <v>29</v>
      </c>
      <c r="X26">
        <f>VLOOKUP($B26,[3]oct13!$D$3:$K$244,[3]oct13!I$1,0)-VLOOKUP(Sheet1!$B26,[3]oct12!$E$3:$L$435,[3]oct12!J$1,0)</f>
        <v>1</v>
      </c>
      <c r="Y26">
        <f>VLOOKUP($B26,[3]oct13!$D$3:$K$244,[3]oct13!J$1,0)-VLOOKUP(Sheet1!$B26,[3]oct12!$E$3:$L$435,[3]oct12!K$1,0)</f>
        <v>0</v>
      </c>
      <c r="Z26">
        <f>VLOOKUP($B26,[3]oct13!$D$3:$K$244,[3]oct13!K$1,0)-VLOOKUP(Sheet1!$B26,[3]oct12!$E$3:$L$435,[3]oct12!L$1,0)</f>
        <v>1</v>
      </c>
    </row>
    <row r="27" spans="1:29" x14ac:dyDescent="0.2">
      <c r="A27" s="19"/>
      <c r="B27" s="30">
        <v>3302317</v>
      </c>
      <c r="C27" s="23" t="s">
        <v>48</v>
      </c>
      <c r="D27" s="22"/>
      <c r="E27" s="22"/>
      <c r="F27" s="24"/>
      <c r="G27" s="25"/>
      <c r="H27" s="26"/>
      <c r="I27" s="31">
        <v>27</v>
      </c>
      <c r="J27" s="25">
        <v>55298.833333333328</v>
      </c>
      <c r="L27" s="27">
        <v>1</v>
      </c>
      <c r="M27" s="33">
        <v>30</v>
      </c>
      <c r="N27" s="28">
        <v>3102.4449289631302</v>
      </c>
      <c r="O27" s="21">
        <f t="shared" si="3"/>
        <v>54292.786256854779</v>
      </c>
      <c r="P27" s="29">
        <f t="shared" si="4"/>
        <v>38780.561612039128</v>
      </c>
      <c r="Q27" s="19">
        <f>VLOOKUP(B27,[2]Sheet1!A$6:H$305,8,0)</f>
        <v>31</v>
      </c>
      <c r="R27" s="18">
        <v>30</v>
      </c>
      <c r="S27" s="21">
        <f t="shared" si="5"/>
        <v>54180</v>
      </c>
      <c r="T27">
        <f>VLOOKUP($B27,[3]oct13!$D$3:$K$244,[3]oct13!E$1,0)-VLOOKUP(Sheet1!$B27,[3]oct12!$E$3:$L$435,[3]oct12!F$1,0)</f>
        <v>-1</v>
      </c>
      <c r="U27">
        <f>VLOOKUP($B27,[3]oct13!$D$3:$K$244,[3]oct13!F$1,0)-VLOOKUP(Sheet1!$B27,[3]oct12!$E$3:$L$435,[3]oct12!G$1,0)</f>
        <v>29</v>
      </c>
      <c r="V27">
        <f>VLOOKUP($B27,[3]oct13!$D$3:$K$244,[3]oct13!G$1,0)-VLOOKUP(Sheet1!$B27,[3]oct12!$E$3:$L$435,[3]oct12!H$1,0)</f>
        <v>0</v>
      </c>
      <c r="W27">
        <f>VLOOKUP($B27,[3]oct13!$D$3:$K$244,[3]oct13!H$1,0)-VLOOKUP(Sheet1!$B27,[3]oct12!$E$3:$L$435,[3]oct12!I$1,0)</f>
        <v>0</v>
      </c>
      <c r="X27">
        <f>VLOOKUP($B27,[3]oct13!$D$3:$K$244,[3]oct13!I$1,0)-VLOOKUP(Sheet1!$B27,[3]oct12!$E$3:$L$435,[3]oct12!J$1,0)</f>
        <v>0</v>
      </c>
      <c r="Y27">
        <f>VLOOKUP($B27,[3]oct13!$D$3:$K$244,[3]oct13!J$1,0)-VLOOKUP(Sheet1!$B27,[3]oct12!$E$3:$L$435,[3]oct12!K$1,0)</f>
        <v>0</v>
      </c>
      <c r="Z27">
        <f>VLOOKUP($B27,[3]oct13!$D$3:$K$244,[3]oct13!K$1,0)-VLOOKUP(Sheet1!$B27,[3]oct12!$E$3:$L$435,[3]oct12!L$1,0)</f>
        <v>0</v>
      </c>
    </row>
    <row r="28" spans="1:29" x14ac:dyDescent="0.2">
      <c r="A28" s="19" t="s">
        <v>49</v>
      </c>
      <c r="B28" s="22">
        <v>3302447</v>
      </c>
      <c r="C28" s="23" t="s">
        <v>50</v>
      </c>
      <c r="D28" s="22">
        <v>3</v>
      </c>
      <c r="E28" s="22">
        <v>30</v>
      </c>
      <c r="F28" s="24">
        <f>VLOOKUP(D28,$E$76:$F$82,2,0)</f>
        <v>2406.0652817108112</v>
      </c>
      <c r="G28" s="25">
        <f>+E28*F28/12*7</f>
        <v>42106.142429939195</v>
      </c>
      <c r="H28" s="26"/>
      <c r="I28" s="31">
        <v>30</v>
      </c>
      <c r="J28" s="25">
        <v>50526</v>
      </c>
      <c r="K28" s="36"/>
      <c r="L28" s="27">
        <f t="shared" si="1"/>
        <v>4</v>
      </c>
      <c r="M28" s="24">
        <f t="shared" si="2"/>
        <v>30</v>
      </c>
      <c r="N28" s="28">
        <v>3102.4449289631302</v>
      </c>
      <c r="O28" s="21">
        <f t="shared" si="3"/>
        <v>54292.786256854779</v>
      </c>
      <c r="P28" s="29">
        <f t="shared" si="4"/>
        <v>38780.561612039128</v>
      </c>
      <c r="Q28" s="19">
        <f>VLOOKUP(B28,[2]Sheet1!A$6:H$305,8,0)</f>
        <v>34</v>
      </c>
      <c r="R28" s="18">
        <v>30</v>
      </c>
      <c r="S28" s="21">
        <f t="shared" si="5"/>
        <v>54180</v>
      </c>
      <c r="T28">
        <f>VLOOKUP($B28,[3]oct13!$D$3:$K$244,[3]oct13!E$1,0)-VLOOKUP(Sheet1!$B28,[3]oct12!$E$3:$L$435,[3]oct12!F$1,0)</f>
        <v>-1</v>
      </c>
      <c r="U28">
        <f>VLOOKUP($B28,[3]oct13!$D$3:$K$244,[3]oct13!F$1,0)-VLOOKUP(Sheet1!$B28,[3]oct12!$E$3:$L$435,[3]oct12!G$1,0)</f>
        <v>1</v>
      </c>
      <c r="V28">
        <f>VLOOKUP($B28,[3]oct13!$D$3:$K$244,[3]oct13!G$1,0)-VLOOKUP(Sheet1!$B28,[3]oct12!$E$3:$L$435,[3]oct12!H$1,0)</f>
        <v>1</v>
      </c>
      <c r="W28">
        <f>VLOOKUP($B28,[3]oct13!$D$3:$K$244,[3]oct13!H$1,0)-VLOOKUP(Sheet1!$B28,[3]oct12!$E$3:$L$435,[3]oct12!I$1,0)</f>
        <v>1</v>
      </c>
      <c r="X28">
        <f>VLOOKUP($B28,[3]oct13!$D$3:$K$244,[3]oct13!I$1,0)-VLOOKUP(Sheet1!$B28,[3]oct12!$E$3:$L$435,[3]oct12!J$1,0)</f>
        <v>30</v>
      </c>
      <c r="Y28">
        <f>VLOOKUP($B28,[3]oct13!$D$3:$K$244,[3]oct13!J$1,0)-VLOOKUP(Sheet1!$B28,[3]oct12!$E$3:$L$435,[3]oct12!K$1,0)</f>
        <v>2</v>
      </c>
      <c r="Z28">
        <f>VLOOKUP($B28,[3]oct13!$D$3:$K$244,[3]oct13!K$1,0)-VLOOKUP(Sheet1!$B28,[3]oct12!$E$3:$L$435,[3]oct12!L$1,0)</f>
        <v>0</v>
      </c>
    </row>
    <row r="29" spans="1:29" x14ac:dyDescent="0.2">
      <c r="A29" s="19" t="s">
        <v>51</v>
      </c>
      <c r="B29" s="22">
        <v>3302460</v>
      </c>
      <c r="C29" s="23" t="s">
        <v>52</v>
      </c>
      <c r="D29" s="22">
        <v>1</v>
      </c>
      <c r="E29" s="22">
        <v>30</v>
      </c>
      <c r="F29" s="24">
        <f>VLOOKUP(D29,$E$76:$F$82,2,0)</f>
        <v>2417.5936752937832</v>
      </c>
      <c r="G29" s="25">
        <f>+E29*F29/12*7</f>
        <v>42307.889317641209</v>
      </c>
      <c r="H29" s="26"/>
      <c r="I29" s="31">
        <v>30</v>
      </c>
      <c r="J29" s="25">
        <v>45865.166666666672</v>
      </c>
      <c r="K29" s="36"/>
      <c r="L29" s="27">
        <f t="shared" si="1"/>
        <v>2</v>
      </c>
      <c r="M29" s="24">
        <f t="shared" si="2"/>
        <v>30</v>
      </c>
      <c r="N29" s="28">
        <v>3102.4449289631302</v>
      </c>
      <c r="O29" s="21">
        <f t="shared" si="3"/>
        <v>54292.786256854779</v>
      </c>
      <c r="P29" s="29">
        <f t="shared" si="4"/>
        <v>38780.561612039128</v>
      </c>
      <c r="Q29" s="19"/>
      <c r="R29" s="22">
        <v>30</v>
      </c>
      <c r="S29" s="21">
        <f t="shared" si="5"/>
        <v>54180</v>
      </c>
    </row>
    <row r="30" spans="1:29" x14ac:dyDescent="0.2">
      <c r="A30" s="19"/>
      <c r="B30" s="30">
        <v>3302478</v>
      </c>
      <c r="C30" s="23" t="s">
        <v>53</v>
      </c>
      <c r="D30" s="22"/>
      <c r="E30" s="22"/>
      <c r="F30" s="24"/>
      <c r="G30" s="25"/>
      <c r="H30" s="26"/>
      <c r="I30" s="31">
        <v>30</v>
      </c>
      <c r="J30" s="25">
        <v>57725.5</v>
      </c>
      <c r="K30" s="36"/>
      <c r="L30" s="27">
        <v>1</v>
      </c>
      <c r="M30" s="34">
        <v>30</v>
      </c>
      <c r="N30" s="28">
        <v>3102.4449289631302</v>
      </c>
      <c r="O30" s="21">
        <f t="shared" si="3"/>
        <v>54292.786256854779</v>
      </c>
      <c r="P30" s="29">
        <f t="shared" si="4"/>
        <v>38780.561612039128</v>
      </c>
      <c r="Q30" s="19">
        <f>VLOOKUP(B30,[2]Sheet1!A$6:H$305,8,0)</f>
        <v>7</v>
      </c>
      <c r="R30" s="22">
        <v>30</v>
      </c>
      <c r="S30" s="21">
        <f t="shared" si="5"/>
        <v>54180</v>
      </c>
      <c r="T30">
        <f>VLOOKUP($B30,[3]oct13!$D$3:$K$244,[3]oct13!E$1,0)-VLOOKUP(Sheet1!$B30,[3]oct12!$E$3:$L$435,[3]oct12!F$1,0)</f>
        <v>-30</v>
      </c>
      <c r="U30">
        <f>VLOOKUP($B30,[3]oct13!$D$3:$K$244,[3]oct13!F$1,0)-VLOOKUP(Sheet1!$B30,[3]oct12!$E$3:$L$435,[3]oct12!G$1,0)</f>
        <v>30</v>
      </c>
      <c r="V30">
        <f>VLOOKUP($B30,[3]oct13!$D$3:$K$244,[3]oct13!G$1,0)-VLOOKUP(Sheet1!$B30,[3]oct12!$E$3:$L$435,[3]oct12!H$1,0)</f>
        <v>0</v>
      </c>
      <c r="W30">
        <f>VLOOKUP($B30,[3]oct13!$D$3:$K$244,[3]oct13!H$1,0)-VLOOKUP(Sheet1!$B30,[3]oct12!$E$3:$L$435,[3]oct12!I$1,0)</f>
        <v>0</v>
      </c>
      <c r="X30">
        <f>VLOOKUP($B30,[3]oct13!$D$3:$K$244,[3]oct13!I$1,0)-VLOOKUP(Sheet1!$B30,[3]oct12!$E$3:$L$435,[3]oct12!J$1,0)</f>
        <v>-1</v>
      </c>
      <c r="Y30">
        <f>VLOOKUP($B30,[3]oct13!$D$3:$K$244,[3]oct13!J$1,0)-VLOOKUP(Sheet1!$B30,[3]oct12!$E$3:$L$435,[3]oct12!K$1,0)</f>
        <v>2</v>
      </c>
      <c r="Z30">
        <f>VLOOKUP($B30,[3]oct13!$D$3:$K$244,[3]oct13!K$1,0)-VLOOKUP(Sheet1!$B30,[3]oct12!$E$3:$L$435,[3]oct12!L$1,0)</f>
        <v>6</v>
      </c>
    </row>
    <row r="31" spans="1:29" x14ac:dyDescent="0.2">
      <c r="A31" s="19"/>
      <c r="B31" s="30">
        <v>3302479</v>
      </c>
      <c r="C31" s="23" t="s">
        <v>54</v>
      </c>
      <c r="D31" s="22"/>
      <c r="E31" s="22"/>
      <c r="F31" s="24"/>
      <c r="G31" s="25"/>
      <c r="H31" s="26"/>
      <c r="I31" s="31">
        <v>27</v>
      </c>
      <c r="J31" s="25">
        <v>47770.333333333328</v>
      </c>
      <c r="K31" s="36"/>
      <c r="L31" s="27">
        <v>1</v>
      </c>
      <c r="M31" s="34">
        <v>30</v>
      </c>
      <c r="N31" s="28">
        <v>3102.4449289631302</v>
      </c>
      <c r="O31" s="21">
        <f t="shared" si="3"/>
        <v>54292.786256854779</v>
      </c>
      <c r="P31" s="29">
        <f t="shared" si="4"/>
        <v>38780.561612039128</v>
      </c>
      <c r="Q31" s="19">
        <f>VLOOKUP(B31,[2]Sheet1!A$6:H$305,8,0)</f>
        <v>21</v>
      </c>
      <c r="R31" s="18">
        <v>21</v>
      </c>
      <c r="S31" s="21">
        <f t="shared" si="5"/>
        <v>37926</v>
      </c>
      <c r="T31">
        <f>VLOOKUP($B31,[3]oct13!$D$3:$K$244,[3]oct13!E$1,0)-VLOOKUP(Sheet1!$B31,[3]oct12!$E$3:$L$435,[3]oct12!F$1,0)</f>
        <v>-25</v>
      </c>
      <c r="U31">
        <f>VLOOKUP($B31,[3]oct13!$D$3:$K$244,[3]oct13!F$1,0)-VLOOKUP(Sheet1!$B31,[3]oct12!$E$3:$L$435,[3]oct12!G$1,0)</f>
        <v>31</v>
      </c>
      <c r="V31">
        <f>VLOOKUP($B31,[3]oct13!$D$3:$K$244,[3]oct13!G$1,0)-VLOOKUP(Sheet1!$B31,[3]oct12!$E$3:$L$435,[3]oct12!H$1,0)</f>
        <v>1</v>
      </c>
      <c r="W31">
        <f>VLOOKUP($B31,[3]oct13!$D$3:$K$244,[3]oct13!H$1,0)-VLOOKUP(Sheet1!$B31,[3]oct12!$E$3:$L$435,[3]oct12!I$1,0)</f>
        <v>2</v>
      </c>
      <c r="X31">
        <f>VLOOKUP($B31,[3]oct13!$D$3:$K$244,[3]oct13!I$1,0)-VLOOKUP(Sheet1!$B31,[3]oct12!$E$3:$L$435,[3]oct12!J$1,0)</f>
        <v>3</v>
      </c>
      <c r="Y31">
        <f>VLOOKUP($B31,[3]oct13!$D$3:$K$244,[3]oct13!J$1,0)-VLOOKUP(Sheet1!$B31,[3]oct12!$E$3:$L$435,[3]oct12!K$1,0)</f>
        <v>3</v>
      </c>
      <c r="Z31">
        <f>VLOOKUP($B31,[3]oct13!$D$3:$K$244,[3]oct13!K$1,0)-VLOOKUP(Sheet1!$B31,[3]oct12!$E$3:$L$435,[3]oct12!L$1,0)</f>
        <v>6</v>
      </c>
    </row>
    <row r="32" spans="1:29" x14ac:dyDescent="0.2">
      <c r="A32" s="19"/>
      <c r="B32" s="30">
        <v>3303025</v>
      </c>
      <c r="C32" s="23" t="s">
        <v>55</v>
      </c>
      <c r="D32" s="22"/>
      <c r="E32" s="22"/>
      <c r="F32" s="24"/>
      <c r="G32" s="25"/>
      <c r="H32" s="26"/>
      <c r="I32" s="31">
        <v>30</v>
      </c>
      <c r="J32" s="25">
        <v>57731.916666666664</v>
      </c>
      <c r="K32" s="36"/>
      <c r="L32" s="27">
        <v>1</v>
      </c>
      <c r="M32" s="34">
        <v>30</v>
      </c>
      <c r="N32" s="28">
        <v>3102.4449289631302</v>
      </c>
      <c r="O32" s="21">
        <f t="shared" si="3"/>
        <v>54292.786256854779</v>
      </c>
      <c r="P32" s="29">
        <f t="shared" si="4"/>
        <v>38780.561612039128</v>
      </c>
      <c r="Q32" s="19">
        <f>VLOOKUP(B32,[2]Sheet1!A$6:H$305,8,0)</f>
        <v>28</v>
      </c>
      <c r="R32" s="18">
        <v>28</v>
      </c>
      <c r="S32" s="21">
        <f t="shared" si="5"/>
        <v>50568</v>
      </c>
      <c r="T32">
        <f>VLOOKUP($B32,[3]oct13!$D$3:$K$244,[3]oct13!E$1,0)-VLOOKUP(Sheet1!$B32,[3]oct12!$E$3:$L$435,[3]oct12!F$1,0)</f>
        <v>-1</v>
      </c>
      <c r="U32">
        <f>VLOOKUP($B32,[3]oct13!$D$3:$K$244,[3]oct13!F$1,0)-VLOOKUP(Sheet1!$B32,[3]oct12!$E$3:$L$435,[3]oct12!G$1,0)</f>
        <v>30</v>
      </c>
      <c r="V32">
        <f>VLOOKUP($B32,[3]oct13!$D$3:$K$244,[3]oct13!G$1,0)-VLOOKUP(Sheet1!$B32,[3]oct12!$E$3:$L$435,[3]oct12!H$1,0)</f>
        <v>0</v>
      </c>
      <c r="W32">
        <f>VLOOKUP($B32,[3]oct13!$D$3:$K$244,[3]oct13!H$1,0)-VLOOKUP(Sheet1!$B32,[3]oct12!$E$3:$L$435,[3]oct12!I$1,0)</f>
        <v>-2</v>
      </c>
      <c r="X32">
        <f>VLOOKUP($B32,[3]oct13!$D$3:$K$244,[3]oct13!I$1,0)-VLOOKUP(Sheet1!$B32,[3]oct12!$E$3:$L$435,[3]oct12!J$1,0)</f>
        <v>1</v>
      </c>
      <c r="Y32">
        <f>VLOOKUP($B32,[3]oct13!$D$3:$K$244,[3]oct13!J$1,0)-VLOOKUP(Sheet1!$B32,[3]oct12!$E$3:$L$435,[3]oct12!K$1,0)</f>
        <v>-4</v>
      </c>
      <c r="Z32">
        <f>VLOOKUP($B32,[3]oct13!$D$3:$K$244,[3]oct13!K$1,0)-VLOOKUP(Sheet1!$B32,[3]oct12!$E$3:$L$435,[3]oct12!L$1,0)</f>
        <v>4</v>
      </c>
    </row>
    <row r="33" spans="1:26" x14ac:dyDescent="0.2">
      <c r="A33" s="19"/>
      <c r="B33" s="30">
        <v>3303311</v>
      </c>
      <c r="C33" s="23" t="s">
        <v>56</v>
      </c>
      <c r="D33" s="22"/>
      <c r="E33" s="22"/>
      <c r="F33" s="24"/>
      <c r="G33" s="25"/>
      <c r="H33" s="26"/>
      <c r="I33" s="31">
        <v>27</v>
      </c>
      <c r="J33" s="25">
        <v>40394.666666666672</v>
      </c>
      <c r="K33" s="36"/>
      <c r="L33" s="27">
        <v>2</v>
      </c>
      <c r="M33" s="34">
        <v>30</v>
      </c>
      <c r="N33" s="28">
        <v>3102.4449289631302</v>
      </c>
      <c r="O33" s="21">
        <f t="shared" si="3"/>
        <v>54292.786256854779</v>
      </c>
      <c r="P33" s="29">
        <f t="shared" si="4"/>
        <v>38780.561612039128</v>
      </c>
      <c r="Q33" s="19"/>
      <c r="R33" s="22">
        <v>30</v>
      </c>
      <c r="S33" s="21">
        <f t="shared" si="5"/>
        <v>54180</v>
      </c>
    </row>
    <row r="34" spans="1:26" x14ac:dyDescent="0.2">
      <c r="A34" s="19" t="s">
        <v>57</v>
      </c>
      <c r="B34" s="22">
        <v>3303344</v>
      </c>
      <c r="C34" s="23" t="s">
        <v>58</v>
      </c>
      <c r="D34" s="22">
        <v>1</v>
      </c>
      <c r="E34" s="22">
        <v>30</v>
      </c>
      <c r="F34" s="24">
        <f>VLOOKUP(D34,$E$76:$F$82,2,0)</f>
        <v>2417.5936752937832</v>
      </c>
      <c r="G34" s="25">
        <f t="shared" ref="G34:G41" si="6">+E34*F34/12*7</f>
        <v>42307.889317641209</v>
      </c>
      <c r="H34" s="26"/>
      <c r="I34" s="31">
        <v>30</v>
      </c>
      <c r="J34" s="25">
        <v>46508</v>
      </c>
      <c r="K34" s="36"/>
      <c r="L34" s="27">
        <f t="shared" si="1"/>
        <v>2</v>
      </c>
      <c r="M34" s="24">
        <f t="shared" si="2"/>
        <v>30</v>
      </c>
      <c r="N34" s="28">
        <v>3102.4449289631302</v>
      </c>
      <c r="O34" s="21">
        <f t="shared" si="3"/>
        <v>54292.786256854779</v>
      </c>
      <c r="P34" s="29">
        <f t="shared" si="4"/>
        <v>38780.561612039128</v>
      </c>
      <c r="Q34" s="19">
        <f>VLOOKUP(B34,[2]Sheet1!A$6:H$305,8,0)</f>
        <v>31</v>
      </c>
      <c r="R34" s="18">
        <v>30</v>
      </c>
      <c r="S34" s="21">
        <f t="shared" si="5"/>
        <v>54180</v>
      </c>
      <c r="T34">
        <f>VLOOKUP($B34,[3]oct13!$D$3:$K$244,[3]oct13!E$1,0)-VLOOKUP(Sheet1!$B34,[3]oct12!$E$3:$L$435,[3]oct12!F$1,0)</f>
        <v>0</v>
      </c>
      <c r="U34">
        <f>VLOOKUP($B34,[3]oct13!$D$3:$K$244,[3]oct13!F$1,0)-VLOOKUP(Sheet1!$B34,[3]oct12!$E$3:$L$435,[3]oct12!G$1,0)</f>
        <v>0</v>
      </c>
      <c r="V34">
        <f>VLOOKUP($B34,[3]oct13!$D$3:$K$244,[3]oct13!G$1,0)-VLOOKUP(Sheet1!$B34,[3]oct12!$E$3:$L$435,[3]oct12!H$1,0)</f>
        <v>30</v>
      </c>
      <c r="W34">
        <f>VLOOKUP($B34,[3]oct13!$D$3:$K$244,[3]oct13!H$1,0)-VLOOKUP(Sheet1!$B34,[3]oct12!$E$3:$L$435,[3]oct12!I$1,0)</f>
        <v>-1</v>
      </c>
      <c r="X34">
        <f>VLOOKUP($B34,[3]oct13!$D$3:$K$244,[3]oct13!I$1,0)-VLOOKUP(Sheet1!$B34,[3]oct12!$E$3:$L$435,[3]oct12!J$1,0)</f>
        <v>1</v>
      </c>
      <c r="Y34">
        <f>VLOOKUP($B34,[3]oct13!$D$3:$K$244,[3]oct13!J$1,0)-VLOOKUP(Sheet1!$B34,[3]oct12!$E$3:$L$435,[3]oct12!K$1,0)</f>
        <v>-1</v>
      </c>
      <c r="Z34">
        <f>VLOOKUP($B34,[3]oct13!$D$3:$K$244,[3]oct13!K$1,0)-VLOOKUP(Sheet1!$B34,[3]oct12!$E$3:$L$435,[3]oct12!L$1,0)</f>
        <v>2</v>
      </c>
    </row>
    <row r="35" spans="1:26" x14ac:dyDescent="0.2">
      <c r="A35" s="19" t="s">
        <v>59</v>
      </c>
      <c r="B35" s="22">
        <v>3303363</v>
      </c>
      <c r="C35" s="23" t="s">
        <v>60</v>
      </c>
      <c r="D35" s="22">
        <v>2</v>
      </c>
      <c r="E35" s="22">
        <v>20</v>
      </c>
      <c r="F35" s="24">
        <f>VLOOKUP(D35,$E$76:$F$82,2,0)</f>
        <v>2417.5936752937823</v>
      </c>
      <c r="G35" s="25">
        <f t="shared" si="6"/>
        <v>28205.259545094123</v>
      </c>
      <c r="H35" s="26"/>
      <c r="I35" s="31">
        <v>19</v>
      </c>
      <c r="J35" s="25">
        <v>30102.333333333332</v>
      </c>
      <c r="K35" s="36"/>
      <c r="L35" s="27">
        <f t="shared" si="1"/>
        <v>3</v>
      </c>
      <c r="M35" s="24">
        <f t="shared" si="2"/>
        <v>20</v>
      </c>
      <c r="N35" s="28">
        <v>3102.4449289631302</v>
      </c>
      <c r="O35" s="21">
        <f t="shared" si="3"/>
        <v>36195.190837903181</v>
      </c>
      <c r="P35" s="29">
        <f t="shared" si="4"/>
        <v>25853.707741359416</v>
      </c>
      <c r="Q35" s="19">
        <f>VLOOKUP(B35,[2]Sheet1!A$6:H$305,8,0)</f>
        <v>34</v>
      </c>
      <c r="R35" s="18">
        <v>30</v>
      </c>
      <c r="S35" s="21">
        <f t="shared" si="5"/>
        <v>54180</v>
      </c>
      <c r="T35">
        <f>VLOOKUP($B35,[3]oct13!$D$3:$K$244,[3]oct13!E$1,0)-VLOOKUP(Sheet1!$B35,[3]oct12!$E$3:$L$435,[3]oct12!F$1,0)</f>
        <v>0</v>
      </c>
      <c r="U35">
        <f>VLOOKUP($B35,[3]oct13!$D$3:$K$244,[3]oct13!F$1,0)-VLOOKUP(Sheet1!$B35,[3]oct12!$E$3:$L$435,[3]oct12!G$1,0)</f>
        <v>13</v>
      </c>
      <c r="V35">
        <f>VLOOKUP($B35,[3]oct13!$D$3:$K$244,[3]oct13!G$1,0)-VLOOKUP(Sheet1!$B35,[3]oct12!$E$3:$L$435,[3]oct12!H$1,0)</f>
        <v>2</v>
      </c>
      <c r="W35">
        <f>VLOOKUP($B35,[3]oct13!$D$3:$K$244,[3]oct13!H$1,0)-VLOOKUP(Sheet1!$B35,[3]oct12!$E$3:$L$435,[3]oct12!I$1,0)</f>
        <v>2</v>
      </c>
      <c r="X35">
        <f>VLOOKUP($B35,[3]oct13!$D$3:$K$244,[3]oct13!I$1,0)-VLOOKUP(Sheet1!$B35,[3]oct12!$E$3:$L$435,[3]oct12!J$1,0)</f>
        <v>8</v>
      </c>
      <c r="Y35">
        <f>VLOOKUP($B35,[3]oct13!$D$3:$K$244,[3]oct13!J$1,0)-VLOOKUP(Sheet1!$B35,[3]oct12!$E$3:$L$435,[3]oct12!K$1,0)</f>
        <v>-10</v>
      </c>
      <c r="Z35">
        <f>VLOOKUP($B35,[3]oct13!$D$3:$K$244,[3]oct13!K$1,0)-VLOOKUP(Sheet1!$B35,[3]oct12!$E$3:$L$435,[3]oct12!L$1,0)</f>
        <v>19</v>
      </c>
    </row>
    <row r="36" spans="1:26" x14ac:dyDescent="0.2">
      <c r="A36" s="19"/>
      <c r="B36" s="30">
        <v>3303412</v>
      </c>
      <c r="C36" s="23" t="s">
        <v>61</v>
      </c>
      <c r="D36" s="22"/>
      <c r="E36" s="22"/>
      <c r="F36" s="24"/>
      <c r="G36" s="25"/>
      <c r="H36" s="26"/>
      <c r="I36" s="31">
        <v>44</v>
      </c>
      <c r="J36" s="25">
        <v>62314</v>
      </c>
      <c r="K36" s="36"/>
      <c r="L36" s="27">
        <v>1</v>
      </c>
      <c r="M36" s="34">
        <v>30</v>
      </c>
      <c r="N36" s="28">
        <v>3102.4449289631302</v>
      </c>
      <c r="O36" s="21">
        <f t="shared" si="3"/>
        <v>54292.786256854779</v>
      </c>
      <c r="P36" s="29">
        <f t="shared" si="4"/>
        <v>38780.561612039128</v>
      </c>
      <c r="Q36" s="19">
        <f>VLOOKUP(B36,[2]Sheet1!A$6:H$305,8,0)</f>
        <v>33</v>
      </c>
      <c r="R36" s="18">
        <v>30</v>
      </c>
      <c r="S36" s="21">
        <f t="shared" si="5"/>
        <v>54180</v>
      </c>
      <c r="T36">
        <f>VLOOKUP($B36,[3]oct13!$D$3:$K$244,[3]oct13!E$1,0)-VLOOKUP(Sheet1!$B36,[3]oct12!$E$3:$L$435,[3]oct12!F$1,0)</f>
        <v>14</v>
      </c>
      <c r="U36">
        <f>VLOOKUP($B36,[3]oct13!$D$3:$K$244,[3]oct13!F$1,0)-VLOOKUP(Sheet1!$B36,[3]oct12!$E$3:$L$435,[3]oct12!G$1,0)</f>
        <v>-3</v>
      </c>
      <c r="V36">
        <f>VLOOKUP($B36,[3]oct13!$D$3:$K$244,[3]oct13!G$1,0)-VLOOKUP(Sheet1!$B36,[3]oct12!$E$3:$L$435,[3]oct12!H$1,0)</f>
        <v>27</v>
      </c>
      <c r="W36">
        <f>VLOOKUP($B36,[3]oct13!$D$3:$K$244,[3]oct13!H$1,0)-VLOOKUP(Sheet1!$B36,[3]oct12!$E$3:$L$435,[3]oct12!I$1,0)</f>
        <v>-2</v>
      </c>
      <c r="X36">
        <f>VLOOKUP($B36,[3]oct13!$D$3:$K$244,[3]oct13!I$1,0)-VLOOKUP(Sheet1!$B36,[3]oct12!$E$3:$L$435,[3]oct12!J$1,0)</f>
        <v>-2</v>
      </c>
      <c r="Y36">
        <f>VLOOKUP($B36,[3]oct13!$D$3:$K$244,[3]oct13!J$1,0)-VLOOKUP(Sheet1!$B36,[3]oct12!$E$3:$L$435,[3]oct12!K$1,0)</f>
        <v>-2</v>
      </c>
      <c r="Z36">
        <f>VLOOKUP($B36,[3]oct13!$D$3:$K$244,[3]oct13!K$1,0)-VLOOKUP(Sheet1!$B36,[3]oct12!$E$3:$L$435,[3]oct12!L$1,0)</f>
        <v>1</v>
      </c>
    </row>
    <row r="37" spans="1:26" x14ac:dyDescent="0.2">
      <c r="A37" s="19" t="s">
        <v>62</v>
      </c>
      <c r="B37" s="22">
        <v>3303421</v>
      </c>
      <c r="C37" s="23" t="s">
        <v>63</v>
      </c>
      <c r="D37" s="22">
        <v>1</v>
      </c>
      <c r="E37" s="22">
        <v>30</v>
      </c>
      <c r="F37" s="24">
        <f t="shared" ref="F37:F42" si="7">VLOOKUP(D37,$E$76:$F$82,2,0)</f>
        <v>2417.5936752937832</v>
      </c>
      <c r="G37" s="25">
        <f t="shared" si="6"/>
        <v>42307.889317641209</v>
      </c>
      <c r="H37" s="26"/>
      <c r="I37" s="31">
        <v>30</v>
      </c>
      <c r="J37" s="25">
        <v>43320.666666666672</v>
      </c>
      <c r="K37" s="36"/>
      <c r="L37" s="27">
        <f t="shared" si="1"/>
        <v>2</v>
      </c>
      <c r="M37" s="24">
        <f t="shared" si="2"/>
        <v>30</v>
      </c>
      <c r="N37" s="28">
        <v>3102.4449289631302</v>
      </c>
      <c r="O37" s="21">
        <f t="shared" si="3"/>
        <v>54292.786256854779</v>
      </c>
      <c r="P37" s="29">
        <f t="shared" si="4"/>
        <v>38780.561612039128</v>
      </c>
      <c r="Q37" s="19">
        <f>VLOOKUP(B37,[2]Sheet1!A$6:H$305,8,0)</f>
        <v>28</v>
      </c>
      <c r="R37" s="18">
        <v>28</v>
      </c>
      <c r="S37" s="21">
        <f t="shared" si="5"/>
        <v>50568</v>
      </c>
      <c r="T37">
        <f>VLOOKUP($B37,[3]oct13!$D$3:$K$244,[3]oct13!E$1,0)-VLOOKUP(Sheet1!$B37,[3]oct12!$E$3:$L$435,[3]oct12!F$1,0)</f>
        <v>-1</v>
      </c>
      <c r="U37">
        <f>VLOOKUP($B37,[3]oct13!$D$3:$K$244,[3]oct13!F$1,0)-VLOOKUP(Sheet1!$B37,[3]oct12!$E$3:$L$435,[3]oct12!G$1,0)</f>
        <v>0</v>
      </c>
      <c r="V37">
        <f>VLOOKUP($B37,[3]oct13!$D$3:$K$244,[3]oct13!G$1,0)-VLOOKUP(Sheet1!$B37,[3]oct12!$E$3:$L$435,[3]oct12!H$1,0)</f>
        <v>30</v>
      </c>
      <c r="W37">
        <f>VLOOKUP($B37,[3]oct13!$D$3:$K$244,[3]oct13!H$1,0)-VLOOKUP(Sheet1!$B37,[3]oct12!$E$3:$L$435,[3]oct12!I$1,0)</f>
        <v>-1</v>
      </c>
      <c r="X37">
        <f>VLOOKUP($B37,[3]oct13!$D$3:$K$244,[3]oct13!I$1,0)-VLOOKUP(Sheet1!$B37,[3]oct12!$E$3:$L$435,[3]oct12!J$1,0)</f>
        <v>0</v>
      </c>
      <c r="Y37">
        <f>VLOOKUP($B37,[3]oct13!$D$3:$K$244,[3]oct13!J$1,0)-VLOOKUP(Sheet1!$B37,[3]oct12!$E$3:$L$435,[3]oct12!K$1,0)</f>
        <v>0</v>
      </c>
      <c r="Z37">
        <f>VLOOKUP($B37,[3]oct13!$D$3:$K$244,[3]oct13!K$1,0)-VLOOKUP(Sheet1!$B37,[3]oct12!$E$3:$L$435,[3]oct12!L$1,0)</f>
        <v>0</v>
      </c>
    </row>
    <row r="38" spans="1:26" x14ac:dyDescent="0.2">
      <c r="A38" s="35" t="s">
        <v>64</v>
      </c>
      <c r="B38" s="22">
        <v>3303430</v>
      </c>
      <c r="C38" s="23" t="s">
        <v>65</v>
      </c>
      <c r="D38" s="22">
        <v>1</v>
      </c>
      <c r="E38" s="22">
        <v>30</v>
      </c>
      <c r="F38" s="24">
        <f t="shared" si="7"/>
        <v>2417.5936752937832</v>
      </c>
      <c r="G38" s="25">
        <f t="shared" si="6"/>
        <v>42307.889317641209</v>
      </c>
      <c r="H38" s="26"/>
      <c r="I38" s="31">
        <v>85</v>
      </c>
      <c r="J38" s="25">
        <v>124821.08333333333</v>
      </c>
      <c r="K38" s="36"/>
      <c r="L38" s="27">
        <f t="shared" si="1"/>
        <v>2</v>
      </c>
      <c r="M38" s="24">
        <f t="shared" si="2"/>
        <v>30</v>
      </c>
      <c r="N38" s="28">
        <v>3102.4449289631302</v>
      </c>
      <c r="O38" s="21">
        <f t="shared" si="3"/>
        <v>54292.786256854779</v>
      </c>
      <c r="P38" s="29">
        <f t="shared" si="4"/>
        <v>38780.561612039128</v>
      </c>
      <c r="Q38" s="19">
        <f>VLOOKUP(B38,[2]Sheet1!A$6:H$305,8,0)</f>
        <v>57</v>
      </c>
      <c r="R38" s="18">
        <v>30</v>
      </c>
      <c r="S38" s="21">
        <f t="shared" si="5"/>
        <v>54180</v>
      </c>
      <c r="T38">
        <f>VLOOKUP($B38,[3]oct13!$D$3:$K$244,[3]oct13!E$1,0)-VLOOKUP(Sheet1!$B38,[3]oct12!$E$3:$L$435,[3]oct12!F$1,0)</f>
        <v>3.5</v>
      </c>
      <c r="U38">
        <f>VLOOKUP($B38,[3]oct13!$D$3:$K$244,[3]oct13!F$1,0)-VLOOKUP(Sheet1!$B38,[3]oct12!$E$3:$L$435,[3]oct12!G$1,0)</f>
        <v>7</v>
      </c>
      <c r="V38">
        <f>VLOOKUP($B38,[3]oct13!$D$3:$K$244,[3]oct13!G$1,0)-VLOOKUP(Sheet1!$B38,[3]oct12!$E$3:$L$435,[3]oct12!H$1,0)</f>
        <v>33</v>
      </c>
      <c r="W38">
        <f>VLOOKUP($B38,[3]oct13!$D$3:$K$244,[3]oct13!H$1,0)-VLOOKUP(Sheet1!$B38,[3]oct12!$E$3:$L$435,[3]oct12!I$1,0)</f>
        <v>4</v>
      </c>
      <c r="X38">
        <f>VLOOKUP($B38,[3]oct13!$D$3:$K$244,[3]oct13!I$1,0)-VLOOKUP(Sheet1!$B38,[3]oct12!$E$3:$L$435,[3]oct12!J$1,0)</f>
        <v>4</v>
      </c>
      <c r="Y38">
        <f>VLOOKUP($B38,[3]oct13!$D$3:$K$244,[3]oct13!J$1,0)-VLOOKUP(Sheet1!$B38,[3]oct12!$E$3:$L$435,[3]oct12!K$1,0)</f>
        <v>6</v>
      </c>
      <c r="Z38">
        <f>VLOOKUP($B38,[3]oct13!$D$3:$K$244,[3]oct13!K$1,0)-VLOOKUP(Sheet1!$B38,[3]oct12!$E$3:$L$435,[3]oct12!L$1,0)</f>
        <v>0</v>
      </c>
    </row>
    <row r="39" spans="1:26" x14ac:dyDescent="0.2">
      <c r="A39" s="35" t="s">
        <v>66</v>
      </c>
      <c r="B39" s="22">
        <v>3303432</v>
      </c>
      <c r="C39" s="23" t="s">
        <v>67</v>
      </c>
      <c r="D39" s="22">
        <v>1</v>
      </c>
      <c r="E39" s="22">
        <v>30</v>
      </c>
      <c r="F39" s="24">
        <f t="shared" si="7"/>
        <v>2417.5936752937832</v>
      </c>
      <c r="G39" s="25">
        <f t="shared" si="6"/>
        <v>42307.889317641209</v>
      </c>
      <c r="H39" s="26"/>
      <c r="I39" s="31">
        <v>38</v>
      </c>
      <c r="J39" s="25">
        <v>57309.583333333328</v>
      </c>
      <c r="K39" s="36"/>
      <c r="L39" s="27">
        <f t="shared" si="1"/>
        <v>2</v>
      </c>
      <c r="M39" s="24">
        <f t="shared" si="2"/>
        <v>30</v>
      </c>
      <c r="N39" s="28">
        <v>3102.4449289631302</v>
      </c>
      <c r="O39" s="21">
        <f t="shared" si="3"/>
        <v>54292.786256854779</v>
      </c>
      <c r="P39" s="29">
        <f t="shared" si="4"/>
        <v>38780.561612039128</v>
      </c>
      <c r="Q39" s="19">
        <f>VLOOKUP(B39,[2]Sheet1!A$6:H$305,8,0)</f>
        <v>27</v>
      </c>
      <c r="R39" s="18">
        <v>27</v>
      </c>
      <c r="S39" s="21">
        <f t="shared" si="5"/>
        <v>48762</v>
      </c>
      <c r="T39">
        <f>VLOOKUP($B39,[3]oct13!$D$3:$K$244,[3]oct13!E$1,0)-VLOOKUP(Sheet1!$B39,[3]oct12!$E$3:$L$435,[3]oct12!F$1,0)</f>
        <v>-5</v>
      </c>
      <c r="U39">
        <f>VLOOKUP($B39,[3]oct13!$D$3:$K$244,[3]oct13!F$1,0)-VLOOKUP(Sheet1!$B39,[3]oct12!$E$3:$L$435,[3]oct12!G$1,0)</f>
        <v>3</v>
      </c>
      <c r="V39">
        <f>VLOOKUP($B39,[3]oct13!$D$3:$K$244,[3]oct13!G$1,0)-VLOOKUP(Sheet1!$B39,[3]oct12!$E$3:$L$435,[3]oct12!H$1,0)</f>
        <v>29</v>
      </c>
      <c r="W39">
        <f>VLOOKUP($B39,[3]oct13!$D$3:$K$244,[3]oct13!H$1,0)-VLOOKUP(Sheet1!$B39,[3]oct12!$E$3:$L$435,[3]oct12!I$1,0)</f>
        <v>0</v>
      </c>
      <c r="X39">
        <f>VLOOKUP($B39,[3]oct13!$D$3:$K$244,[3]oct13!I$1,0)-VLOOKUP(Sheet1!$B39,[3]oct12!$E$3:$L$435,[3]oct12!J$1,0)</f>
        <v>0</v>
      </c>
      <c r="Y39">
        <f>VLOOKUP($B39,[3]oct13!$D$3:$K$244,[3]oct13!J$1,0)-VLOOKUP(Sheet1!$B39,[3]oct12!$E$3:$L$435,[3]oct12!K$1,0)</f>
        <v>0</v>
      </c>
      <c r="Z39">
        <f>VLOOKUP($B39,[3]oct13!$D$3:$K$244,[3]oct13!K$1,0)-VLOOKUP(Sheet1!$B39,[3]oct12!$E$3:$L$435,[3]oct12!L$1,0)</f>
        <v>0</v>
      </c>
    </row>
    <row r="40" spans="1:26" x14ac:dyDescent="0.2">
      <c r="A40" s="37" t="s">
        <v>68</v>
      </c>
      <c r="B40" s="22">
        <v>3303434</v>
      </c>
      <c r="C40" s="23" t="s">
        <v>69</v>
      </c>
      <c r="D40" s="22">
        <v>1</v>
      </c>
      <c r="E40" s="22">
        <v>20</v>
      </c>
      <c r="F40" s="24">
        <f t="shared" si="7"/>
        <v>2417.5936752937832</v>
      </c>
      <c r="G40" s="25">
        <f t="shared" si="6"/>
        <v>28205.259545094137</v>
      </c>
      <c r="H40" s="26"/>
      <c r="I40" s="31">
        <v>41</v>
      </c>
      <c r="J40" s="25">
        <v>61107.666666666664</v>
      </c>
      <c r="K40" s="36"/>
      <c r="L40" s="27">
        <f t="shared" si="1"/>
        <v>2</v>
      </c>
      <c r="M40" s="24">
        <f t="shared" si="2"/>
        <v>20</v>
      </c>
      <c r="N40" s="28">
        <v>3102.4449289631302</v>
      </c>
      <c r="O40" s="21">
        <f t="shared" si="3"/>
        <v>36195.190837903181</v>
      </c>
      <c r="P40" s="29">
        <f t="shared" si="4"/>
        <v>25853.707741359416</v>
      </c>
      <c r="Q40" s="19"/>
      <c r="R40" s="22">
        <v>20</v>
      </c>
      <c r="S40" s="21">
        <f t="shared" si="5"/>
        <v>36120</v>
      </c>
    </row>
    <row r="41" spans="1:26" x14ac:dyDescent="0.2">
      <c r="A41" s="19" t="s">
        <v>70</v>
      </c>
      <c r="B41" s="22">
        <v>3305949</v>
      </c>
      <c r="C41" s="23" t="s">
        <v>71</v>
      </c>
      <c r="D41" s="22">
        <v>1</v>
      </c>
      <c r="E41" s="22">
        <v>30</v>
      </c>
      <c r="F41" s="24">
        <f t="shared" si="7"/>
        <v>2417.5936752937832</v>
      </c>
      <c r="G41" s="25">
        <f t="shared" si="6"/>
        <v>42307.889317641209</v>
      </c>
      <c r="H41" s="26"/>
      <c r="I41" s="31">
        <v>41</v>
      </c>
      <c r="J41" s="25">
        <v>57310.75</v>
      </c>
      <c r="L41" s="27">
        <f t="shared" si="1"/>
        <v>2</v>
      </c>
      <c r="M41" s="24">
        <f t="shared" si="2"/>
        <v>30</v>
      </c>
      <c r="N41" s="28">
        <v>3102.4449289631302</v>
      </c>
      <c r="O41" s="21">
        <f t="shared" si="3"/>
        <v>54292.786256854779</v>
      </c>
      <c r="P41" s="29">
        <f t="shared" si="4"/>
        <v>38780.561612039128</v>
      </c>
      <c r="Q41" s="19">
        <f>VLOOKUP(B41,[2]Sheet1!A$6:H$305,8,0)</f>
        <v>18</v>
      </c>
      <c r="R41" s="18">
        <v>18</v>
      </c>
      <c r="S41" s="21">
        <f t="shared" si="5"/>
        <v>32508</v>
      </c>
      <c r="T41">
        <f>VLOOKUP($B41,[3]oct13!$D$3:$K$244,[3]oct13!E$1,0)-VLOOKUP(Sheet1!$B41,[3]oct12!$E$3:$L$435,[3]oct12!F$1,0)</f>
        <v>-2</v>
      </c>
      <c r="U41">
        <f>VLOOKUP($B41,[3]oct13!$D$3:$K$244,[3]oct13!F$1,0)-VLOOKUP(Sheet1!$B41,[3]oct12!$E$3:$L$435,[3]oct12!G$1,0)</f>
        <v>-9</v>
      </c>
      <c r="V41">
        <f>VLOOKUP($B41,[3]oct13!$D$3:$K$244,[3]oct13!G$1,0)-VLOOKUP(Sheet1!$B41,[3]oct12!$E$3:$L$435,[3]oct12!H$1,0)</f>
        <v>27</v>
      </c>
      <c r="W41">
        <f>VLOOKUP($B41,[3]oct13!$D$3:$K$244,[3]oct13!H$1,0)-VLOOKUP(Sheet1!$B41,[3]oct12!$E$3:$L$435,[3]oct12!I$1,0)</f>
        <v>-10</v>
      </c>
      <c r="X41">
        <f>VLOOKUP($B41,[3]oct13!$D$3:$K$244,[3]oct13!I$1,0)-VLOOKUP(Sheet1!$B41,[3]oct12!$E$3:$L$435,[3]oct12!J$1,0)</f>
        <v>8</v>
      </c>
      <c r="Y41">
        <f>VLOOKUP($B41,[3]oct13!$D$3:$K$244,[3]oct13!J$1,0)-VLOOKUP(Sheet1!$B41,[3]oct12!$E$3:$L$435,[3]oct12!K$1,0)</f>
        <v>6</v>
      </c>
      <c r="Z41">
        <f>VLOOKUP($B41,[3]oct13!$D$3:$K$244,[3]oct13!K$1,0)-VLOOKUP(Sheet1!$B41,[3]oct12!$E$3:$L$435,[3]oct12!L$1,0)</f>
        <v>-2</v>
      </c>
    </row>
    <row r="42" spans="1:26" x14ac:dyDescent="0.2">
      <c r="A42" s="19"/>
      <c r="B42" s="18">
        <v>3304009</v>
      </c>
      <c r="C42" s="23" t="s">
        <v>72</v>
      </c>
      <c r="D42" s="22" t="s">
        <v>73</v>
      </c>
      <c r="E42" s="22">
        <v>90</v>
      </c>
      <c r="F42" s="24">
        <f t="shared" si="7"/>
        <v>3058.5206008211508</v>
      </c>
      <c r="G42" s="25">
        <v>0</v>
      </c>
      <c r="H42" s="26"/>
      <c r="I42" s="31">
        <v>0</v>
      </c>
      <c r="J42" s="25">
        <v>0</v>
      </c>
      <c r="L42" s="27">
        <v>1</v>
      </c>
      <c r="M42" s="24">
        <f t="shared" si="2"/>
        <v>90</v>
      </c>
      <c r="N42" s="28">
        <v>3102.4449289631302</v>
      </c>
      <c r="O42" s="21">
        <f t="shared" si="3"/>
        <v>162878.35877056437</v>
      </c>
      <c r="P42" s="29">
        <f t="shared" si="4"/>
        <v>116341.68483611741</v>
      </c>
      <c r="Q42" s="19">
        <f>VLOOKUP(B42,[2]Sheet1!A$6:H$305,8,0)</f>
        <v>123</v>
      </c>
      <c r="R42" s="18">
        <v>106</v>
      </c>
      <c r="S42" s="21">
        <f t="shared" si="5"/>
        <v>191436</v>
      </c>
    </row>
    <row r="43" spans="1:26" ht="15" x14ac:dyDescent="0.25">
      <c r="A43" s="19"/>
      <c r="B43" s="22">
        <v>3302246</v>
      </c>
      <c r="C43" s="23" t="s">
        <v>74</v>
      </c>
      <c r="D43" s="22"/>
      <c r="E43" s="22"/>
      <c r="F43" s="24"/>
      <c r="G43" s="25"/>
      <c r="H43" s="26"/>
      <c r="I43" s="31"/>
      <c r="J43" s="25"/>
      <c r="L43" s="27"/>
      <c r="M43" s="24"/>
      <c r="N43" s="28"/>
      <c r="O43" s="21"/>
      <c r="P43" s="29"/>
      <c r="Q43">
        <v>69</v>
      </c>
      <c r="R43" s="58">
        <v>24</v>
      </c>
      <c r="S43" s="21">
        <f t="shared" ref="S43:S57" si="8">+$S$10*R43/12*7</f>
        <v>43344</v>
      </c>
      <c r="T43">
        <f>VLOOKUP($B43,[3]oct13!$D$3:$K$244,[3]oct13!E$1,0)-VLOOKUP(Sheet1!$B43,[3]oct12!$E$3:$L$435,[3]oct12!F$1,0)</f>
        <v>26.5</v>
      </c>
      <c r="U43">
        <f>VLOOKUP($B43,[3]oct13!$D$3:$K$244,[3]oct13!F$1,0)-VLOOKUP(Sheet1!$B43,[3]oct12!$E$3:$L$435,[3]oct12!G$1,0)</f>
        <v>0</v>
      </c>
      <c r="V43">
        <f>VLOOKUP($B43,[3]oct13!$D$3:$K$244,[3]oct13!G$1,0)-VLOOKUP(Sheet1!$B43,[3]oct12!$E$3:$L$435,[3]oct12!H$1,0)</f>
        <v>4</v>
      </c>
      <c r="W43">
        <f>VLOOKUP($B43,[3]oct13!$D$3:$K$244,[3]oct13!H$1,0)-VLOOKUP(Sheet1!$B43,[3]oct12!$E$3:$L$435,[3]oct12!I$1,0)</f>
        <v>4</v>
      </c>
      <c r="X43">
        <f>VLOOKUP($B43,[3]oct13!$D$3:$K$244,[3]oct13!I$1,0)-VLOOKUP(Sheet1!$B43,[3]oct12!$E$3:$L$435,[3]oct12!J$1,0)</f>
        <v>-6</v>
      </c>
      <c r="Y43">
        <f>VLOOKUP($B43,[3]oct13!$D$3:$K$244,[3]oct13!J$1,0)-VLOOKUP(Sheet1!$B43,[3]oct12!$E$3:$L$435,[3]oct12!K$1,0)</f>
        <v>0</v>
      </c>
      <c r="Z43">
        <f>VLOOKUP($B43,[3]oct13!$D$3:$K$244,[3]oct13!K$1,0)-VLOOKUP(Sheet1!$B43,[3]oct12!$E$3:$L$435,[3]oct12!L$1,0)</f>
        <v>19</v>
      </c>
    </row>
    <row r="44" spans="1:26" ht="15" x14ac:dyDescent="0.25">
      <c r="A44" s="19"/>
      <c r="B44" s="22">
        <v>3302079</v>
      </c>
      <c r="C44" s="23" t="s">
        <v>75</v>
      </c>
      <c r="D44" s="22"/>
      <c r="E44" s="22"/>
      <c r="F44" s="24"/>
      <c r="G44" s="25"/>
      <c r="H44" s="26"/>
      <c r="I44" s="31"/>
      <c r="J44" s="25"/>
      <c r="L44" s="27"/>
      <c r="M44" s="24"/>
      <c r="N44" s="28"/>
      <c r="O44" s="21"/>
      <c r="P44" s="29"/>
      <c r="Q44">
        <v>60</v>
      </c>
      <c r="R44" s="58">
        <v>30</v>
      </c>
      <c r="S44" s="21">
        <f t="shared" si="8"/>
        <v>54180</v>
      </c>
      <c r="T44">
        <f>VLOOKUP($B44,[3]oct13!$D$3:$K$244,[3]oct13!E$1,0)-VLOOKUP(Sheet1!$B44,[3]oct12!$E$3:$L$435,[3]oct12!F$1,0)</f>
        <v>15</v>
      </c>
      <c r="U44">
        <f>VLOOKUP($B44,[3]oct13!$D$3:$K$244,[3]oct13!F$1,0)-VLOOKUP(Sheet1!$B44,[3]oct12!$E$3:$L$435,[3]oct12!G$1,0)</f>
        <v>16</v>
      </c>
      <c r="V44">
        <f>VLOOKUP($B44,[3]oct13!$D$3:$K$244,[3]oct13!G$1,0)-VLOOKUP(Sheet1!$B44,[3]oct12!$E$3:$L$435,[3]oct12!H$1,0)</f>
        <v>5</v>
      </c>
      <c r="W44">
        <f>VLOOKUP($B44,[3]oct13!$D$3:$K$244,[3]oct13!H$1,0)-VLOOKUP(Sheet1!$B44,[3]oct12!$E$3:$L$435,[3]oct12!I$1,0)</f>
        <v>-7</v>
      </c>
      <c r="X44">
        <f>VLOOKUP($B44,[3]oct13!$D$3:$K$244,[3]oct13!I$1,0)-VLOOKUP(Sheet1!$B44,[3]oct12!$E$3:$L$435,[3]oct12!J$1,0)</f>
        <v>6</v>
      </c>
      <c r="Y44">
        <f>VLOOKUP($B44,[3]oct13!$D$3:$K$244,[3]oct13!J$1,0)-VLOOKUP(Sheet1!$B44,[3]oct12!$E$3:$L$435,[3]oct12!K$1,0)</f>
        <v>13</v>
      </c>
      <c r="Z44">
        <f>VLOOKUP($B44,[3]oct13!$D$3:$K$244,[3]oct13!K$1,0)-VLOOKUP(Sheet1!$B44,[3]oct12!$E$3:$L$435,[3]oct12!L$1,0)</f>
        <v>12</v>
      </c>
    </row>
    <row r="45" spans="1:26" ht="15" x14ac:dyDescent="0.25">
      <c r="A45" s="19"/>
      <c r="B45" s="22">
        <v>3302480</v>
      </c>
      <c r="C45" s="23" t="s">
        <v>76</v>
      </c>
      <c r="D45" s="22"/>
      <c r="E45" s="22"/>
      <c r="F45" s="24"/>
      <c r="G45" s="25"/>
      <c r="H45" s="26"/>
      <c r="I45" s="31"/>
      <c r="J45" s="25"/>
      <c r="L45" s="27"/>
      <c r="M45" s="24"/>
      <c r="N45" s="28"/>
      <c r="O45" s="21"/>
      <c r="P45" s="29"/>
      <c r="Q45">
        <v>40</v>
      </c>
      <c r="R45" s="58">
        <v>30</v>
      </c>
      <c r="S45" s="21">
        <f t="shared" si="8"/>
        <v>54180</v>
      </c>
      <c r="T45">
        <f>VLOOKUP($B45,[3]oct13!$D$3:$K$244,[3]oct13!E$1,0)-VLOOKUP(Sheet1!$B45,[3]oct12!$E$3:$L$435,[3]oct12!F$1,0)</f>
        <v>0</v>
      </c>
      <c r="U45">
        <f>VLOOKUP($B45,[3]oct13!$D$3:$K$244,[3]oct13!F$1,0)-VLOOKUP(Sheet1!$B45,[3]oct12!$E$3:$L$435,[3]oct12!G$1,0)</f>
        <v>0</v>
      </c>
      <c r="V45">
        <f>VLOOKUP($B45,[3]oct13!$D$3:$K$244,[3]oct13!G$1,0)-VLOOKUP(Sheet1!$B45,[3]oct12!$E$3:$L$435,[3]oct12!H$1,0)</f>
        <v>3</v>
      </c>
      <c r="W45">
        <f>VLOOKUP($B45,[3]oct13!$D$3:$K$244,[3]oct13!H$1,0)-VLOOKUP(Sheet1!$B45,[3]oct12!$E$3:$L$435,[3]oct12!I$1,0)</f>
        <v>7</v>
      </c>
      <c r="X45">
        <f>VLOOKUP($B45,[3]oct13!$D$3:$K$244,[3]oct13!I$1,0)-VLOOKUP(Sheet1!$B45,[3]oct12!$E$3:$L$435,[3]oct12!J$1,0)</f>
        <v>-6</v>
      </c>
      <c r="Y45">
        <f>VLOOKUP($B45,[3]oct13!$D$3:$K$244,[3]oct13!J$1,0)-VLOOKUP(Sheet1!$B45,[3]oct12!$E$3:$L$435,[3]oct12!K$1,0)</f>
        <v>17</v>
      </c>
      <c r="Z45">
        <f>VLOOKUP($B45,[3]oct13!$D$3:$K$244,[3]oct13!K$1,0)-VLOOKUP(Sheet1!$B45,[3]oct12!$E$3:$L$435,[3]oct12!L$1,0)</f>
        <v>19</v>
      </c>
    </row>
    <row r="46" spans="1:26" ht="15" x14ac:dyDescent="0.25">
      <c r="A46" s="19"/>
      <c r="B46" s="22">
        <v>3302021</v>
      </c>
      <c r="C46" s="23" t="s">
        <v>77</v>
      </c>
      <c r="D46" s="22"/>
      <c r="E46" s="22"/>
      <c r="F46" s="24"/>
      <c r="G46" s="25"/>
      <c r="H46" s="26"/>
      <c r="I46" s="31"/>
      <c r="J46" s="25"/>
      <c r="L46" s="27"/>
      <c r="M46" s="24"/>
      <c r="N46" s="28"/>
      <c r="O46" s="21"/>
      <c r="P46" s="29"/>
      <c r="Q46">
        <v>37</v>
      </c>
      <c r="R46" s="58">
        <v>24</v>
      </c>
      <c r="S46" s="21">
        <f t="shared" si="8"/>
        <v>43344</v>
      </c>
      <c r="T46">
        <f>VLOOKUP($B46,[3]oct13!$D$3:$K$244,[3]oct13!E$1,0)-VLOOKUP(Sheet1!$B46,[3]oct12!$E$3:$L$435,[3]oct12!F$1,0)</f>
        <v>24</v>
      </c>
      <c r="U46">
        <f>VLOOKUP($B46,[3]oct13!$D$3:$K$244,[3]oct13!F$1,0)-VLOOKUP(Sheet1!$B46,[3]oct12!$E$3:$L$435,[3]oct12!G$1,0)</f>
        <v>1</v>
      </c>
      <c r="V46">
        <f>VLOOKUP($B46,[3]oct13!$D$3:$K$244,[3]oct13!G$1,0)-VLOOKUP(Sheet1!$B46,[3]oct12!$E$3:$L$435,[3]oct12!H$1,0)</f>
        <v>-1</v>
      </c>
      <c r="W46">
        <f>VLOOKUP($B46,[3]oct13!$D$3:$K$244,[3]oct13!H$1,0)-VLOOKUP(Sheet1!$B46,[3]oct12!$E$3:$L$435,[3]oct12!I$1,0)</f>
        <v>2</v>
      </c>
      <c r="X46">
        <f>VLOOKUP($B46,[3]oct13!$D$3:$K$244,[3]oct13!I$1,0)-VLOOKUP(Sheet1!$B46,[3]oct12!$E$3:$L$435,[3]oct12!J$1,0)</f>
        <v>0</v>
      </c>
      <c r="Y46">
        <f>VLOOKUP($B46,[3]oct13!$D$3:$K$244,[3]oct13!J$1,0)-VLOOKUP(Sheet1!$B46,[3]oct12!$E$3:$L$435,[3]oct12!K$1,0)</f>
        <v>1</v>
      </c>
      <c r="Z46">
        <f>VLOOKUP($B46,[3]oct13!$D$3:$K$244,[3]oct13!K$1,0)-VLOOKUP(Sheet1!$B46,[3]oct12!$E$3:$L$435,[3]oct12!L$1,0)</f>
        <v>6</v>
      </c>
    </row>
    <row r="47" spans="1:26" ht="15" x14ac:dyDescent="0.25">
      <c r="A47" s="19"/>
      <c r="B47" s="22">
        <v>3302087</v>
      </c>
      <c r="C47" s="23" t="s">
        <v>78</v>
      </c>
      <c r="D47" s="22"/>
      <c r="E47" s="22"/>
      <c r="F47" s="24"/>
      <c r="G47" s="25"/>
      <c r="H47" s="26"/>
      <c r="I47" s="31"/>
      <c r="J47" s="25"/>
      <c r="L47" s="27"/>
      <c r="M47" s="24"/>
      <c r="N47" s="28"/>
      <c r="O47" s="21"/>
      <c r="P47" s="29"/>
      <c r="Q47">
        <v>34</v>
      </c>
      <c r="R47" s="58">
        <v>30</v>
      </c>
      <c r="S47" s="21">
        <f t="shared" si="8"/>
        <v>54180</v>
      </c>
      <c r="T47">
        <f>VLOOKUP($B47,[3]oct13!$D$3:$K$244,[3]oct13!E$1,0)-VLOOKUP(Sheet1!$B47,[3]oct12!$E$3:$L$435,[3]oct12!F$1,0)</f>
        <v>30</v>
      </c>
      <c r="U47">
        <f>VLOOKUP($B47,[3]oct13!$D$3:$K$244,[3]oct13!F$1,0)-VLOOKUP(Sheet1!$B47,[3]oct12!$E$3:$L$435,[3]oct12!G$1,0)</f>
        <v>2</v>
      </c>
      <c r="V47">
        <f>VLOOKUP($B47,[3]oct13!$D$3:$K$244,[3]oct13!G$1,0)-VLOOKUP(Sheet1!$B47,[3]oct12!$E$3:$L$435,[3]oct12!H$1,0)</f>
        <v>-15</v>
      </c>
      <c r="W47">
        <f>VLOOKUP($B47,[3]oct13!$D$3:$K$244,[3]oct13!H$1,0)-VLOOKUP(Sheet1!$B47,[3]oct12!$E$3:$L$435,[3]oct12!I$1,0)</f>
        <v>1</v>
      </c>
      <c r="X47">
        <f>VLOOKUP($B47,[3]oct13!$D$3:$K$244,[3]oct13!I$1,0)-VLOOKUP(Sheet1!$B47,[3]oct12!$E$3:$L$435,[3]oct12!J$1,0)</f>
        <v>13</v>
      </c>
      <c r="Y47">
        <f>VLOOKUP($B47,[3]oct13!$D$3:$K$244,[3]oct13!J$1,0)-VLOOKUP(Sheet1!$B47,[3]oct12!$E$3:$L$435,[3]oct12!K$1,0)</f>
        <v>-3</v>
      </c>
      <c r="Z47">
        <f>VLOOKUP($B47,[3]oct13!$D$3:$K$244,[3]oct13!K$1,0)-VLOOKUP(Sheet1!$B47,[3]oct12!$E$3:$L$435,[3]oct12!L$1,0)</f>
        <v>6</v>
      </c>
    </row>
    <row r="48" spans="1:26" ht="15" x14ac:dyDescent="0.25">
      <c r="A48" s="19"/>
      <c r="B48" s="22">
        <v>3302011</v>
      </c>
      <c r="C48" s="23" t="s">
        <v>79</v>
      </c>
      <c r="D48" s="22"/>
      <c r="E48" s="22"/>
      <c r="F48" s="24"/>
      <c r="G48" s="25"/>
      <c r="H48" s="26"/>
      <c r="I48" s="31"/>
      <c r="J48" s="25"/>
      <c r="L48" s="27"/>
      <c r="M48" s="24"/>
      <c r="N48" s="28"/>
      <c r="O48" s="21"/>
      <c r="P48" s="29"/>
      <c r="Q48">
        <v>32</v>
      </c>
      <c r="R48" s="58">
        <v>29</v>
      </c>
      <c r="S48" s="21">
        <f t="shared" si="8"/>
        <v>52374</v>
      </c>
      <c r="T48">
        <f>VLOOKUP($B48,[3]oct13!$D$3:$K$244,[3]oct13!E$1,0)-VLOOKUP(Sheet1!$B48,[3]oct12!$E$3:$L$435,[3]oct12!F$1,0)</f>
        <v>1</v>
      </c>
      <c r="U48">
        <f>VLOOKUP($B48,[3]oct13!$D$3:$K$244,[3]oct13!F$1,0)-VLOOKUP(Sheet1!$B48,[3]oct12!$E$3:$L$435,[3]oct12!G$1,0)</f>
        <v>2</v>
      </c>
      <c r="V48">
        <f>VLOOKUP($B48,[3]oct13!$D$3:$K$244,[3]oct13!G$1,0)-VLOOKUP(Sheet1!$B48,[3]oct12!$E$3:$L$435,[3]oct12!H$1,0)</f>
        <v>1</v>
      </c>
      <c r="W48">
        <f>VLOOKUP($B48,[3]oct13!$D$3:$K$244,[3]oct13!H$1,0)-VLOOKUP(Sheet1!$B48,[3]oct12!$E$3:$L$435,[3]oct12!I$1,0)</f>
        <v>-2</v>
      </c>
      <c r="X48">
        <f>VLOOKUP($B48,[3]oct13!$D$3:$K$244,[3]oct13!I$1,0)-VLOOKUP(Sheet1!$B48,[3]oct12!$E$3:$L$435,[3]oct12!J$1,0)</f>
        <v>2</v>
      </c>
      <c r="Y48">
        <f>VLOOKUP($B48,[3]oct13!$D$3:$K$244,[3]oct13!J$1,0)-VLOOKUP(Sheet1!$B48,[3]oct12!$E$3:$L$435,[3]oct12!K$1,0)</f>
        <v>-1</v>
      </c>
      <c r="Z48">
        <f>VLOOKUP($B48,[3]oct13!$D$3:$K$244,[3]oct13!K$1,0)-VLOOKUP(Sheet1!$B48,[3]oct12!$E$3:$L$435,[3]oct12!L$1,0)</f>
        <v>29</v>
      </c>
    </row>
    <row r="49" spans="1:26" ht="15" x14ac:dyDescent="0.25">
      <c r="A49" s="19"/>
      <c r="B49" s="22">
        <v>3302443</v>
      </c>
      <c r="C49" s="23" t="s">
        <v>80</v>
      </c>
      <c r="D49" s="22"/>
      <c r="E49" s="22"/>
      <c r="F49" s="24"/>
      <c r="G49" s="25"/>
      <c r="H49" s="26"/>
      <c r="I49" s="31"/>
      <c r="J49" s="25"/>
      <c r="L49" s="27"/>
      <c r="M49" s="24"/>
      <c r="N49" s="28"/>
      <c r="O49" s="21"/>
      <c r="P49" s="29"/>
      <c r="Q49">
        <v>32</v>
      </c>
      <c r="R49" s="58">
        <v>17</v>
      </c>
      <c r="S49" s="21">
        <f t="shared" si="8"/>
        <v>30702</v>
      </c>
      <c r="T49">
        <f>VLOOKUP($B49,[3]oct13!$D$3:$K$244,[3]oct13!E$1,0)-VLOOKUP(Sheet1!$B49,[3]oct12!$E$3:$L$435,[3]oct12!F$1,0)</f>
        <v>5</v>
      </c>
      <c r="U49">
        <f>VLOOKUP($B49,[3]oct13!$D$3:$K$244,[3]oct13!F$1,0)-VLOOKUP(Sheet1!$B49,[3]oct12!$E$3:$L$435,[3]oct12!G$1,0)</f>
        <v>-1</v>
      </c>
      <c r="V49">
        <f>VLOOKUP($B49,[3]oct13!$D$3:$K$244,[3]oct13!G$1,0)-VLOOKUP(Sheet1!$B49,[3]oct12!$E$3:$L$435,[3]oct12!H$1,0)</f>
        <v>7</v>
      </c>
      <c r="W49">
        <f>VLOOKUP($B49,[3]oct13!$D$3:$K$244,[3]oct13!H$1,0)-VLOOKUP(Sheet1!$B49,[3]oct12!$E$3:$L$435,[3]oct12!I$1,0)</f>
        <v>7</v>
      </c>
      <c r="X49">
        <f>VLOOKUP($B49,[3]oct13!$D$3:$K$244,[3]oct13!I$1,0)-VLOOKUP(Sheet1!$B49,[3]oct12!$E$3:$L$435,[3]oct12!J$1,0)</f>
        <v>-1</v>
      </c>
      <c r="Y49">
        <f>VLOOKUP($B49,[3]oct13!$D$3:$K$244,[3]oct13!J$1,0)-VLOOKUP(Sheet1!$B49,[3]oct12!$E$3:$L$435,[3]oct12!K$1,0)</f>
        <v>17</v>
      </c>
      <c r="Z49">
        <f>VLOOKUP($B49,[3]oct13!$D$3:$K$244,[3]oct13!K$1,0)-VLOOKUP(Sheet1!$B49,[3]oct12!$E$3:$L$435,[3]oct12!L$1,0)</f>
        <v>-2</v>
      </c>
    </row>
    <row r="50" spans="1:26" ht="15" x14ac:dyDescent="0.25">
      <c r="A50" s="19"/>
      <c r="B50" s="22">
        <v>3302092</v>
      </c>
      <c r="C50" s="23" t="s">
        <v>81</v>
      </c>
      <c r="D50" s="22"/>
      <c r="E50" s="22"/>
      <c r="F50" s="24"/>
      <c r="G50" s="25"/>
      <c r="H50" s="26"/>
      <c r="I50" s="31"/>
      <c r="J50" s="25"/>
      <c r="L50" s="27"/>
      <c r="M50" s="24"/>
      <c r="N50" s="28"/>
      <c r="O50" s="21"/>
      <c r="P50" s="29"/>
      <c r="Q50">
        <v>30</v>
      </c>
      <c r="R50" s="58">
        <v>30</v>
      </c>
      <c r="S50" s="21">
        <f t="shared" si="8"/>
        <v>54180</v>
      </c>
      <c r="T50">
        <f>VLOOKUP($B50,[3]oct13!$D$3:$K$244,[3]oct13!E$1,0)-VLOOKUP(Sheet1!$B50,[3]oct12!$E$3:$L$435,[3]oct12!F$1,0)</f>
        <v>0</v>
      </c>
      <c r="U50">
        <f>VLOOKUP($B50,[3]oct13!$D$3:$K$244,[3]oct13!F$1,0)-VLOOKUP(Sheet1!$B50,[3]oct12!$E$3:$L$435,[3]oct12!G$1,0)</f>
        <v>0</v>
      </c>
      <c r="V50">
        <f>VLOOKUP($B50,[3]oct13!$D$3:$K$244,[3]oct13!G$1,0)-VLOOKUP(Sheet1!$B50,[3]oct12!$E$3:$L$435,[3]oct12!H$1,0)</f>
        <v>0</v>
      </c>
      <c r="W50">
        <f>VLOOKUP($B50,[3]oct13!$D$3:$K$244,[3]oct13!H$1,0)-VLOOKUP(Sheet1!$B50,[3]oct12!$E$3:$L$435,[3]oct12!I$1,0)</f>
        <v>30</v>
      </c>
      <c r="X50">
        <f>VLOOKUP($B50,[3]oct13!$D$3:$K$244,[3]oct13!I$1,0)-VLOOKUP(Sheet1!$B50,[3]oct12!$E$3:$L$435,[3]oct12!J$1,0)</f>
        <v>0</v>
      </c>
      <c r="Y50">
        <f>VLOOKUP($B50,[3]oct13!$D$3:$K$244,[3]oct13!J$1,0)-VLOOKUP(Sheet1!$B50,[3]oct12!$E$3:$L$435,[3]oct12!K$1,0)</f>
        <v>0</v>
      </c>
      <c r="Z50">
        <f>VLOOKUP($B50,[3]oct13!$D$3:$K$244,[3]oct13!K$1,0)-VLOOKUP(Sheet1!$B50,[3]oct12!$E$3:$L$435,[3]oct12!L$1,0)</f>
        <v>0</v>
      </c>
    </row>
    <row r="51" spans="1:26" ht="15" x14ac:dyDescent="0.25">
      <c r="A51" s="19"/>
      <c r="B51" s="22">
        <v>3302053</v>
      </c>
      <c r="C51" s="23" t="s">
        <v>82</v>
      </c>
      <c r="D51" s="22"/>
      <c r="E51" s="22"/>
      <c r="F51" s="24"/>
      <c r="G51" s="25"/>
      <c r="H51" s="26"/>
      <c r="I51" s="31"/>
      <c r="J51" s="25"/>
      <c r="L51" s="27"/>
      <c r="M51" s="24"/>
      <c r="N51" s="28"/>
      <c r="O51" s="21"/>
      <c r="P51" s="29"/>
      <c r="Q51">
        <v>28</v>
      </c>
      <c r="R51" s="58">
        <v>28</v>
      </c>
      <c r="S51" s="21">
        <f t="shared" si="8"/>
        <v>50568</v>
      </c>
      <c r="T51">
        <f>VLOOKUP($B51,[3]oct13!$D$3:$K$244,[3]oct13!E$1,0)-VLOOKUP(Sheet1!$B51,[3]oct12!$E$3:$L$435,[3]oct12!F$1,0)</f>
        <v>0</v>
      </c>
      <c r="U51">
        <f>VLOOKUP($B51,[3]oct13!$D$3:$K$244,[3]oct13!F$1,0)-VLOOKUP(Sheet1!$B51,[3]oct12!$E$3:$L$435,[3]oct12!G$1,0)</f>
        <v>0</v>
      </c>
      <c r="V51">
        <f>VLOOKUP($B51,[3]oct13!$D$3:$K$244,[3]oct13!G$1,0)-VLOOKUP(Sheet1!$B51,[3]oct12!$E$3:$L$435,[3]oct12!H$1,0)</f>
        <v>0</v>
      </c>
      <c r="W51">
        <f>VLOOKUP($B51,[3]oct13!$D$3:$K$244,[3]oct13!H$1,0)-VLOOKUP(Sheet1!$B51,[3]oct12!$E$3:$L$435,[3]oct12!I$1,0)</f>
        <v>29</v>
      </c>
      <c r="X51">
        <f>VLOOKUP($B51,[3]oct13!$D$3:$K$244,[3]oct13!I$1,0)-VLOOKUP(Sheet1!$B51,[3]oct12!$E$3:$L$435,[3]oct12!J$1,0)</f>
        <v>-1</v>
      </c>
      <c r="Y51">
        <f>VLOOKUP($B51,[3]oct13!$D$3:$K$244,[3]oct13!J$1,0)-VLOOKUP(Sheet1!$B51,[3]oct12!$E$3:$L$435,[3]oct12!K$1,0)</f>
        <v>0</v>
      </c>
      <c r="Z51">
        <f>VLOOKUP($B51,[3]oct13!$D$3:$K$244,[3]oct13!K$1,0)-VLOOKUP(Sheet1!$B51,[3]oct12!$E$3:$L$435,[3]oct12!L$1,0)</f>
        <v>0</v>
      </c>
    </row>
    <row r="52" spans="1:26" ht="15" x14ac:dyDescent="0.25">
      <c r="A52" s="19"/>
      <c r="B52" s="22">
        <v>3303350</v>
      </c>
      <c r="C52" s="23" t="s">
        <v>83</v>
      </c>
      <c r="D52" s="22"/>
      <c r="E52" s="22"/>
      <c r="F52" s="24"/>
      <c r="G52" s="25"/>
      <c r="H52" s="26"/>
      <c r="I52" s="31"/>
      <c r="J52" s="25"/>
      <c r="L52" s="27"/>
      <c r="M52" s="24"/>
      <c r="N52" s="28"/>
      <c r="O52" s="21"/>
      <c r="P52" s="29"/>
      <c r="Q52">
        <v>27</v>
      </c>
      <c r="R52" s="58">
        <v>23</v>
      </c>
      <c r="S52" s="21">
        <f t="shared" si="8"/>
        <v>41538</v>
      </c>
      <c r="T52">
        <f>VLOOKUP($B52,[3]oct13!$D$3:$K$244,[3]oct13!E$1,0)-VLOOKUP(Sheet1!$B52,[3]oct12!$E$3:$L$435,[3]oct12!F$1,0)</f>
        <v>2</v>
      </c>
      <c r="U52">
        <f>VLOOKUP($B52,[3]oct13!$D$3:$K$244,[3]oct13!F$1,0)-VLOOKUP(Sheet1!$B52,[3]oct12!$E$3:$L$435,[3]oct12!G$1,0)</f>
        <v>-4</v>
      </c>
      <c r="V52">
        <f>VLOOKUP($B52,[3]oct13!$D$3:$K$244,[3]oct13!G$1,0)-VLOOKUP(Sheet1!$B52,[3]oct12!$E$3:$L$435,[3]oct12!H$1,0)</f>
        <v>4</v>
      </c>
      <c r="W52">
        <f>VLOOKUP($B52,[3]oct13!$D$3:$K$244,[3]oct13!H$1,0)-VLOOKUP(Sheet1!$B52,[3]oct12!$E$3:$L$435,[3]oct12!I$1,0)</f>
        <v>4</v>
      </c>
      <c r="X52">
        <f>VLOOKUP($B52,[3]oct13!$D$3:$K$244,[3]oct13!I$1,0)-VLOOKUP(Sheet1!$B52,[3]oct12!$E$3:$L$435,[3]oct12!J$1,0)</f>
        <v>-4</v>
      </c>
      <c r="Y52">
        <f>VLOOKUP($B52,[3]oct13!$D$3:$K$244,[3]oct13!J$1,0)-VLOOKUP(Sheet1!$B52,[3]oct12!$E$3:$L$435,[3]oct12!K$1,0)</f>
        <v>2</v>
      </c>
      <c r="Z52">
        <f>VLOOKUP($B52,[3]oct13!$D$3:$K$244,[3]oct13!K$1,0)-VLOOKUP(Sheet1!$B52,[3]oct12!$E$3:$L$435,[3]oct12!L$1,0)</f>
        <v>23</v>
      </c>
    </row>
    <row r="53" spans="1:26" ht="15" x14ac:dyDescent="0.25">
      <c r="A53" s="19"/>
      <c r="B53" s="22">
        <v>3302469</v>
      </c>
      <c r="C53" s="23" t="s">
        <v>84</v>
      </c>
      <c r="D53" s="22"/>
      <c r="E53" s="22"/>
      <c r="F53" s="24"/>
      <c r="G53" s="25"/>
      <c r="H53" s="26"/>
      <c r="I53" s="31"/>
      <c r="J53" s="25"/>
      <c r="L53" s="27"/>
      <c r="M53" s="24"/>
      <c r="N53" s="28"/>
      <c r="O53" s="21"/>
      <c r="P53" s="29"/>
      <c r="Q53">
        <v>26</v>
      </c>
      <c r="R53" s="58">
        <v>15</v>
      </c>
      <c r="S53" s="21">
        <f t="shared" si="8"/>
        <v>27090</v>
      </c>
      <c r="T53">
        <f>VLOOKUP($B53,[3]oct13!$D$3:$K$244,[3]oct13!E$1,0)-VLOOKUP(Sheet1!$B53,[3]oct12!$E$3:$L$435,[3]oct12!F$1,0)</f>
        <v>9</v>
      </c>
      <c r="U53">
        <f>VLOOKUP($B53,[3]oct13!$D$3:$K$244,[3]oct13!F$1,0)-VLOOKUP(Sheet1!$B53,[3]oct12!$E$3:$L$435,[3]oct12!G$1,0)</f>
        <v>7</v>
      </c>
      <c r="V53">
        <f>VLOOKUP($B53,[3]oct13!$D$3:$K$244,[3]oct13!G$1,0)-VLOOKUP(Sheet1!$B53,[3]oct12!$E$3:$L$435,[3]oct12!H$1,0)</f>
        <v>-1</v>
      </c>
      <c r="W53">
        <f>VLOOKUP($B53,[3]oct13!$D$3:$K$244,[3]oct13!H$1,0)-VLOOKUP(Sheet1!$B53,[3]oct12!$E$3:$L$435,[3]oct12!I$1,0)</f>
        <v>7</v>
      </c>
      <c r="X53">
        <f>VLOOKUP($B53,[3]oct13!$D$3:$K$244,[3]oct13!I$1,0)-VLOOKUP(Sheet1!$B53,[3]oct12!$E$3:$L$435,[3]oct12!J$1,0)</f>
        <v>-11</v>
      </c>
      <c r="Y53">
        <f>VLOOKUP($B53,[3]oct13!$D$3:$K$244,[3]oct13!J$1,0)-VLOOKUP(Sheet1!$B53,[3]oct12!$E$3:$L$435,[3]oct12!K$1,0)</f>
        <v>17</v>
      </c>
      <c r="Z53">
        <f>VLOOKUP($B53,[3]oct13!$D$3:$K$244,[3]oct13!K$1,0)-VLOOKUP(Sheet1!$B53,[3]oct12!$E$3:$L$435,[3]oct12!L$1,0)</f>
        <v>-2</v>
      </c>
    </row>
    <row r="54" spans="1:26" ht="15" x14ac:dyDescent="0.25">
      <c r="A54" s="19"/>
      <c r="B54" s="22">
        <v>3303359</v>
      </c>
      <c r="C54" s="23" t="s">
        <v>85</v>
      </c>
      <c r="D54" s="22"/>
      <c r="E54" s="22"/>
      <c r="F54" s="24"/>
      <c r="G54" s="25"/>
      <c r="H54" s="26"/>
      <c r="I54" s="31"/>
      <c r="J54" s="25"/>
      <c r="L54" s="27"/>
      <c r="M54" s="24"/>
      <c r="N54" s="28"/>
      <c r="O54" s="21"/>
      <c r="P54" s="29"/>
      <c r="Q54">
        <v>25</v>
      </c>
      <c r="R54" s="58">
        <v>20</v>
      </c>
      <c r="S54" s="21">
        <f t="shared" si="8"/>
        <v>36120</v>
      </c>
      <c r="T54">
        <f>VLOOKUP($B54,[3]oct13!$D$3:$K$244,[3]oct13!E$1,0)-VLOOKUP(Sheet1!$B54,[3]oct12!$E$3:$L$435,[3]oct12!F$1,0)</f>
        <v>6</v>
      </c>
      <c r="U54">
        <f>VLOOKUP($B54,[3]oct13!$D$3:$K$244,[3]oct13!F$1,0)-VLOOKUP(Sheet1!$B54,[3]oct12!$E$3:$L$435,[3]oct12!G$1,0)</f>
        <v>20</v>
      </c>
      <c r="V54">
        <f>VLOOKUP($B54,[3]oct13!$D$3:$K$244,[3]oct13!G$1,0)-VLOOKUP(Sheet1!$B54,[3]oct12!$E$3:$L$435,[3]oct12!H$1,0)</f>
        <v>-1</v>
      </c>
      <c r="W54">
        <f>VLOOKUP($B54,[3]oct13!$D$3:$K$244,[3]oct13!H$1,0)-VLOOKUP(Sheet1!$B54,[3]oct12!$E$3:$L$435,[3]oct12!I$1,0)</f>
        <v>1</v>
      </c>
      <c r="X54">
        <f>VLOOKUP($B54,[3]oct13!$D$3:$K$244,[3]oct13!I$1,0)-VLOOKUP(Sheet1!$B54,[3]oct12!$E$3:$L$435,[3]oct12!J$1,0)</f>
        <v>-2</v>
      </c>
      <c r="Y54">
        <f>VLOOKUP($B54,[3]oct13!$D$3:$K$244,[3]oct13!J$1,0)-VLOOKUP(Sheet1!$B54,[3]oct12!$E$3:$L$435,[3]oct12!K$1,0)</f>
        <v>-1</v>
      </c>
      <c r="Z54">
        <f>VLOOKUP($B54,[3]oct13!$D$3:$K$244,[3]oct13!K$1,0)-VLOOKUP(Sheet1!$B54,[3]oct12!$E$3:$L$435,[3]oct12!L$1,0)</f>
        <v>1</v>
      </c>
    </row>
    <row r="55" spans="1:26" ht="15" x14ac:dyDescent="0.25">
      <c r="A55" s="19"/>
      <c r="B55" s="22">
        <v>3302227</v>
      </c>
      <c r="C55" s="23" t="s">
        <v>86</v>
      </c>
      <c r="D55" s="22"/>
      <c r="E55" s="22"/>
      <c r="F55" s="24"/>
      <c r="G55" s="25"/>
      <c r="H55" s="26"/>
      <c r="I55" s="31"/>
      <c r="J55" s="25"/>
      <c r="L55" s="27"/>
      <c r="M55" s="24"/>
      <c r="N55" s="28"/>
      <c r="O55" s="21"/>
      <c r="P55" s="29"/>
      <c r="Q55">
        <v>24</v>
      </c>
      <c r="R55" s="58">
        <v>15</v>
      </c>
      <c r="S55" s="21">
        <f t="shared" si="8"/>
        <v>27090</v>
      </c>
      <c r="T55">
        <f>VLOOKUP($B55,[3]oct13!$D$3:$K$244,[3]oct13!E$1,0)-VLOOKUP(Sheet1!$B55,[3]oct12!$E$3:$L$435,[3]oct12!F$1,0)</f>
        <v>17</v>
      </c>
      <c r="U55">
        <f>VLOOKUP($B55,[3]oct13!$D$3:$K$244,[3]oct13!F$1,0)-VLOOKUP(Sheet1!$B55,[3]oct12!$E$3:$L$435,[3]oct12!G$1,0)</f>
        <v>0</v>
      </c>
      <c r="V55">
        <f>VLOOKUP($B55,[3]oct13!$D$3:$K$244,[3]oct13!G$1,0)-VLOOKUP(Sheet1!$B55,[3]oct12!$E$3:$L$435,[3]oct12!H$1,0)</f>
        <v>0</v>
      </c>
      <c r="W55">
        <f>VLOOKUP($B55,[3]oct13!$D$3:$K$244,[3]oct13!H$1,0)-VLOOKUP(Sheet1!$B55,[3]oct12!$E$3:$L$435,[3]oct12!I$1,0)</f>
        <v>-1</v>
      </c>
      <c r="X55">
        <f>VLOOKUP($B55,[3]oct13!$D$3:$K$244,[3]oct13!I$1,0)-VLOOKUP(Sheet1!$B55,[3]oct12!$E$3:$L$435,[3]oct12!J$1,0)</f>
        <v>4</v>
      </c>
      <c r="Y55">
        <f>VLOOKUP($B55,[3]oct13!$D$3:$K$244,[3]oct13!J$1,0)-VLOOKUP(Sheet1!$B55,[3]oct12!$E$3:$L$435,[3]oct12!K$1,0)</f>
        <v>0</v>
      </c>
      <c r="Z55">
        <f>VLOOKUP($B55,[3]oct13!$D$3:$K$244,[3]oct13!K$1,0)-VLOOKUP(Sheet1!$B55,[3]oct12!$E$3:$L$435,[3]oct12!L$1,0)</f>
        <v>4</v>
      </c>
    </row>
    <row r="56" spans="1:26" ht="15" x14ac:dyDescent="0.25">
      <c r="A56" s="19"/>
      <c r="B56" s="22">
        <v>3302153</v>
      </c>
      <c r="C56" s="23" t="s">
        <v>87</v>
      </c>
      <c r="D56" s="22"/>
      <c r="E56" s="22"/>
      <c r="F56" s="24"/>
      <c r="G56" s="25"/>
      <c r="H56" s="26"/>
      <c r="I56" s="31"/>
      <c r="J56" s="25"/>
      <c r="L56" s="27"/>
      <c r="M56" s="24"/>
      <c r="N56" s="28"/>
      <c r="O56" s="21"/>
      <c r="P56" s="29"/>
      <c r="Q56">
        <v>22</v>
      </c>
      <c r="R56" s="58">
        <v>21</v>
      </c>
      <c r="S56" s="21">
        <f t="shared" si="8"/>
        <v>37926</v>
      </c>
      <c r="T56">
        <f>VLOOKUP($B56,[3]oct13!$D$3:$K$244,[3]oct13!E$1,0)-VLOOKUP(Sheet1!$B56,[3]oct12!$E$3:$L$435,[3]oct12!F$1,0)</f>
        <v>21</v>
      </c>
      <c r="U56">
        <f>VLOOKUP($B56,[3]oct13!$D$3:$K$244,[3]oct13!F$1,0)-VLOOKUP(Sheet1!$B56,[3]oct12!$E$3:$L$435,[3]oct12!G$1,0)</f>
        <v>0</v>
      </c>
      <c r="V56">
        <f>VLOOKUP($B56,[3]oct13!$D$3:$K$244,[3]oct13!G$1,0)-VLOOKUP(Sheet1!$B56,[3]oct12!$E$3:$L$435,[3]oct12!H$1,0)</f>
        <v>2</v>
      </c>
      <c r="W56">
        <f>VLOOKUP($B56,[3]oct13!$D$3:$K$244,[3]oct13!H$1,0)-VLOOKUP(Sheet1!$B56,[3]oct12!$E$3:$L$435,[3]oct12!I$1,0)</f>
        <v>2</v>
      </c>
      <c r="X56">
        <f>VLOOKUP($B56,[3]oct13!$D$3:$K$244,[3]oct13!I$1,0)-VLOOKUP(Sheet1!$B56,[3]oct12!$E$3:$L$435,[3]oct12!J$1,0)</f>
        <v>-4</v>
      </c>
      <c r="Y56">
        <f>VLOOKUP($B56,[3]oct13!$D$3:$K$244,[3]oct13!J$1,0)-VLOOKUP(Sheet1!$B56,[3]oct12!$E$3:$L$435,[3]oct12!K$1,0)</f>
        <v>1</v>
      </c>
      <c r="Z56">
        <f>VLOOKUP($B56,[3]oct13!$D$3:$K$244,[3]oct13!K$1,0)-VLOOKUP(Sheet1!$B56,[3]oct12!$E$3:$L$435,[3]oct12!L$1,0)</f>
        <v>-1</v>
      </c>
    </row>
    <row r="57" spans="1:26" ht="15" x14ac:dyDescent="0.25">
      <c r="A57" s="19"/>
      <c r="B57" s="22">
        <v>3302002</v>
      </c>
      <c r="C57" s="23" t="s">
        <v>88</v>
      </c>
      <c r="D57" s="22"/>
      <c r="E57" s="22"/>
      <c r="F57" s="24"/>
      <c r="G57" s="25"/>
      <c r="H57" s="26"/>
      <c r="I57" s="31"/>
      <c r="J57" s="25"/>
      <c r="L57" s="27"/>
      <c r="M57" s="24"/>
      <c r="N57" s="28"/>
      <c r="O57" s="21"/>
      <c r="P57" s="29"/>
      <c r="Q57">
        <v>21</v>
      </c>
      <c r="R57" s="58">
        <v>21</v>
      </c>
      <c r="S57" s="21">
        <f t="shared" si="8"/>
        <v>37926</v>
      </c>
      <c r="T57">
        <f>VLOOKUP($B57,[3]oct13!$D$3:$K$244,[3]oct13!E$1,0)-VLOOKUP(Sheet1!$B57,[3]oct12!$E$3:$L$435,[3]oct12!F$1,0)</f>
        <v>5</v>
      </c>
      <c r="U57">
        <f>VLOOKUP($B57,[3]oct13!$D$3:$K$244,[3]oct13!F$1,0)-VLOOKUP(Sheet1!$B57,[3]oct12!$E$3:$L$435,[3]oct12!G$1,0)</f>
        <v>1</v>
      </c>
      <c r="V57">
        <f>VLOOKUP($B57,[3]oct13!$D$3:$K$244,[3]oct13!G$1,0)-VLOOKUP(Sheet1!$B57,[3]oct12!$E$3:$L$435,[3]oct12!H$1,0)</f>
        <v>-1</v>
      </c>
      <c r="W57">
        <f>VLOOKUP($B57,[3]oct13!$D$3:$K$244,[3]oct13!H$1,0)-VLOOKUP(Sheet1!$B57,[3]oct12!$E$3:$L$435,[3]oct12!I$1,0)</f>
        <v>-12</v>
      </c>
      <c r="X57">
        <f>VLOOKUP($B57,[3]oct13!$D$3:$K$244,[3]oct13!I$1,0)-VLOOKUP(Sheet1!$B57,[3]oct12!$E$3:$L$435,[3]oct12!J$1,0)</f>
        <v>22</v>
      </c>
      <c r="Y57">
        <f>VLOOKUP($B57,[3]oct13!$D$3:$K$244,[3]oct13!J$1,0)-VLOOKUP(Sheet1!$B57,[3]oct12!$E$3:$L$435,[3]oct12!K$1,0)</f>
        <v>4</v>
      </c>
      <c r="Z57">
        <f>VLOOKUP($B57,[3]oct13!$D$3:$K$244,[3]oct13!K$1,0)-VLOOKUP(Sheet1!$B57,[3]oct12!$E$3:$L$435,[3]oct12!L$1,0)</f>
        <v>2</v>
      </c>
    </row>
    <row r="58" spans="1:26" ht="15" x14ac:dyDescent="0.25">
      <c r="A58" s="19"/>
      <c r="B58" s="22"/>
      <c r="C58" s="23" t="s">
        <v>92</v>
      </c>
      <c r="D58" s="22"/>
      <c r="E58" s="22"/>
      <c r="F58" s="24"/>
      <c r="G58" s="25"/>
      <c r="H58" s="26"/>
      <c r="I58" s="31"/>
      <c r="J58" s="25"/>
      <c r="L58" s="27"/>
      <c r="M58" s="24"/>
      <c r="N58" s="28"/>
      <c r="O58" s="21"/>
      <c r="P58" s="29"/>
      <c r="R58" s="58">
        <v>56</v>
      </c>
      <c r="S58" s="21">
        <v>174458</v>
      </c>
    </row>
    <row r="59" spans="1:26" ht="15" x14ac:dyDescent="0.25">
      <c r="A59" s="19"/>
      <c r="B59" s="22"/>
      <c r="C59" s="38" t="s">
        <v>91</v>
      </c>
      <c r="D59" s="22"/>
      <c r="E59" s="22"/>
      <c r="F59" s="24"/>
      <c r="G59" s="25"/>
      <c r="H59" s="26"/>
      <c r="I59" s="31"/>
      <c r="J59" s="25"/>
      <c r="L59" s="27"/>
      <c r="M59" s="24"/>
      <c r="N59" s="28"/>
      <c r="O59" s="21"/>
      <c r="P59" s="29"/>
      <c r="R59" s="58">
        <v>115</v>
      </c>
      <c r="S59" s="21">
        <f>+$S$10*R59/12*5</f>
        <v>148350</v>
      </c>
    </row>
    <row r="60" spans="1:26" ht="15.75" thickBot="1" x14ac:dyDescent="0.3">
      <c r="A60" s="19"/>
      <c r="B60" s="39"/>
      <c r="C60" s="56" t="s">
        <v>90</v>
      </c>
      <c r="D60" s="39"/>
      <c r="E60" s="39"/>
      <c r="F60" s="40"/>
      <c r="G60" s="41"/>
      <c r="H60" s="42"/>
      <c r="I60" s="43"/>
      <c r="J60" s="41"/>
      <c r="K60" s="44"/>
      <c r="L60" s="45"/>
      <c r="M60" s="40"/>
      <c r="N60" s="46"/>
      <c r="O60" s="47"/>
      <c r="P60" s="48"/>
      <c r="Q60" s="44"/>
      <c r="R60" s="59">
        <v>435</v>
      </c>
      <c r="S60" s="47">
        <f>+$S$10*R60/12*2</f>
        <v>224460</v>
      </c>
    </row>
    <row r="61" spans="1:26" ht="15" x14ac:dyDescent="0.25">
      <c r="A61" s="18"/>
      <c r="B61" s="22"/>
      <c r="C61" s="49"/>
      <c r="D61" s="22"/>
      <c r="E61" s="22"/>
      <c r="F61" s="24"/>
      <c r="G61" s="26"/>
      <c r="H61" s="26"/>
      <c r="I61" s="26"/>
      <c r="J61" s="26"/>
      <c r="K61" s="18"/>
      <c r="L61" s="2"/>
      <c r="M61" s="24"/>
      <c r="N61" s="28"/>
      <c r="O61" s="24"/>
      <c r="P61" s="50"/>
      <c r="Q61" s="18"/>
      <c r="R61" s="60"/>
      <c r="S61" s="24"/>
    </row>
    <row r="62" spans="1:26" ht="21.75" customHeight="1" thickBot="1" x14ac:dyDescent="0.25">
      <c r="G62" s="51">
        <f>SUM(G11:G42)</f>
        <v>831517.16487973835</v>
      </c>
      <c r="H62" s="52"/>
      <c r="J62" s="51">
        <f>SUM(J11:J42)</f>
        <v>1495391.3333333333</v>
      </c>
      <c r="O62" s="51">
        <f>SUM(O11:O61)</f>
        <v>1773564.351057257</v>
      </c>
      <c r="P62" s="51">
        <f>SUM(P11:P61)</f>
        <v>1266831.6793266111</v>
      </c>
      <c r="Q62" s="51">
        <f>SUM(Q11:Q61)</f>
        <v>1524</v>
      </c>
      <c r="R62" s="51">
        <f>SUM(R11:R61)</f>
        <v>2067</v>
      </c>
      <c r="S62" s="57">
        <f>SUM(S11:S61)</f>
        <v>3308384</v>
      </c>
    </row>
    <row r="63" spans="1:26" ht="13.5" thickTop="1" x14ac:dyDescent="0.2"/>
    <row r="64" spans="1:26" x14ac:dyDescent="0.2">
      <c r="A64" t="s">
        <v>89</v>
      </c>
      <c r="N64" s="29"/>
      <c r="O64" s="36">
        <f>+O62*10%</f>
        <v>177356.43510572572</v>
      </c>
    </row>
    <row r="65" spans="2:17" x14ac:dyDescent="0.2">
      <c r="B65" t="s">
        <v>95</v>
      </c>
    </row>
    <row r="66" spans="2:17" ht="18" customHeight="1" thickBot="1" x14ac:dyDescent="0.25">
      <c r="B66" t="s">
        <v>96</v>
      </c>
      <c r="O66" s="53">
        <f>+O62+O64</f>
        <v>1950920.7861629827</v>
      </c>
      <c r="Q66">
        <f>+Q62*S10/12*7</f>
        <v>2752344</v>
      </c>
    </row>
    <row r="67" spans="2:17" x14ac:dyDescent="0.2">
      <c r="B67" t="s">
        <v>97</v>
      </c>
    </row>
    <row r="68" spans="2:17" x14ac:dyDescent="0.2">
      <c r="B68" t="s">
        <v>98</v>
      </c>
    </row>
    <row r="76" spans="2:17" x14ac:dyDescent="0.2">
      <c r="E76">
        <v>1</v>
      </c>
      <c r="F76" s="54">
        <v>2417.5936752937832</v>
      </c>
    </row>
    <row r="77" spans="2:17" x14ac:dyDescent="0.2">
      <c r="E77">
        <v>2</v>
      </c>
      <c r="F77" s="54">
        <v>2417.5936752937823</v>
      </c>
    </row>
    <row r="78" spans="2:17" x14ac:dyDescent="0.2">
      <c r="E78">
        <v>3</v>
      </c>
      <c r="F78" s="54">
        <v>2406.0652817108112</v>
      </c>
    </row>
    <row r="79" spans="2:17" x14ac:dyDescent="0.2">
      <c r="E79">
        <v>4</v>
      </c>
      <c r="F79" s="54">
        <v>2406.0652817108116</v>
      </c>
    </row>
    <row r="80" spans="2:17" x14ac:dyDescent="0.2">
      <c r="E80">
        <v>5</v>
      </c>
      <c r="F80" s="54">
        <v>2406.0652817108116</v>
      </c>
    </row>
    <row r="81" spans="5:6" x14ac:dyDescent="0.2">
      <c r="E81">
        <v>6</v>
      </c>
      <c r="F81" s="54">
        <v>2406.0652817108116</v>
      </c>
    </row>
    <row r="82" spans="5:6" x14ac:dyDescent="0.2">
      <c r="E82" t="s">
        <v>73</v>
      </c>
      <c r="F82" s="54">
        <v>3058.5206008211508</v>
      </c>
    </row>
  </sheetData>
  <mergeCells count="5">
    <mergeCell ref="D8:G8"/>
    <mergeCell ref="I8:J8"/>
    <mergeCell ref="L8:O8"/>
    <mergeCell ref="Q8:S8"/>
    <mergeCell ref="T8:Z8"/>
  </mergeCells>
  <pageMargins left="0.31496062992125984" right="0.19685039370078741" top="0.23622047244094491" bottom="0.41" header="0.23622047244094491" footer="0.25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Service Birmingham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 Phillips</dc:creator>
  <cp:lastModifiedBy>Anil Nayyar</cp:lastModifiedBy>
  <cp:lastPrinted>2013-11-28T07:38:58Z</cp:lastPrinted>
  <dcterms:created xsi:type="dcterms:W3CDTF">2013-11-25T14:56:36Z</dcterms:created>
  <dcterms:modified xsi:type="dcterms:W3CDTF">2013-12-06T11:04:12Z</dcterms:modified>
</cp:coreProperties>
</file>