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0" sheetId="1" r:id="rId4"/>
  </sheets>
  <definedNames/>
  <calcPr calcId="124519" calcMode="auto" fullCalcOnLoad="1"/>
</workbook>
</file>

<file path=xl/comments1.xml><?xml version="1.0" encoding="utf-8"?>
<comments xmlns="http://schemas.openxmlformats.org/spreadsheetml/2006/main">
  <authors>
    <author>JUP</author>
  </authors>
  <commentLis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Ukinuta stavka</t>
        </r>
      </text>
    </comment>
  </commentList>
</comments>
</file>

<file path=xl/sharedStrings.xml><?xml version="1.0" encoding="utf-8"?>
<sst xmlns="http://schemas.openxmlformats.org/spreadsheetml/2006/main" uniqueCount="57">
  <si>
    <t>Rb</t>
  </si>
  <si>
    <t>Id narudžbine</t>
  </si>
  <si>
    <t>Katalog</t>
  </si>
  <si>
    <t>Kataloški broj</t>
  </si>
  <si>
    <t>Opis dobra</t>
  </si>
  <si>
    <t>Količina</t>
  </si>
  <si>
    <t>Jedinična cena</t>
  </si>
  <si>
    <t>Ukupna cena</t>
  </si>
  <si>
    <t>Naziv institucije - mesto isporuke</t>
  </si>
  <si>
    <t>Adresa - mesto isporuke</t>
  </si>
  <si>
    <t>Primalac isporuke</t>
  </si>
  <si>
    <t>Email</t>
  </si>
  <si>
    <t>Noack</t>
  </si>
  <si>
    <t>#G-CEL500</t>
  </si>
  <si>
    <t xml:space="preserve">Celite, acid-washed, pre-ashed, Megazyme, CAS: 68855-54-9, 500 g  </t>
  </si>
  <si>
    <t>Институт за прехрамбене технологије у Новом Саду</t>
  </si>
  <si>
    <t>Булевар цара Лазара 1 21000 Нови Сад</t>
  </si>
  <si>
    <t>Анамарија Мандић</t>
  </si>
  <si>
    <t>anamarija.mandic@fins.uns.ac.rs</t>
  </si>
  <si>
    <t>#MEGK-PHYT</t>
  </si>
  <si>
    <t xml:space="preserve">Phytic Acid/Total Phosphorus Assay Kit -50 testova </t>
  </si>
  <si>
    <t>Пољопривредни факултет у Зубином Потоку</t>
  </si>
  <si>
    <t>(нулл)</t>
  </si>
  <si>
    <t>Десимир Кнежевић</t>
  </si>
  <si>
    <t>deskoa@ptt.rs</t>
  </si>
  <si>
    <t>#MEGK-BGLU</t>
  </si>
  <si>
    <t xml:space="preserve">Beta-Glucan (Mixed Linkage) Assay Kit-100 testova </t>
  </si>
  <si>
    <t>#MMM6420</t>
  </si>
  <si>
    <t xml:space="preserve">Petri film ( 3M Petrifilm ) Enterobacteriaceae </t>
  </si>
  <si>
    <t>Пољопривредни факултет у Новом Саду</t>
  </si>
  <si>
    <t>Трг Доситеја Обрадовића 8 21000 Нови Сад</t>
  </si>
  <si>
    <t>Сава Бунчић</t>
  </si>
  <si>
    <t>buncic_sava@hotmail.com</t>
  </si>
  <si>
    <t xml:space="preserve">#MMM6434 </t>
  </si>
  <si>
    <t xml:space="preserve">Petri film ( 3M Petrifilm ) Selective E. coli </t>
  </si>
  <si>
    <t>#MMM6400</t>
  </si>
  <si>
    <t xml:space="preserve">Petri film ( 3M Petrifilm ) Aerobic count </t>
  </si>
  <si>
    <t>#BK 191 HA</t>
  </si>
  <si>
    <t xml:space="preserve">MSRV Agar (ISO 6579), 500g </t>
  </si>
  <si>
    <t>Факултет техничких наука у Новом Саду</t>
  </si>
  <si>
    <t>Трг Доситеја Обрадовића 6 21000 Нови Сад</t>
  </si>
  <si>
    <t>Душан Миловановић</t>
  </si>
  <si>
    <t>dusanmilovanovic@uns.ac.rs</t>
  </si>
  <si>
    <t>#BS 056 08</t>
  </si>
  <si>
    <t xml:space="preserve">Novobiocin Supplement (40 mg) </t>
  </si>
  <si>
    <t>#BK 168 HA</t>
  </si>
  <si>
    <t xml:space="preserve">XLD agar (ISO 6579, manadatory selective agar), 500g </t>
  </si>
  <si>
    <t>#BK 091 HA</t>
  </si>
  <si>
    <t xml:space="preserve">Brilliant green agar (Edel and Kampelmacher), 500g </t>
  </si>
  <si>
    <t>#BM 066 08</t>
  </si>
  <si>
    <t xml:space="preserve">COMPASS  Salmonella plate, 20 ploca </t>
  </si>
  <si>
    <t>#NEO 8610</t>
  </si>
  <si>
    <t xml:space="preserve">Veratox® for Ochratoxin, competitive EIA 2-25ppb </t>
  </si>
  <si>
    <t>Технолошки факултет у Новом Саду</t>
  </si>
  <si>
    <t>Булевар Цара Лазара 1 21000 Нови Сад</t>
  </si>
  <si>
    <t>Катарина Канурић (девој. Дураковић)</t>
  </si>
  <si>
    <t>stay@uns.ac.rs</t>
  </si>
</sst>
</file>

<file path=xl/styles.xml><?xml version="1.0" encoding="utf-8"?>
<styleSheet xmlns="http://schemas.openxmlformats.org/spreadsheetml/2006/main" xml:space="preserve">
  <numFmts count="1">
    <numFmt numFmtId="164" formatCode="_-* #,##0.00\ _-;\-* #,##0.00\ _-;_-* &quot;-&quot;??\ _-;_-@_-"/>
  </numFmts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D2DAE4"/>
        <bgColor rgb="FFFFFFFF"/>
      </patternFill>
    </fill>
  </fills>
  <borders count="4">
    <border/>
    <border>
      <left style="hair">
        <color rgb="FFBFBFBF"/>
      </left>
      <right style="hair">
        <color rgb="FFBFBFBF"/>
      </right>
      <bottom style="hair">
        <color rgb="FFBFBFBF"/>
      </bottom>
    </border>
    <border>
      <left style="hair">
        <color rgb="FFBFBFBF"/>
      </left>
      <bottom style="hair">
        <color rgb="FFBFBFBF"/>
      </bottom>
    </border>
    <border>
      <right style="hair">
        <color rgb="FFBFBFBF"/>
      </right>
      <bottom style="hair">
        <color rgb="FFBFBFBF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top" textRotation="0" wrapText="true" shrinkToFit="false"/>
    </xf>
    <xf xfId="0" fontId="1" numFmtId="0" fillId="3" borderId="1" applyFont="1" applyNumberFormat="0" applyFill="1" applyBorder="1" applyAlignment="1">
      <alignment horizontal="left" vertical="top" textRotation="0" wrapText="true" shrinkToFit="false"/>
    </xf>
    <xf xfId="0" fontId="1" numFmtId="0" fillId="3" borderId="2" applyFont="1" applyNumberFormat="0" applyFill="1" applyBorder="1" applyAlignment="1">
      <alignment horizontal="left" vertical="top" textRotation="0" wrapText="true" shrinkToFit="false"/>
    </xf>
    <xf xfId="0" fontId="1" numFmtId="1" fillId="3" borderId="3" applyFont="1" applyNumberFormat="1" applyFill="1" applyBorder="1" applyAlignment="1">
      <alignment horizontal="left" vertical="top" textRotation="0" wrapText="true" shrinkToFit="false"/>
    </xf>
    <xf xfId="0" fontId="1" numFmtId="1" fillId="3" borderId="1" applyFont="1" applyNumberFormat="1" applyFill="1" applyBorder="1" applyAlignment="1">
      <alignment horizontal="left" vertical="top" textRotation="0" wrapText="true" shrinkToFit="false"/>
    </xf>
    <xf xfId="0" fontId="0" numFmtId="1" fillId="2" borderId="0" applyFont="0" applyNumberFormat="1" applyFill="0" applyBorder="0" applyAlignment="1">
      <alignment horizontal="left" vertical="top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top" textRotation="0" wrapText="true" shrinkToFit="false"/>
      <protection hidden="false"/>
    </xf>
    <xf xfId="0" fontId="0" numFmtId="2" fillId="2" borderId="0" applyFont="0" applyNumberFormat="1" applyFill="0" applyBorder="0" applyAlignment="1" applyProtection="true">
      <alignment horizontal="left" vertical="top" textRotation="0" wrapText="true" shrinkToFit="false"/>
      <protection hidden="false"/>
    </xf>
    <xf xfId="0" fontId="0" numFmtId="164" fillId="2" borderId="0" applyFont="0" applyNumberFormat="1" applyFill="0" applyBorder="0" applyAlignment="1" applyProtection="true">
      <alignment horizontal="left" vertical="top" textRotation="0" wrapText="true" shrinkToFit="false"/>
      <protection hidden="false"/>
    </xf>
    <xf xfId="0" fontId="0" numFmtId="164" fillId="2" borderId="0" applyFont="0" applyNumberFormat="1" applyFill="0" applyBorder="0" applyAlignment="1" applyProtection="true">
      <alignment horizontal="left" vertical="top" textRotation="0" wrapText="true" shrinkToFit="false"/>
      <protection locked="fals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HF1.vml.rels><?xml version="1.0" encoding="UTF-8" standalone="yes"?>
<Relationships xmlns="http://schemas.openxmlformats.org/package/2006/relationships"><Relationship Id="rIdLH" Type="http://schemas.openxmlformats.org/officeDocument/2006/relationships/image" Target="../media/image10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_headerfooter_vml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4"/>
  <sheetViews>
    <sheetView tabSelected="1" workbookViewId="0" showGridLines="true" showRowColHeaders="1"/>
  </sheetViews>
  <sheetFormatPr defaultRowHeight="12.75" outlineLevelRow="0" outlineLevelCol="0"/>
  <cols>
    <col min="1" max="1" width="5.5703125" customWidth="true" style="7"/>
    <col min="2" max="2" width="8.140625" customWidth="true" style="7"/>
    <col min="3" max="3" width="20" customWidth="true" style="2"/>
    <col min="4" max="4" width="16.28515625" customWidth="true" style="2"/>
    <col min="5" max="5" width="25.140625" customWidth="true" style="2"/>
    <col min="6" max="6" width="9.5703125" customWidth="true" style="2"/>
    <col min="7" max="7" width="12.7109375" customWidth="true" style="2"/>
    <col min="8" max="8" width="12.7109375" customWidth="true" style="2"/>
    <col min="9" max="9" width="22.28515625" customWidth="true" style="2"/>
    <col min="10" max="10" width="20.42578125" customWidth="true" style="2"/>
    <col min="11" max="11" width="17.85546875" customWidth="true" style="2"/>
    <col min="12" max="12" width="16.85546875" customWidth="true" style="2"/>
  </cols>
  <sheetData>
    <row r="1" spans="1:12" customHeight="1" ht="45" s="1" customFormat="1">
      <c r="A1" s="5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>
      <c r="A2" s="8">
        <v>1</v>
      </c>
      <c r="B2" s="8">
        <v>72819</v>
      </c>
      <c r="C2" s="8" t="s">
        <v>12</v>
      </c>
      <c r="D2" s="8" t="s">
        <v>13</v>
      </c>
      <c r="E2" s="8" t="s">
        <v>14</v>
      </c>
      <c r="F2" s="9">
        <v>1</v>
      </c>
      <c r="G2" s="11"/>
      <c r="H2" s="10" t="str">
        <f>F2*G2</f>
        <v>0</v>
      </c>
      <c r="I2" s="8" t="s">
        <v>15</v>
      </c>
      <c r="J2" s="8" t="s">
        <v>16</v>
      </c>
      <c r="K2" s="8" t="s">
        <v>17</v>
      </c>
      <c r="L2" s="8" t="s">
        <v>18</v>
      </c>
    </row>
    <row r="3" spans="1:12">
      <c r="A3" s="8">
        <v>2</v>
      </c>
      <c r="B3" s="8">
        <v>74387</v>
      </c>
      <c r="C3" s="8" t="s">
        <v>12</v>
      </c>
      <c r="D3" s="8" t="s">
        <v>19</v>
      </c>
      <c r="E3" s="8" t="s">
        <v>20</v>
      </c>
      <c r="F3" s="9">
        <v>1</v>
      </c>
      <c r="G3" s="11"/>
      <c r="H3" s="10" t="str">
        <f>F3*G3</f>
        <v>0</v>
      </c>
      <c r="I3" s="8" t="s">
        <v>21</v>
      </c>
      <c r="J3" s="8" t="s">
        <v>22</v>
      </c>
      <c r="K3" s="8" t="s">
        <v>23</v>
      </c>
      <c r="L3" s="8" t="s">
        <v>24</v>
      </c>
    </row>
    <row r="4" spans="1:12">
      <c r="A4" s="8">
        <v>3</v>
      </c>
      <c r="B4" s="8">
        <v>74388</v>
      </c>
      <c r="C4" s="8" t="s">
        <v>12</v>
      </c>
      <c r="D4" s="8" t="s">
        <v>25</v>
      </c>
      <c r="E4" s="8" t="s">
        <v>26</v>
      </c>
      <c r="F4" s="9">
        <v>1</v>
      </c>
      <c r="G4" s="11"/>
      <c r="H4" s="10" t="str">
        <f>F4*G4</f>
        <v>0</v>
      </c>
      <c r="I4" s="8" t="s">
        <v>21</v>
      </c>
      <c r="J4" s="8" t="s">
        <v>22</v>
      </c>
      <c r="K4" s="8" t="s">
        <v>23</v>
      </c>
      <c r="L4" s="8" t="s">
        <v>24</v>
      </c>
    </row>
    <row r="5" spans="1:12">
      <c r="A5" s="8">
        <v>4</v>
      </c>
      <c r="B5" s="8">
        <v>80025</v>
      </c>
      <c r="C5" s="8" t="s">
        <v>12</v>
      </c>
      <c r="D5" s="8" t="s">
        <v>27</v>
      </c>
      <c r="E5" s="8" t="s">
        <v>28</v>
      </c>
      <c r="F5" s="9">
        <v>4</v>
      </c>
      <c r="G5" s="11"/>
      <c r="H5" s="10" t="str">
        <f>F5*G5</f>
        <v>0</v>
      </c>
      <c r="I5" s="8" t="s">
        <v>29</v>
      </c>
      <c r="J5" s="8" t="s">
        <v>30</v>
      </c>
      <c r="K5" s="8" t="s">
        <v>31</v>
      </c>
      <c r="L5" s="8" t="s">
        <v>32</v>
      </c>
    </row>
    <row r="6" spans="1:12">
      <c r="A6" s="8">
        <v>5</v>
      </c>
      <c r="B6" s="8">
        <v>80026</v>
      </c>
      <c r="C6" s="8" t="s">
        <v>12</v>
      </c>
      <c r="D6" s="8" t="s">
        <v>33</v>
      </c>
      <c r="E6" s="8" t="s">
        <v>34</v>
      </c>
      <c r="F6" s="9">
        <v>4</v>
      </c>
      <c r="G6" s="11"/>
      <c r="H6" s="10" t="str">
        <f>F6*G6</f>
        <v>0</v>
      </c>
      <c r="I6" s="8" t="s">
        <v>29</v>
      </c>
      <c r="J6" s="8" t="s">
        <v>30</v>
      </c>
      <c r="K6" s="8" t="s">
        <v>31</v>
      </c>
      <c r="L6" s="8" t="s">
        <v>32</v>
      </c>
    </row>
    <row r="7" spans="1:12">
      <c r="A7" s="8">
        <v>6</v>
      </c>
      <c r="B7" s="8">
        <v>80027</v>
      </c>
      <c r="C7" s="8" t="s">
        <v>12</v>
      </c>
      <c r="D7" s="8" t="s">
        <v>35</v>
      </c>
      <c r="E7" s="8" t="s">
        <v>36</v>
      </c>
      <c r="F7" s="9">
        <v>4</v>
      </c>
      <c r="G7" s="11"/>
      <c r="H7" s="10" t="str">
        <f>F7*G7</f>
        <v>0</v>
      </c>
      <c r="I7" s="8" t="s">
        <v>29</v>
      </c>
      <c r="J7" s="8" t="s">
        <v>30</v>
      </c>
      <c r="K7" s="8" t="s">
        <v>31</v>
      </c>
      <c r="L7" s="8" t="s">
        <v>32</v>
      </c>
    </row>
    <row r="8" spans="1:12">
      <c r="A8" s="8">
        <v>7</v>
      </c>
      <c r="B8" s="8">
        <v>81799</v>
      </c>
      <c r="C8" s="8" t="s">
        <v>12</v>
      </c>
      <c r="D8" s="8" t="s">
        <v>37</v>
      </c>
      <c r="E8" s="8" t="s">
        <v>38</v>
      </c>
      <c r="F8" s="9">
        <v>1</v>
      </c>
      <c r="G8" s="11"/>
      <c r="H8" s="10" t="str">
        <f>F8*G8</f>
        <v>0</v>
      </c>
      <c r="I8" s="8" t="s">
        <v>39</v>
      </c>
      <c r="J8" s="8" t="s">
        <v>40</v>
      </c>
      <c r="K8" s="8" t="s">
        <v>41</v>
      </c>
      <c r="L8" s="8" t="s">
        <v>42</v>
      </c>
    </row>
    <row r="9" spans="1:12">
      <c r="A9" s="8">
        <v>8</v>
      </c>
      <c r="B9" s="8">
        <v>81800</v>
      </c>
      <c r="C9" s="8" t="s">
        <v>12</v>
      </c>
      <c r="D9" s="8" t="s">
        <v>43</v>
      </c>
      <c r="E9" s="8" t="s">
        <v>44</v>
      </c>
      <c r="F9" s="9">
        <v>1</v>
      </c>
      <c r="G9" s="11"/>
      <c r="H9" s="10" t="str">
        <f>F9*G9</f>
        <v>0</v>
      </c>
      <c r="I9" s="8" t="s">
        <v>39</v>
      </c>
      <c r="J9" s="8" t="s">
        <v>40</v>
      </c>
      <c r="K9" s="8" t="s">
        <v>41</v>
      </c>
      <c r="L9" s="8" t="s">
        <v>42</v>
      </c>
    </row>
    <row r="10" spans="1:12">
      <c r="A10" s="8">
        <v>9</v>
      </c>
      <c r="B10" s="8">
        <v>81801</v>
      </c>
      <c r="C10" s="8" t="s">
        <v>12</v>
      </c>
      <c r="D10" s="8" t="s">
        <v>45</v>
      </c>
      <c r="E10" s="8" t="s">
        <v>46</v>
      </c>
      <c r="F10" s="9">
        <v>1</v>
      </c>
      <c r="G10" s="11"/>
      <c r="H10" s="10" t="str">
        <f>F10*G10</f>
        <v>0</v>
      </c>
      <c r="I10" s="8" t="s">
        <v>39</v>
      </c>
      <c r="J10" s="8" t="s">
        <v>40</v>
      </c>
      <c r="K10" s="8" t="s">
        <v>41</v>
      </c>
      <c r="L10" s="8" t="s">
        <v>42</v>
      </c>
    </row>
    <row r="11" spans="1:12">
      <c r="A11" s="8">
        <v>10</v>
      </c>
      <c r="B11" s="8">
        <v>81802</v>
      </c>
      <c r="C11" s="8" t="s">
        <v>12</v>
      </c>
      <c r="D11" s="8" t="s">
        <v>47</v>
      </c>
      <c r="E11" s="8" t="s">
        <v>48</v>
      </c>
      <c r="F11" s="9">
        <v>1</v>
      </c>
      <c r="G11" s="11"/>
      <c r="H11" s="10" t="str">
        <f>F11*G11</f>
        <v>0</v>
      </c>
      <c r="I11" s="8" t="s">
        <v>39</v>
      </c>
      <c r="J11" s="8" t="s">
        <v>40</v>
      </c>
      <c r="K11" s="8" t="s">
        <v>41</v>
      </c>
      <c r="L11" s="8" t="s">
        <v>42</v>
      </c>
    </row>
    <row r="12" spans="1:12">
      <c r="A12" s="8">
        <v>11</v>
      </c>
      <c r="B12" s="8">
        <v>81803</v>
      </c>
      <c r="C12" s="8" t="s">
        <v>12</v>
      </c>
      <c r="D12" s="8" t="s">
        <v>49</v>
      </c>
      <c r="E12" s="8" t="s">
        <v>50</v>
      </c>
      <c r="F12" s="9">
        <v>2</v>
      </c>
      <c r="G12" s="11"/>
      <c r="H12" s="10" t="str">
        <f>F12*G12</f>
        <v>0</v>
      </c>
      <c r="I12" s="8" t="s">
        <v>39</v>
      </c>
      <c r="J12" s="8" t="s">
        <v>40</v>
      </c>
      <c r="K12" s="8" t="s">
        <v>41</v>
      </c>
      <c r="L12" s="8" t="s">
        <v>42</v>
      </c>
    </row>
    <row r="13" spans="1:12">
      <c r="A13" s="8">
        <v>12</v>
      </c>
      <c r="B13" s="8">
        <v>85588</v>
      </c>
      <c r="C13" s="8" t="s">
        <v>12</v>
      </c>
      <c r="D13" s="8" t="s">
        <v>51</v>
      </c>
      <c r="E13" s="8" t="s">
        <v>52</v>
      </c>
      <c r="F13" s="9">
        <v>0</v>
      </c>
      <c r="G13" s="11"/>
      <c r="H13" s="10" t="str">
        <f>F13*G13</f>
        <v>0</v>
      </c>
      <c r="I13" s="8" t="s">
        <v>53</v>
      </c>
      <c r="J13" s="8" t="s">
        <v>54</v>
      </c>
      <c r="K13" s="8" t="s">
        <v>55</v>
      </c>
      <c r="L13" s="8" t="s">
        <v>56</v>
      </c>
    </row>
    <row r="14" spans="1:12">
      <c r="A14"/>
      <c r="B14"/>
      <c r="C14"/>
      <c r="D14"/>
      <c r="E14"/>
      <c r="F14"/>
      <c r="G14"/>
      <c r="H14"/>
      <c r="I14"/>
      <c r="J14"/>
      <c r="K14"/>
      <c r="L14"/>
    </row>
  </sheetData>
  <sheetProtection password="EE42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">
    <dataValidation type="decimal" errorStyle="stop" allowBlank="1" showDropDown="0" showInputMessage="0" showErrorMessage="1" errorTitle="Greška kod unosa cene !" error="Cena mora biti iznos između 0,00 i 10.000.000,00 !" sqref="G2">
      <formula1>0</formula1>
      <formula2>10000000</formula2>
    </dataValidation>
  </dataValidations>
  <printOptions gridLines="false" gridLinesSet="true"/>
  <pageMargins left="0.25" right="0.25" top="0.75" bottom="0.75" header="0.3" footer="0.3"/>
  <pageSetup paperSize="9" orientation="landscape" scale="76" fitToHeight="1" fitToWidth="1"/>
  <headerFooter differentOddEven="false" differentFirst="false" scaleWithDoc="true" alignWithMargins="true">
    <oddHeader>&amp;L&amp;G JUP Istraživanje i razvoj&amp;C&amp;F&amp;RIOP/4-2012/C/2</oddHeader>
    <oddFooter>&amp;C&amp;P/&amp;N&amp;RM.P.                                                                                                   .
Potpis___________________________________________</oddFooter>
    <evenHeader/>
    <evenFooter/>
    <firstHeader/>
    <firstFooter/>
  </headerFooter>
  <legacyDrawing r:id="rId_comments_vml1"/>
  <legacyDrawingHF r:id="rId_headerfooter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>Hewlett-Packard Company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2011-11-23T12:42:12+01:00</dcterms:created>
  <dcterms:modified xsi:type="dcterms:W3CDTF">2012-06-04T12:36:04+02:00</dcterms:modified>
  <dc:title>Lot405-Noack- standard </dc:title>
  <dc:description>Lot405-Noack- standard </dc:description>
  <dc:subject>Lot405-Noack- standard </dc:subject>
  <cp:keywords>Lot405-Noack- standard </cp:keywords>
  <cp:category>Lotovi</cp:category>
</cp:coreProperties>
</file>