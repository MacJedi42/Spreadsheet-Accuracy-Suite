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65" yWindow="1110" windowWidth="20115" windowHeight="79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F6" i="1" l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D66" i="1"/>
  <c r="E66" i="1"/>
  <c r="F66" i="1"/>
  <c r="G66" i="1"/>
  <c r="H66" i="1"/>
  <c r="I66" i="1"/>
  <c r="D67" i="1"/>
  <c r="E67" i="1"/>
  <c r="F67" i="1"/>
  <c r="G67" i="1"/>
  <c r="H67" i="1"/>
  <c r="I67" i="1"/>
  <c r="D68" i="1"/>
  <c r="E68" i="1"/>
  <c r="F68" i="1"/>
  <c r="G68" i="1"/>
  <c r="H68" i="1"/>
  <c r="I68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6" i="1"/>
  <c r="E76" i="1"/>
  <c r="F76" i="1"/>
  <c r="G76" i="1"/>
  <c r="H76" i="1"/>
  <c r="I76" i="1"/>
  <c r="D77" i="1"/>
  <c r="E77" i="1"/>
  <c r="F77" i="1"/>
  <c r="G77" i="1"/>
  <c r="H77" i="1"/>
  <c r="I77" i="1"/>
  <c r="D78" i="1"/>
  <c r="E78" i="1"/>
  <c r="F78" i="1"/>
  <c r="G78" i="1"/>
  <c r="H78" i="1"/>
  <c r="I78" i="1"/>
  <c r="D79" i="1"/>
  <c r="E79" i="1"/>
  <c r="F79" i="1"/>
  <c r="G79" i="1"/>
  <c r="H79" i="1"/>
  <c r="I79" i="1"/>
  <c r="D80" i="1"/>
  <c r="E80" i="1"/>
  <c r="F80" i="1"/>
  <c r="G80" i="1"/>
  <c r="H80" i="1"/>
  <c r="I80" i="1"/>
  <c r="D81" i="1"/>
  <c r="E81" i="1"/>
  <c r="F81" i="1"/>
  <c r="G81" i="1"/>
  <c r="H81" i="1"/>
  <c r="I81" i="1"/>
  <c r="D82" i="1"/>
  <c r="E82" i="1"/>
  <c r="F82" i="1"/>
  <c r="G82" i="1"/>
  <c r="H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1" i="1"/>
  <c r="E91" i="1"/>
  <c r="F91" i="1"/>
  <c r="G91" i="1"/>
  <c r="H91" i="1"/>
  <c r="I91" i="1"/>
  <c r="D93" i="1"/>
  <c r="E93" i="1"/>
  <c r="F93" i="1"/>
  <c r="G93" i="1"/>
  <c r="H93" i="1"/>
  <c r="I93" i="1"/>
  <c r="D94" i="1"/>
  <c r="E94" i="1"/>
  <c r="F94" i="1"/>
  <c r="G94" i="1"/>
  <c r="H94" i="1"/>
  <c r="I94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99" i="1"/>
  <c r="E99" i="1"/>
  <c r="F99" i="1"/>
  <c r="G99" i="1"/>
  <c r="H99" i="1"/>
  <c r="I99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D105" i="1"/>
  <c r="E105" i="1"/>
  <c r="F105" i="1"/>
  <c r="G105" i="1"/>
  <c r="H105" i="1"/>
  <c r="I105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8" i="1"/>
  <c r="E48" i="1"/>
  <c r="F48" i="1"/>
  <c r="G48" i="1"/>
  <c r="H48" i="1"/>
  <c r="I48" i="1"/>
  <c r="D49" i="1"/>
  <c r="E49" i="1"/>
  <c r="F49" i="1"/>
  <c r="G49" i="1"/>
  <c r="H49" i="1"/>
  <c r="I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4" i="1"/>
  <c r="E54" i="1"/>
  <c r="F54" i="1"/>
  <c r="G54" i="1"/>
  <c r="H54" i="1"/>
  <c r="I54" i="1"/>
  <c r="D55" i="1"/>
  <c r="E55" i="1"/>
  <c r="F55" i="1"/>
  <c r="G55" i="1"/>
  <c r="H55" i="1"/>
  <c r="I55" i="1"/>
  <c r="D56" i="1"/>
  <c r="E56" i="1"/>
  <c r="F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I14" i="1"/>
  <c r="H14" i="1"/>
  <c r="G14" i="1"/>
  <c r="F14" i="1"/>
  <c r="E14" i="1"/>
  <c r="D14" i="1"/>
  <c r="C14" i="1"/>
  <c r="D10" i="1"/>
  <c r="E10" i="1"/>
  <c r="F10" i="1"/>
  <c r="G10" i="1"/>
  <c r="H10" i="1"/>
  <c r="I10" i="1"/>
  <c r="D11" i="1"/>
  <c r="E11" i="1"/>
  <c r="F11" i="1"/>
  <c r="G11" i="1"/>
  <c r="H11" i="1"/>
  <c r="I11" i="1"/>
  <c r="I9" i="1"/>
  <c r="I6" i="1" s="1"/>
  <c r="H9" i="1"/>
  <c r="H6" i="1" s="1"/>
  <c r="G9" i="1"/>
  <c r="G6" i="1" s="1"/>
  <c r="F9" i="1"/>
  <c r="E9" i="1"/>
  <c r="E6" i="1" s="1"/>
  <c r="D9" i="1"/>
  <c r="D6" i="1" s="1"/>
  <c r="C9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8" i="1"/>
  <c r="C49" i="1"/>
  <c r="C50" i="1"/>
  <c r="C51" i="1"/>
  <c r="C52" i="1"/>
  <c r="C54" i="1"/>
  <c r="C55" i="1"/>
  <c r="C56" i="1"/>
  <c r="C57" i="1"/>
  <c r="C58" i="1"/>
  <c r="C59" i="1"/>
  <c r="C60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3" i="1"/>
  <c r="C94" i="1"/>
  <c r="C95" i="1"/>
  <c r="C96" i="1"/>
  <c r="C97" i="1"/>
  <c r="C98" i="1"/>
  <c r="C99" i="1"/>
  <c r="C100" i="1"/>
  <c r="C101" i="1"/>
  <c r="C102" i="1"/>
  <c r="C105" i="1"/>
  <c r="C10" i="1"/>
  <c r="C11" i="1"/>
  <c r="C17" i="1"/>
  <c r="C18" i="1"/>
  <c r="C19" i="1"/>
  <c r="C20" i="1"/>
  <c r="C21" i="1"/>
  <c r="C22" i="1"/>
  <c r="C23" i="1"/>
  <c r="C24" i="1"/>
  <c r="C25" i="1"/>
  <c r="C26" i="1"/>
  <c r="C27" i="1"/>
  <c r="C28" i="1"/>
  <c r="C15" i="1"/>
  <c r="C6" i="1" s="1"/>
  <c r="C16" i="1"/>
</calcChain>
</file>

<file path=xl/sharedStrings.xml><?xml version="1.0" encoding="utf-8"?>
<sst xmlns="http://schemas.openxmlformats.org/spreadsheetml/2006/main" count="111" uniqueCount="107">
  <si>
    <t>SOC Code</t>
  </si>
  <si>
    <t>SOC Title</t>
  </si>
  <si>
    <t>Total STEM Occupations</t>
  </si>
  <si>
    <t>Management Occupations</t>
  </si>
  <si>
    <t>Computer and Information Systems Managers</t>
  </si>
  <si>
    <t>Engineering Managers</t>
  </si>
  <si>
    <t>Natural Sciences Managers</t>
  </si>
  <si>
    <t>Computer and Mathematical Science Occupations</t>
  </si>
  <si>
    <t>Computer and Information Scientists, Research</t>
  </si>
  <si>
    <t>Computer Programmers</t>
  </si>
  <si>
    <t>Computer Software Engineers, Applications</t>
  </si>
  <si>
    <t>Computer Software Engineers, Systems Software</t>
  </si>
  <si>
    <t>Computer Support Specialists</t>
  </si>
  <si>
    <t>Computer Systems Analysts</t>
  </si>
  <si>
    <t>Database Administrators</t>
  </si>
  <si>
    <t>Network and Computer Systems Administrators</t>
  </si>
  <si>
    <t>Network Systems and Data Communications Analysts</t>
  </si>
  <si>
    <t>Computer Specialists, All Other</t>
  </si>
  <si>
    <t>Actuaries</t>
  </si>
  <si>
    <t>Operations Research Analysts</t>
  </si>
  <si>
    <t>Statisticians</t>
  </si>
  <si>
    <t>Mathematical Technicians</t>
  </si>
  <si>
    <t>Mathematical Scientists, All Other</t>
  </si>
  <si>
    <t>Architecture and Engineering Occupations</t>
  </si>
  <si>
    <t>Cartographers and Photogrammetrists</t>
  </si>
  <si>
    <t>Surveyors</t>
  </si>
  <si>
    <t>Aerospace Engineers</t>
  </si>
  <si>
    <t>Agricultural Engineers</t>
  </si>
  <si>
    <t>Biomedical Engineers</t>
  </si>
  <si>
    <t>Chemical Engineers</t>
  </si>
  <si>
    <t>Civil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</si>
  <si>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</si>
  <si>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</si>
  <si>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</si>
  <si>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</si>
  <si>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</si>
  <si>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</si>
  <si>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</si>
  <si>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</si>
  <si>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</si>
  <si>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</si>
  <si>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</si>
  <si>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</si>
  <si>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</si>
  <si>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</si>
  <si>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Technicians</t>
  </si>
  <si>
    <t>Civil Engineering Technicians</t>
  </si>
  <si>
    <t>Electrical and Electronic Engineering Technicians</t>
  </si>
  <si>
    <t>Electro-Mechanical Technicians</t>
  </si>
  <si>
    <t>Environmental Engineering Technicians</t>
  </si>
  <si>
    <t>Mechanical Engineering Technicians</t>
  </si>
  <si>
    <t>Engineering Technicians, All Other</t>
  </si>
  <si>
    <t>Surveying and Mapping Technicians</t>
  </si>
  <si>
    <t>Life, Physical, and Social Science Occupations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</si>
  <si>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</si>
  <si>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</si>
  <si>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</si>
  <si>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</si>
  <si>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</si>
  <si>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</si>
  <si>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</si>
  <si>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</si>
  <si>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</si>
  <si>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</si>
  <si>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</si>
  <si>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Life Scientists, All Other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</si>
  <si>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</si>
  <si>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</si>
  <si>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</si>
  <si>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</si>
  <si>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</si>
  <si>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</si>
  <si>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</si>
  <si>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</si>
  <si>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</si>
  <si>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Market Research Analysts</t>
  </si>
  <si>
    <t>Survey Researchers</t>
  </si>
  <si>
    <t>Clinical, Counseling, and 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</si>
  <si>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</si>
  <si>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</si>
  <si>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</si>
  <si>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</si>
  <si>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</si>
  <si>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</si>
  <si>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Social Scientists and Related Workers, All Other</t>
  </si>
  <si>
    <t>Agricultural and Food Science Technicians</t>
  </si>
  <si>
    <t>Biological Technicians</t>
  </si>
  <si>
    <t>Chemical Technicians</t>
  </si>
  <si>
    <t>Geological and Petroleum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</si>
  <si>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</si>
  <si>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</si>
  <si>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</si>
  <si>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</si>
  <si>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</si>
  <si>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Sales and Related Workers</t>
  </si>
  <si>
    <t>Sales Engineers</t>
  </si>
  <si>
    <t>Architects, Except Landscape and Naval</t>
  </si>
  <si>
    <t>Oregon Occupational Employment Projections for Science, Technology, Engineer and Math (STEM) Occupations</t>
  </si>
  <si>
    <t>2010</t>
  </si>
  <si>
    <t>2020</t>
  </si>
  <si>
    <t>Percent</t>
  </si>
  <si>
    <t>Growth</t>
  </si>
  <si>
    <t>Replacement</t>
  </si>
  <si>
    <t>Total</t>
  </si>
  <si>
    <t>Employment</t>
  </si>
  <si>
    <t>Change</t>
  </si>
  <si>
    <t>Openings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</si>
</sst>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2"/>
      <name val="Arial"/>
    </font>
    <font>
      <sz val="10"/>
      <color indexed="8"/>
      <name val="Arial"/>
    </font>
    <font>
      <b/>
      <sz val="13"/>
      <color indexed="8"/>
      <name val="Arial"/>
      <family val="2"/>
    </font>
    <font>
      <sz val="12"/>
      <color indexed="8"/>
      <name val="Arial"/>
    </font>
    <font>
      <b/>
      <sz val="12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2" applyFont="1"/>
    <xf numFmtId="0" fontId="5" fillId="0" borderId="1" xfId="3" applyFont="1" applyFill="1" applyBorder="1" applyAlignment="1">
      <alignment horizontal="left" wrapText="1"/>
    </xf>
    <xf numFmtId="0" fontId="6" fillId="0" borderId="0" xfId="3" applyFont="1" applyFill="1" applyBorder="1" applyAlignment="1">
      <alignment horizontal="center" wrapText="1"/>
    </xf>
    <xf numFmtId="0" fontId="6" fillId="0" borderId="0" xfId="3" applyFont="1" applyFill="1" applyBorder="1" applyAlignment="1">
      <alignment horizontal="left" wrapText="1"/>
    </xf>
    <xf numFmtId="9" fontId="6" fillId="0" borderId="0" xfId="2" applyFont="1" applyFill="1" applyBorder="1" applyAlignment="1">
      <alignment horizontal="center" wrapText="1"/>
    </xf>
    <xf numFmtId="0" fontId="7" fillId="0" borderId="0" xfId="3" applyFont="1" applyFill="1" applyBorder="1" applyAlignment="1">
      <alignment horizontal="left"/>
    </xf>
    <xf numFmtId="164" fontId="6" fillId="0" borderId="0" xfId="1" applyNumberFormat="1" applyFont="1" applyFill="1" applyBorder="1" applyAlignment="1">
      <alignment horizontal="center" wrapText="1"/>
    </xf>
    <xf numFmtId="9" fontId="6" fillId="0" borderId="0" xfId="2" applyFont="1" applyFill="1" applyBorder="1" applyAlignment="1">
      <alignment horizontal="right" wrapText="1"/>
    </xf>
    <xf numFmtId="0" fontId="6" fillId="0" borderId="0" xfId="3" applyNumberFormat="1" applyFont="1" applyFill="1" applyBorder="1" applyAlignment="1">
      <alignment wrapText="1"/>
    </xf>
    <xf numFmtId="0" fontId="6" fillId="0" borderId="0" xfId="3" applyFont="1" applyFill="1" applyBorder="1" applyAlignment="1">
      <alignment wrapText="1"/>
    </xf>
    <xf numFmtId="164" fontId="6" fillId="0" borderId="0" xfId="1" applyNumberFormat="1" applyFont="1" applyFill="1" applyBorder="1" applyAlignment="1">
      <alignment horizontal="right" wrapText="1"/>
    </xf>
    <xf numFmtId="0" fontId="4" fillId="0" borderId="0" xfId="3" applyNumberFormat="1" applyFont="1" applyFill="1" applyBorder="1" applyAlignment="1">
      <alignment wrapText="1"/>
    </xf>
    <xf numFmtId="0" fontId="4" fillId="0" borderId="0" xfId="3" applyFont="1" applyFill="1" applyBorder="1" applyAlignment="1">
      <alignment wrapText="1"/>
    </xf>
    <xf numFmtId="0" fontId="3" fillId="0" borderId="0" xfId="0" applyFont="1" applyBorder="1"/>
    <xf numFmtId="164" fontId="3" fillId="0" borderId="0" xfId="1" applyNumberFormat="1" applyFont="1" applyBorder="1"/>
    <xf numFmtId="9" fontId="3" fillId="0" borderId="0" xfId="2" applyFont="1" applyBorder="1"/>
    <xf numFmtId="0" fontId="5" fillId="0" borderId="0" xfId="3" applyFont="1" applyFill="1" applyBorder="1" applyAlignment="1">
      <alignment horizontal="center" wrapText="1"/>
    </xf>
    <xf numFmtId="0" fontId="5" fillId="0" borderId="1" xfId="3" applyFont="1" applyFill="1" applyBorder="1" applyAlignment="1">
      <alignment horizontal="center" wrapText="1"/>
    </xf>
    <xf numFmtId="0" fontId="5" fillId="0" borderId="0" xfId="3" applyFont="1" applyFill="1" applyBorder="1" applyAlignment="1">
      <alignment horizontal="right" wrapText="1"/>
    </xf>
    <xf numFmtId="0" fontId="5" fillId="0" borderId="1" xfId="3" applyFont="1" applyFill="1" applyBorder="1" applyAlignment="1">
      <alignment horizontal="right" wrapText="1"/>
    </xf>
    <xf numFmtId="165" fontId="3" fillId="0" borderId="0" xfId="2" applyNumberFormat="1" applyFont="1"/>
    <xf numFmtId="165" fontId="5" fillId="0" borderId="0" xfId="3" applyNumberFormat="1" applyFont="1" applyFill="1" applyBorder="1" applyAlignment="1">
      <alignment horizontal="right" wrapText="1"/>
    </xf>
    <xf numFmtId="165" fontId="5" fillId="0" borderId="1" xfId="3" applyNumberFormat="1" applyFont="1" applyFill="1" applyBorder="1" applyAlignment="1">
      <alignment horizontal="right" wrapText="1"/>
    </xf>
    <xf numFmtId="165" fontId="6" fillId="0" borderId="0" xfId="2" applyNumberFormat="1" applyFont="1" applyFill="1" applyBorder="1" applyAlignment="1">
      <alignment horizontal="center" wrapText="1"/>
    </xf>
    <xf numFmtId="165" fontId="6" fillId="0" borderId="0" xfId="2" applyNumberFormat="1" applyFont="1" applyFill="1" applyBorder="1" applyAlignment="1">
      <alignment wrapText="1"/>
    </xf>
    <xf numFmtId="165" fontId="6" fillId="0" borderId="0" xfId="2" applyNumberFormat="1" applyFont="1" applyFill="1" applyBorder="1" applyAlignment="1">
      <alignment horizontal="right" wrapText="1"/>
    </xf>
    <xf numFmtId="165" fontId="3" fillId="0" borderId="0" xfId="2" applyNumberFormat="1" applyFont="1" applyBorder="1"/>
  </cellXfs>
  <cellStyles count="4">
    <cellStyle name="Comma" xfId="1" builtinId="3"/>
    <cellStyle name="Normal" xfId="0" builtinId="0"/>
    <cellStyle name="Normal_Sheet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orkforce%20Analysis\EZ_FIND\Occupational%20Data\2010-2020%20Occ%20Projections\Oregon%202010-2020%20Occupational%20Employment%20Projec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only - SOC"/>
      <sheetName val="Detail only - Required Training"/>
      <sheetName val="Summary - Required Training"/>
      <sheetName val="Detail only -2010"/>
      <sheetName val="Detail only -%Growth"/>
      <sheetName val="Detail only -%Growth 250+"/>
      <sheetName val="Detail only - Growth"/>
      <sheetName val="Detail only - Decline"/>
      <sheetName val="Detail only - Replacement"/>
      <sheetName val="Detail only - Total Openings"/>
      <sheetName val="Full Table - SOC"/>
      <sheetName val="Print Table"/>
      <sheetName val="Full Table - Summary"/>
    </sheetNames>
    <sheetDataSet>
      <sheetData sheetId="0">
        <row r="4">
          <cell r="A4" t="str">
            <v>11-1011</v>
          </cell>
          <cell r="B4" t="str">
            <v>Chief Executives</v>
          </cell>
          <cell r="C4">
            <v>1609</v>
          </cell>
          <cell r="D4">
            <v>1870</v>
          </cell>
          <cell r="E4">
            <v>261</v>
          </cell>
          <cell r="F4">
            <v>0.16221255438160354</v>
          </cell>
          <cell r="G4">
            <v>261</v>
          </cell>
          <cell r="H4">
            <v>452</v>
          </cell>
          <cell r="I4">
            <v>713</v>
          </cell>
        </row>
        <row r="5">
          <cell r="A5" t="str">
            <v>11-1021</v>
          </cell>
          <cell r="B5" t="str">
            <v>General and Operations Managers</v>
          </cell>
          <cell r="C5">
            <v>19297</v>
          </cell>
          <cell r="D5">
            <v>23083</v>
          </cell>
          <cell r="E5">
            <v>3786</v>
          </cell>
          <cell r="F5">
            <v>0.19619629994299626</v>
          </cell>
          <cell r="G5">
            <v>3786</v>
          </cell>
          <cell r="H5">
            <v>3940</v>
          </cell>
          <cell r="I5">
            <v>7726</v>
          </cell>
        </row>
        <row r="6">
          <cell r="A6">
            <v>111031</v>
          </cell>
          <cell r="B6" t="str">
            <v>Legislators</v>
          </cell>
          <cell r="C6">
            <v>164</v>
          </cell>
          <cell r="D6">
            <v>168</v>
          </cell>
          <cell r="E6">
            <v>4</v>
          </cell>
          <cell r="F6">
            <v>2.4390243902439046E-2</v>
          </cell>
          <cell r="G6">
            <v>4</v>
          </cell>
          <cell r="H6">
            <v>38</v>
          </cell>
          <cell r="I6">
            <v>42</v>
          </cell>
        </row>
        <row r="7">
          <cell r="A7" t="str">
            <v>112011</v>
          </cell>
          <cell r="B7" t="str">
            <v>Advertising and Promotions Managers</v>
          </cell>
          <cell r="C7">
            <v>545</v>
          </cell>
          <cell r="D7">
            <v>647</v>
          </cell>
          <cell r="E7">
            <v>102</v>
          </cell>
          <cell r="F7">
            <v>0.18715596330275219</v>
          </cell>
          <cell r="G7">
            <v>102</v>
          </cell>
          <cell r="H7">
            <v>170</v>
          </cell>
          <cell r="I7">
            <v>272</v>
          </cell>
        </row>
        <row r="8">
          <cell r="A8" t="str">
            <v>112021</v>
          </cell>
          <cell r="B8" t="str">
            <v>Marketing Managers</v>
          </cell>
          <cell r="C8">
            <v>2850</v>
          </cell>
          <cell r="D8">
            <v>3456</v>
          </cell>
          <cell r="E8">
            <v>606</v>
          </cell>
          <cell r="F8">
            <v>0.2126315789473685</v>
          </cell>
          <cell r="G8">
            <v>606</v>
          </cell>
          <cell r="H8">
            <v>917</v>
          </cell>
          <cell r="I8">
            <v>1523</v>
          </cell>
        </row>
        <row r="9">
          <cell r="A9" t="str">
            <v>112022</v>
          </cell>
          <cell r="B9" t="str">
            <v>Sales Managers</v>
          </cell>
          <cell r="C9">
            <v>3481</v>
          </cell>
          <cell r="D9">
            <v>4111</v>
          </cell>
          <cell r="E9">
            <v>630</v>
          </cell>
          <cell r="F9">
            <v>0.18098247629991371</v>
          </cell>
          <cell r="G9">
            <v>630</v>
          </cell>
          <cell r="H9">
            <v>1104</v>
          </cell>
          <cell r="I9">
            <v>1734</v>
          </cell>
        </row>
        <row r="10">
          <cell r="A10" t="str">
            <v>112031</v>
          </cell>
          <cell r="B10" t="str">
            <v>Public Relations Managers</v>
          </cell>
          <cell r="C10">
            <v>1184</v>
          </cell>
          <cell r="D10">
            <v>1409</v>
          </cell>
          <cell r="E10">
            <v>225</v>
          </cell>
          <cell r="F10">
            <v>0.19003378378378377</v>
          </cell>
          <cell r="G10">
            <v>225</v>
          </cell>
          <cell r="H10">
            <v>371</v>
          </cell>
          <cell r="I10">
            <v>596</v>
          </cell>
        </row>
        <row r="11">
          <cell r="A11" t="str">
            <v>113011</v>
          </cell>
          <cell r="B11" t="str">
            <v>Administrative Services Managers</v>
          </cell>
          <cell r="C11">
            <v>2136</v>
          </cell>
          <cell r="D11">
            <v>2506</v>
          </cell>
          <cell r="E11">
            <v>370</v>
          </cell>
          <cell r="F11">
            <v>0.17322097378277146</v>
          </cell>
          <cell r="G11">
            <v>370</v>
          </cell>
          <cell r="H11">
            <v>574</v>
          </cell>
          <cell r="I11">
            <v>944</v>
          </cell>
        </row>
        <row r="12">
          <cell r="A12" t="str">
            <v>113021</v>
          </cell>
          <cell r="B12" t="str">
            <v>Computer and Information Systems Managers</v>
          </cell>
          <cell r="C12">
            <v>3356</v>
          </cell>
          <cell r="D12">
            <v>4047</v>
          </cell>
          <cell r="E12">
            <v>691</v>
          </cell>
          <cell r="F12">
            <v>0.2058998808104886</v>
          </cell>
          <cell r="G12">
            <v>691</v>
          </cell>
          <cell r="H12">
            <v>565</v>
          </cell>
          <cell r="I12">
            <v>1256</v>
          </cell>
        </row>
        <row r="13">
          <cell r="A13" t="str">
            <v>113031</v>
          </cell>
          <cell r="B13" t="str">
            <v>Financial Managers</v>
          </cell>
          <cell r="C13">
            <v>4504</v>
          </cell>
          <cell r="D13">
            <v>5275</v>
          </cell>
          <cell r="E13">
            <v>771</v>
          </cell>
          <cell r="F13">
            <v>0.17118117229129659</v>
          </cell>
          <cell r="G13">
            <v>771</v>
          </cell>
          <cell r="H13">
            <v>895</v>
          </cell>
          <cell r="I13">
            <v>1666</v>
          </cell>
        </row>
        <row r="14">
          <cell r="A14" t="str">
            <v>113041</v>
          </cell>
          <cell r="B14" t="str">
            <v>Compensation and Benefits Managers</v>
          </cell>
          <cell r="C14">
            <v>195</v>
          </cell>
          <cell r="D14">
            <v>219</v>
          </cell>
          <cell r="E14">
            <v>24</v>
          </cell>
          <cell r="F14">
            <v>0.12307692307692308</v>
          </cell>
          <cell r="G14">
            <v>24</v>
          </cell>
          <cell r="H14">
            <v>51</v>
          </cell>
          <cell r="I14">
            <v>75</v>
          </cell>
        </row>
        <row r="15">
          <cell r="A15" t="str">
            <v>113042</v>
          </cell>
          <cell r="B15" t="str">
            <v>Training and Development Managers</v>
          </cell>
          <cell r="C15">
            <v>289</v>
          </cell>
          <cell r="D15">
            <v>349</v>
          </cell>
          <cell r="E15">
            <v>60</v>
          </cell>
          <cell r="F15">
            <v>0.20761245674740492</v>
          </cell>
          <cell r="G15">
            <v>60</v>
          </cell>
          <cell r="H15">
            <v>78</v>
          </cell>
          <cell r="I15">
            <v>138</v>
          </cell>
        </row>
        <row r="16">
          <cell r="A16" t="str">
            <v>113049</v>
          </cell>
          <cell r="B16" t="str">
            <v>Human Resources Managers, All Other</v>
          </cell>
          <cell r="C16">
            <v>1163</v>
          </cell>
          <cell r="D16">
            <v>1384</v>
          </cell>
          <cell r="E16">
            <v>221</v>
          </cell>
          <cell r="F16">
            <v>0.19002579535683584</v>
          </cell>
          <cell r="G16">
            <v>221</v>
          </cell>
          <cell r="H16">
            <v>312</v>
          </cell>
          <cell r="I16">
            <v>533</v>
          </cell>
        </row>
        <row r="17">
          <cell r="A17" t="str">
            <v>113051</v>
          </cell>
          <cell r="B17" t="str">
            <v>Industrial Production Managers</v>
          </cell>
          <cell r="C17">
            <v>2106</v>
          </cell>
          <cell r="D17">
            <v>2431</v>
          </cell>
          <cell r="E17">
            <v>325</v>
          </cell>
          <cell r="F17">
            <v>0.15432098765432101</v>
          </cell>
          <cell r="G17">
            <v>325</v>
          </cell>
          <cell r="H17">
            <v>533</v>
          </cell>
          <cell r="I17">
            <v>858</v>
          </cell>
        </row>
        <row r="18">
          <cell r="A18" t="str">
            <v>113061</v>
          </cell>
          <cell r="B18" t="str">
            <v>Purchasing Managers</v>
          </cell>
          <cell r="C18">
            <v>912</v>
          </cell>
          <cell r="D18">
            <v>1037</v>
          </cell>
          <cell r="E18">
            <v>125</v>
          </cell>
          <cell r="F18">
            <v>0.13706140350877183</v>
          </cell>
          <cell r="G18">
            <v>125</v>
          </cell>
          <cell r="H18">
            <v>296</v>
          </cell>
          <cell r="I18">
            <v>421</v>
          </cell>
        </row>
        <row r="19">
          <cell r="A19" t="str">
            <v>113071</v>
          </cell>
          <cell r="B19" t="str">
            <v>Transportation, Storage, and Distribution Managers</v>
          </cell>
          <cell r="C19">
            <v>1398</v>
          </cell>
          <cell r="D19">
            <v>1627</v>
          </cell>
          <cell r="E19">
            <v>229</v>
          </cell>
          <cell r="F19">
            <v>0.16380543633762512</v>
          </cell>
          <cell r="G19">
            <v>229</v>
          </cell>
          <cell r="H19">
            <v>365</v>
          </cell>
          <cell r="I19">
            <v>594</v>
          </cell>
        </row>
        <row r="20">
          <cell r="A20" t="str">
            <v>119011</v>
          </cell>
          <cell r="B20" t="str">
            <v>Farm, Ranch, and Other Agricultural Managers</v>
          </cell>
          <cell r="C20">
            <v>1294</v>
          </cell>
          <cell r="D20">
            <v>1490</v>
          </cell>
          <cell r="E20">
            <v>196</v>
          </cell>
          <cell r="F20">
            <v>0.15146831530139093</v>
          </cell>
          <cell r="G20">
            <v>196</v>
          </cell>
          <cell r="H20">
            <v>271</v>
          </cell>
          <cell r="I20">
            <v>467</v>
          </cell>
        </row>
        <row r="21">
          <cell r="A21" t="str">
            <v>119021</v>
          </cell>
          <cell r="B21" t="str">
            <v>Construction Managers</v>
          </cell>
          <cell r="C21">
            <v>2480</v>
          </cell>
          <cell r="D21">
            <v>3049</v>
          </cell>
          <cell r="E21">
            <v>569</v>
          </cell>
          <cell r="F21">
            <v>0.22943548387096779</v>
          </cell>
          <cell r="G21">
            <v>569</v>
          </cell>
          <cell r="H21">
            <v>179</v>
          </cell>
          <cell r="I21">
            <v>748</v>
          </cell>
        </row>
        <row r="22">
          <cell r="A22" t="str">
            <v>119031</v>
          </cell>
          <cell r="B22" t="str">
            <v>Preschool and Child Care Administrators</v>
          </cell>
          <cell r="C22">
            <v>685</v>
          </cell>
          <cell r="D22">
            <v>836</v>
          </cell>
          <cell r="E22">
            <v>151</v>
          </cell>
          <cell r="F22">
            <v>0.22043795620437967</v>
          </cell>
          <cell r="G22">
            <v>151</v>
          </cell>
          <cell r="H22">
            <v>214</v>
          </cell>
          <cell r="I22">
            <v>365</v>
          </cell>
        </row>
        <row r="23">
          <cell r="A23" t="str">
            <v>119032</v>
          </cell>
          <cell r="B23" t="str">
            <v>Elementary and Secondary School Administrators</v>
          </cell>
          <cell r="C23">
            <v>2138</v>
          </cell>
          <cell r="D23">
            <v>2362</v>
          </cell>
          <cell r="E23">
            <v>224</v>
          </cell>
          <cell r="F23">
            <v>0.10477081384471476</v>
          </cell>
          <cell r="G23">
            <v>224</v>
          </cell>
          <cell r="H23">
            <v>634</v>
          </cell>
          <cell r="I23">
            <v>858</v>
          </cell>
        </row>
        <row r="24">
          <cell r="A24" t="str">
            <v>119033</v>
          </cell>
          <cell r="B24" t="str">
            <v>Postsecondary School Administrators</v>
          </cell>
          <cell r="C24">
            <v>1647</v>
          </cell>
          <cell r="D24">
            <v>1906</v>
          </cell>
          <cell r="E24">
            <v>259</v>
          </cell>
          <cell r="F24">
            <v>0.15725561627200979</v>
          </cell>
          <cell r="G24">
            <v>259</v>
          </cell>
          <cell r="H24">
            <v>501</v>
          </cell>
          <cell r="I24">
            <v>760</v>
          </cell>
        </row>
        <row r="25">
          <cell r="A25" t="str">
            <v>119039</v>
          </cell>
          <cell r="B25" t="str">
            <v>Education Administrators, All Other</v>
          </cell>
          <cell r="C25">
            <v>314</v>
          </cell>
          <cell r="D25">
            <v>381</v>
          </cell>
          <cell r="E25">
            <v>67</v>
          </cell>
          <cell r="F25">
            <v>0.21337579617834401</v>
          </cell>
          <cell r="G25">
            <v>67</v>
          </cell>
          <cell r="H25">
            <v>98</v>
          </cell>
          <cell r="I25">
            <v>165</v>
          </cell>
        </row>
        <row r="26">
          <cell r="A26" t="str">
            <v>119041</v>
          </cell>
          <cell r="B26" t="str">
            <v>Engineering Managers</v>
          </cell>
          <cell r="C26">
            <v>2603</v>
          </cell>
          <cell r="D26">
            <v>2990</v>
          </cell>
          <cell r="E26">
            <v>387</v>
          </cell>
          <cell r="F26">
            <v>0.14867460622358819</v>
          </cell>
          <cell r="G26">
            <v>387</v>
          </cell>
          <cell r="H26">
            <v>545</v>
          </cell>
          <cell r="I26">
            <v>932</v>
          </cell>
        </row>
        <row r="27">
          <cell r="A27" t="str">
            <v>119051</v>
          </cell>
          <cell r="B27" t="str">
            <v>Food Service Managers</v>
          </cell>
          <cell r="C27">
            <v>2411</v>
          </cell>
          <cell r="D27">
            <v>2894</v>
          </cell>
          <cell r="E27">
            <v>483</v>
          </cell>
          <cell r="F27">
            <v>0.2003318125259228</v>
          </cell>
          <cell r="G27">
            <v>483</v>
          </cell>
          <cell r="H27">
            <v>489</v>
          </cell>
          <cell r="I27">
            <v>972</v>
          </cell>
        </row>
        <row r="28">
          <cell r="A28" t="str">
            <v>119061</v>
          </cell>
          <cell r="B28" t="str">
            <v>Funeral Directors</v>
          </cell>
          <cell r="C28">
            <v>336</v>
          </cell>
          <cell r="D28">
            <v>395</v>
          </cell>
          <cell r="E28">
            <v>59</v>
          </cell>
          <cell r="F28">
            <v>0.17559523809523814</v>
          </cell>
          <cell r="G28">
            <v>59</v>
          </cell>
          <cell r="H28">
            <v>68</v>
          </cell>
          <cell r="I28">
            <v>127</v>
          </cell>
        </row>
        <row r="29">
          <cell r="A29" t="str">
            <v>119071</v>
          </cell>
          <cell r="B29" t="str">
            <v>Gaming Managers</v>
          </cell>
          <cell r="C29">
            <v>65</v>
          </cell>
          <cell r="D29">
            <v>72</v>
          </cell>
          <cell r="E29">
            <v>7</v>
          </cell>
          <cell r="F29">
            <v>0.10769230769230775</v>
          </cell>
          <cell r="G29">
            <v>7</v>
          </cell>
          <cell r="H29">
            <v>13</v>
          </cell>
          <cell r="I29">
            <v>20</v>
          </cell>
        </row>
        <row r="30">
          <cell r="A30" t="str">
            <v>119081</v>
          </cell>
          <cell r="B30" t="str">
            <v>Lodging Managers</v>
          </cell>
          <cell r="C30">
            <v>754</v>
          </cell>
          <cell r="D30">
            <v>870</v>
          </cell>
          <cell r="E30">
            <v>116</v>
          </cell>
          <cell r="F30">
            <v>0.15384615384615374</v>
          </cell>
          <cell r="G30">
            <v>116</v>
          </cell>
          <cell r="H30">
            <v>221</v>
          </cell>
          <cell r="I30">
            <v>337</v>
          </cell>
        </row>
        <row r="31">
          <cell r="A31" t="str">
            <v>119111</v>
          </cell>
          <cell r="B31" t="str">
            <v>Medical and Health Services Managers</v>
          </cell>
          <cell r="C31">
            <v>3184</v>
          </cell>
          <cell r="D31">
            <v>4010</v>
          </cell>
          <cell r="E31">
            <v>826</v>
          </cell>
          <cell r="F31">
            <v>0.25942211055276387</v>
          </cell>
          <cell r="G31">
            <v>826</v>
          </cell>
          <cell r="H31">
            <v>878</v>
          </cell>
          <cell r="I31">
            <v>1704</v>
          </cell>
        </row>
        <row r="32">
          <cell r="A32" t="str">
            <v>119121</v>
          </cell>
          <cell r="B32" t="str">
            <v>Natural Sciences Managers</v>
          </cell>
          <cell r="C32">
            <v>957</v>
          </cell>
          <cell r="D32">
            <v>1013</v>
          </cell>
          <cell r="E32">
            <v>56</v>
          </cell>
          <cell r="F32">
            <v>5.8516196447230939E-2</v>
          </cell>
          <cell r="G32">
            <v>56</v>
          </cell>
          <cell r="H32">
            <v>594</v>
          </cell>
          <cell r="I32">
            <v>650</v>
          </cell>
        </row>
        <row r="33">
          <cell r="A33" t="str">
            <v>119131</v>
          </cell>
          <cell r="B33" t="str">
            <v>Postmasters and Mail Superintendents</v>
          </cell>
          <cell r="C33">
            <v>307</v>
          </cell>
          <cell r="D33">
            <v>245</v>
          </cell>
          <cell r="E33">
            <v>-62</v>
          </cell>
          <cell r="F33">
            <v>-0.20195439739413679</v>
          </cell>
          <cell r="G33">
            <v>0</v>
          </cell>
          <cell r="H33">
            <v>54</v>
          </cell>
          <cell r="I33">
            <v>54</v>
          </cell>
        </row>
        <row r="34">
          <cell r="A34" t="str">
            <v>119141</v>
          </cell>
          <cell r="B34" t="str">
            <v>Property, Real Estate, and Community Association Managers</v>
          </cell>
          <cell r="C34">
            <v>2786</v>
          </cell>
          <cell r="D34">
            <v>3100</v>
          </cell>
          <cell r="E34">
            <v>314</v>
          </cell>
          <cell r="F34">
            <v>0.11270638908829866</v>
          </cell>
          <cell r="G34">
            <v>314</v>
          </cell>
          <cell r="H34">
            <v>620</v>
          </cell>
          <cell r="I34">
            <v>934</v>
          </cell>
        </row>
        <row r="35">
          <cell r="A35" t="str">
            <v>119151</v>
          </cell>
          <cell r="B35" t="str">
            <v>Social and Community Service Managers</v>
          </cell>
          <cell r="C35">
            <v>2801</v>
          </cell>
          <cell r="D35">
            <v>3372</v>
          </cell>
          <cell r="E35">
            <v>571</v>
          </cell>
          <cell r="F35">
            <v>0.20385576579792941</v>
          </cell>
          <cell r="G35">
            <v>571</v>
          </cell>
          <cell r="H35">
            <v>669</v>
          </cell>
          <cell r="I35">
            <v>1240</v>
          </cell>
        </row>
        <row r="36">
          <cell r="A36" t="str">
            <v>119199</v>
          </cell>
          <cell r="B36" t="str">
            <v>Managers, All Other</v>
          </cell>
          <cell r="C36">
            <v>6434</v>
          </cell>
          <cell r="D36">
            <v>7538</v>
          </cell>
          <cell r="E36">
            <v>1104</v>
          </cell>
          <cell r="F36">
            <v>0.17158843643145794</v>
          </cell>
          <cell r="G36">
            <v>1104</v>
          </cell>
          <cell r="H36">
            <v>1552</v>
          </cell>
          <cell r="I36">
            <v>2656</v>
          </cell>
        </row>
        <row r="37">
          <cell r="A37" t="str">
            <v>131011</v>
          </cell>
          <cell r="B37" t="str">
            <v>Agents and Business Managers of Artists, Performers, and Athletes</v>
          </cell>
          <cell r="C37">
            <v>87</v>
          </cell>
          <cell r="D37">
            <v>105</v>
          </cell>
          <cell r="E37">
            <v>18</v>
          </cell>
          <cell r="F37">
            <v>0.2068965517241379</v>
          </cell>
          <cell r="G37">
            <v>18</v>
          </cell>
          <cell r="H37">
            <v>18</v>
          </cell>
          <cell r="I37">
            <v>36</v>
          </cell>
        </row>
        <row r="38">
          <cell r="A38">
            <v>131021</v>
          </cell>
          <cell r="B38" t="str">
            <v>Purchasing Agents and Buyers, Farm Products</v>
          </cell>
          <cell r="C38">
            <v>425</v>
          </cell>
          <cell r="D38">
            <v>488</v>
          </cell>
          <cell r="E38">
            <v>63</v>
          </cell>
          <cell r="F38">
            <v>0.14823529411764702</v>
          </cell>
          <cell r="G38">
            <v>63</v>
          </cell>
          <cell r="H38">
            <v>88</v>
          </cell>
          <cell r="I38">
            <v>151</v>
          </cell>
        </row>
        <row r="39">
          <cell r="A39">
            <v>131022</v>
          </cell>
          <cell r="B39" t="str">
            <v>Wholesale and Retail Buyers, Except Farm Products</v>
          </cell>
          <cell r="C39">
            <v>2220</v>
          </cell>
          <cell r="D39">
            <v>2586</v>
          </cell>
          <cell r="E39">
            <v>366</v>
          </cell>
          <cell r="F39">
            <v>0.16486486486486496</v>
          </cell>
          <cell r="G39">
            <v>366</v>
          </cell>
          <cell r="H39">
            <v>604</v>
          </cell>
          <cell r="I39">
            <v>970</v>
          </cell>
        </row>
        <row r="40">
          <cell r="A40">
            <v>131023</v>
          </cell>
          <cell r="B40" t="str">
            <v>Purchasing Agents, Except Wholesale, Retail, and Farm Products</v>
          </cell>
          <cell r="C40">
            <v>2910</v>
          </cell>
          <cell r="D40">
            <v>3370</v>
          </cell>
          <cell r="E40">
            <v>460</v>
          </cell>
          <cell r="F40">
            <v>0.15807560137457055</v>
          </cell>
          <cell r="G40">
            <v>460</v>
          </cell>
          <cell r="H40">
            <v>841</v>
          </cell>
          <cell r="I40">
            <v>1301</v>
          </cell>
        </row>
        <row r="41">
          <cell r="A41">
            <v>131031</v>
          </cell>
          <cell r="B41" t="str">
            <v>Claims Investigators, Examiners, and Adjusters</v>
          </cell>
          <cell r="C41">
            <v>2877</v>
          </cell>
          <cell r="D41">
            <v>3142</v>
          </cell>
          <cell r="E41">
            <v>265</v>
          </cell>
          <cell r="F41">
            <v>9.2109836635384079E-2</v>
          </cell>
          <cell r="G41">
            <v>265</v>
          </cell>
          <cell r="H41">
            <v>769</v>
          </cell>
          <cell r="I41">
            <v>1034</v>
          </cell>
        </row>
        <row r="42">
          <cell r="A42">
            <v>131032</v>
          </cell>
          <cell r="B42" t="str">
            <v>Insurance Appraisers, Vehicle Damage</v>
          </cell>
          <cell r="C42">
            <v>46</v>
          </cell>
          <cell r="D42">
            <v>51</v>
          </cell>
          <cell r="E42">
            <v>5</v>
          </cell>
          <cell r="F42">
            <v>0.10869565217391308</v>
          </cell>
          <cell r="G42">
            <v>5</v>
          </cell>
          <cell r="H42">
            <v>12</v>
          </cell>
          <cell r="I42">
            <v>17</v>
          </cell>
        </row>
        <row r="43">
          <cell r="A43">
            <v>131041</v>
          </cell>
          <cell r="B43" t="str">
            <v>Compliance Officers, Except Agriculture, Construction, Health and Safety, and Transportation</v>
          </cell>
          <cell r="C43">
            <v>2325</v>
          </cell>
          <cell r="D43">
            <v>2560</v>
          </cell>
          <cell r="E43">
            <v>235</v>
          </cell>
          <cell r="F43">
            <v>0.1010752688172043</v>
          </cell>
          <cell r="G43">
            <v>235</v>
          </cell>
          <cell r="H43">
            <v>295</v>
          </cell>
          <cell r="I43">
            <v>530</v>
          </cell>
        </row>
        <row r="44">
          <cell r="A44">
            <v>131051</v>
          </cell>
          <cell r="B44" t="str">
            <v>Cost Estimators</v>
          </cell>
          <cell r="C44">
            <v>2908</v>
          </cell>
          <cell r="D44">
            <v>3594</v>
          </cell>
          <cell r="E44">
            <v>686</v>
          </cell>
          <cell r="F44">
            <v>0.23590096286107287</v>
          </cell>
          <cell r="G44">
            <v>686</v>
          </cell>
          <cell r="H44">
            <v>623</v>
          </cell>
          <cell r="I44">
            <v>1309</v>
          </cell>
        </row>
        <row r="45">
          <cell r="A45">
            <v>131061</v>
          </cell>
          <cell r="B45" t="str">
            <v>Emergency Management Specialists</v>
          </cell>
          <cell r="C45">
            <v>152</v>
          </cell>
          <cell r="D45">
            <v>171</v>
          </cell>
          <cell r="E45">
            <v>19</v>
          </cell>
          <cell r="F45">
            <v>0.125</v>
          </cell>
          <cell r="G45">
            <v>19</v>
          </cell>
          <cell r="H45">
            <v>31</v>
          </cell>
          <cell r="I45">
            <v>50</v>
          </cell>
        </row>
        <row r="46">
          <cell r="A46">
            <v>131071</v>
          </cell>
          <cell r="B46" t="str">
            <v>Employment, Recruitment, and Placement Specialists</v>
          </cell>
          <cell r="C46">
            <v>2532</v>
          </cell>
          <cell r="D46">
            <v>3061</v>
          </cell>
          <cell r="E46">
            <v>529</v>
          </cell>
          <cell r="F46">
            <v>0.20892575039494465</v>
          </cell>
          <cell r="G46">
            <v>529</v>
          </cell>
          <cell r="H46">
            <v>472</v>
          </cell>
          <cell r="I46">
            <v>1001</v>
          </cell>
        </row>
        <row r="47">
          <cell r="A47">
            <v>131072</v>
          </cell>
          <cell r="B47" t="str">
            <v>Compensation, Benefits, and Job Analysis Specialists</v>
          </cell>
          <cell r="C47">
            <v>975</v>
          </cell>
          <cell r="D47">
            <v>1114</v>
          </cell>
          <cell r="E47">
            <v>139</v>
          </cell>
          <cell r="F47">
            <v>0.14256410256410246</v>
          </cell>
          <cell r="G47">
            <v>139</v>
          </cell>
          <cell r="H47">
            <v>176</v>
          </cell>
          <cell r="I47">
            <v>315</v>
          </cell>
        </row>
        <row r="48">
          <cell r="A48">
            <v>131073</v>
          </cell>
          <cell r="B48" t="str">
            <v>Training and Development Specialists</v>
          </cell>
          <cell r="C48">
            <v>2630</v>
          </cell>
          <cell r="D48">
            <v>3088</v>
          </cell>
          <cell r="E48">
            <v>458</v>
          </cell>
          <cell r="F48">
            <v>0.17414448669201521</v>
          </cell>
          <cell r="G48">
            <v>458</v>
          </cell>
          <cell r="H48">
            <v>483</v>
          </cell>
          <cell r="I48">
            <v>941</v>
          </cell>
        </row>
        <row r="49">
          <cell r="A49">
            <v>131079</v>
          </cell>
          <cell r="B49" t="str">
            <v>Human Resources, Training, and Labor Relations Specialists, All Other</v>
          </cell>
          <cell r="C49">
            <v>3785</v>
          </cell>
          <cell r="D49">
            <v>4484</v>
          </cell>
          <cell r="E49">
            <v>699</v>
          </cell>
          <cell r="F49">
            <v>0.18467635402906213</v>
          </cell>
          <cell r="G49">
            <v>699</v>
          </cell>
          <cell r="H49">
            <v>698</v>
          </cell>
          <cell r="I49">
            <v>1397</v>
          </cell>
        </row>
        <row r="50">
          <cell r="A50">
            <v>131081</v>
          </cell>
          <cell r="B50" t="str">
            <v>Logisticians</v>
          </cell>
          <cell r="C50">
            <v>713</v>
          </cell>
          <cell r="D50">
            <v>804</v>
          </cell>
          <cell r="E50">
            <v>91</v>
          </cell>
          <cell r="F50">
            <v>0.12762973352033669</v>
          </cell>
          <cell r="G50">
            <v>91</v>
          </cell>
          <cell r="H50">
            <v>145</v>
          </cell>
          <cell r="I50">
            <v>236</v>
          </cell>
        </row>
        <row r="51">
          <cell r="A51">
            <v>131111</v>
          </cell>
          <cell r="B51" t="str">
            <v>Management Analysts</v>
          </cell>
          <cell r="C51">
            <v>3721</v>
          </cell>
          <cell r="D51">
            <v>4304</v>
          </cell>
          <cell r="E51">
            <v>583</v>
          </cell>
          <cell r="F51">
            <v>0.15667831228164464</v>
          </cell>
          <cell r="G51">
            <v>583</v>
          </cell>
          <cell r="H51">
            <v>653</v>
          </cell>
          <cell r="I51">
            <v>1236</v>
          </cell>
        </row>
        <row r="52">
          <cell r="A52">
            <v>131121</v>
          </cell>
          <cell r="B52" t="str">
            <v>Meeting and Convention Planners</v>
          </cell>
          <cell r="C52">
            <v>634</v>
          </cell>
          <cell r="D52">
            <v>765</v>
          </cell>
          <cell r="E52">
            <v>131</v>
          </cell>
          <cell r="F52">
            <v>0.20662460567823349</v>
          </cell>
          <cell r="G52">
            <v>131</v>
          </cell>
          <cell r="H52">
            <v>134</v>
          </cell>
          <cell r="I52">
            <v>265</v>
          </cell>
        </row>
        <row r="53">
          <cell r="A53">
            <v>131199</v>
          </cell>
          <cell r="B53" t="str">
            <v>Business Operations Specialists, All Other</v>
          </cell>
          <cell r="C53">
            <v>14258</v>
          </cell>
          <cell r="D53">
            <v>16339</v>
          </cell>
          <cell r="E53">
            <v>2081</v>
          </cell>
          <cell r="F53">
            <v>0.14595314910927204</v>
          </cell>
          <cell r="G53">
            <v>2081</v>
          </cell>
          <cell r="H53">
            <v>2933</v>
          </cell>
          <cell r="I53">
            <v>5014</v>
          </cell>
        </row>
        <row r="54">
          <cell r="A54">
            <v>132011</v>
          </cell>
          <cell r="B54" t="str">
            <v>Accountants and Auditors</v>
          </cell>
          <cell r="C54">
            <v>11227</v>
          </cell>
          <cell r="D54">
            <v>13665</v>
          </cell>
          <cell r="E54">
            <v>2438</v>
          </cell>
          <cell r="F54">
            <v>0.2171550725928566</v>
          </cell>
          <cell r="G54">
            <v>2438</v>
          </cell>
          <cell r="H54">
            <v>2674</v>
          </cell>
          <cell r="I54">
            <v>5112</v>
          </cell>
        </row>
        <row r="55">
          <cell r="A55">
            <v>132021</v>
          </cell>
          <cell r="B55" t="str">
            <v>Appraisers and Assessors of Real Estate</v>
          </cell>
          <cell r="C55">
            <v>1101</v>
          </cell>
          <cell r="D55">
            <v>1214</v>
          </cell>
          <cell r="E55">
            <v>113</v>
          </cell>
          <cell r="F55">
            <v>0.10263396911898282</v>
          </cell>
          <cell r="G55">
            <v>113</v>
          </cell>
          <cell r="H55">
            <v>245</v>
          </cell>
          <cell r="I55">
            <v>358</v>
          </cell>
        </row>
        <row r="56">
          <cell r="A56">
            <v>132031</v>
          </cell>
          <cell r="B56" t="str">
            <v>Budget Analysts</v>
          </cell>
          <cell r="C56">
            <v>787</v>
          </cell>
          <cell r="D56">
            <v>859</v>
          </cell>
          <cell r="E56">
            <v>72</v>
          </cell>
          <cell r="F56">
            <v>9.1486658195679693E-2</v>
          </cell>
          <cell r="G56">
            <v>72</v>
          </cell>
          <cell r="H56">
            <v>174</v>
          </cell>
          <cell r="I56">
            <v>246</v>
          </cell>
        </row>
        <row r="57">
          <cell r="A57">
            <v>132041</v>
          </cell>
          <cell r="B57" t="str">
            <v>Credit Analysts</v>
          </cell>
          <cell r="C57">
            <v>558</v>
          </cell>
          <cell r="D57">
            <v>668</v>
          </cell>
          <cell r="E57">
            <v>110</v>
          </cell>
          <cell r="F57">
            <v>0.19713261648745517</v>
          </cell>
          <cell r="G57">
            <v>110</v>
          </cell>
          <cell r="H57">
            <v>130</v>
          </cell>
          <cell r="I57">
            <v>240</v>
          </cell>
        </row>
        <row r="58">
          <cell r="A58">
            <v>132051</v>
          </cell>
          <cell r="B58" t="str">
            <v>Financial Analysts</v>
          </cell>
          <cell r="C58">
            <v>1705</v>
          </cell>
          <cell r="D58">
            <v>2033</v>
          </cell>
          <cell r="E58">
            <v>328</v>
          </cell>
          <cell r="F58">
            <v>0.19237536656891496</v>
          </cell>
          <cell r="G58">
            <v>328</v>
          </cell>
          <cell r="H58">
            <v>396</v>
          </cell>
          <cell r="I58">
            <v>724</v>
          </cell>
        </row>
        <row r="59">
          <cell r="A59">
            <v>132052</v>
          </cell>
          <cell r="B59" t="str">
            <v>Personal Financial Advisors</v>
          </cell>
          <cell r="C59">
            <v>920</v>
          </cell>
          <cell r="D59">
            <v>1091</v>
          </cell>
          <cell r="E59">
            <v>171</v>
          </cell>
          <cell r="F59">
            <v>0.1858695652173914</v>
          </cell>
          <cell r="G59">
            <v>171</v>
          </cell>
          <cell r="H59">
            <v>116</v>
          </cell>
          <cell r="I59">
            <v>287</v>
          </cell>
        </row>
        <row r="60">
          <cell r="A60">
            <v>132053</v>
          </cell>
          <cell r="B60" t="str">
            <v>Insurance Underwriters</v>
          </cell>
          <cell r="C60">
            <v>867</v>
          </cell>
          <cell r="D60">
            <v>961</v>
          </cell>
          <cell r="E60">
            <v>94</v>
          </cell>
          <cell r="F60">
            <v>0.10841983852364478</v>
          </cell>
          <cell r="G60">
            <v>94</v>
          </cell>
          <cell r="H60">
            <v>298</v>
          </cell>
          <cell r="I60">
            <v>392</v>
          </cell>
        </row>
        <row r="61">
          <cell r="A61">
            <v>132061</v>
          </cell>
          <cell r="B61" t="str">
            <v>Financial Examiners</v>
          </cell>
          <cell r="C61">
            <v>210</v>
          </cell>
          <cell r="D61">
            <v>234</v>
          </cell>
          <cell r="E61">
            <v>24</v>
          </cell>
          <cell r="F61">
            <v>0.11428571428571432</v>
          </cell>
          <cell r="G61">
            <v>24</v>
          </cell>
          <cell r="H61">
            <v>47</v>
          </cell>
          <cell r="I61">
            <v>71</v>
          </cell>
        </row>
        <row r="62">
          <cell r="A62">
            <v>132071</v>
          </cell>
          <cell r="B62" t="str">
            <v>Loan Counselors</v>
          </cell>
          <cell r="C62">
            <v>479</v>
          </cell>
          <cell r="D62">
            <v>569</v>
          </cell>
          <cell r="E62">
            <v>90</v>
          </cell>
          <cell r="F62">
            <v>0.18789144050104389</v>
          </cell>
          <cell r="G62">
            <v>90</v>
          </cell>
          <cell r="H62">
            <v>134</v>
          </cell>
          <cell r="I62">
            <v>224</v>
          </cell>
        </row>
        <row r="63">
          <cell r="A63">
            <v>132072</v>
          </cell>
          <cell r="B63" t="str">
            <v>Loan Officers</v>
          </cell>
          <cell r="C63">
            <v>3557</v>
          </cell>
          <cell r="D63">
            <v>4238</v>
          </cell>
          <cell r="E63">
            <v>681</v>
          </cell>
          <cell r="F63">
            <v>0.19145347202698915</v>
          </cell>
          <cell r="G63">
            <v>681</v>
          </cell>
          <cell r="H63">
            <v>999</v>
          </cell>
          <cell r="I63">
            <v>1680</v>
          </cell>
        </row>
        <row r="64">
          <cell r="A64">
            <v>132081</v>
          </cell>
          <cell r="B64" t="str">
            <v>Tax Examiners, Collectors, and Revenue Agents</v>
          </cell>
          <cell r="C64">
            <v>586</v>
          </cell>
          <cell r="D64">
            <v>607</v>
          </cell>
          <cell r="E64">
            <v>21</v>
          </cell>
          <cell r="F64">
            <v>3.5836177474402708E-2</v>
          </cell>
          <cell r="G64">
            <v>21</v>
          </cell>
          <cell r="H64">
            <v>140</v>
          </cell>
          <cell r="I64">
            <v>161</v>
          </cell>
        </row>
        <row r="65">
          <cell r="A65">
            <v>132082</v>
          </cell>
          <cell r="B65" t="str">
            <v>Tax Preparers</v>
          </cell>
          <cell r="C65">
            <v>1342</v>
          </cell>
          <cell r="D65">
            <v>1768</v>
          </cell>
          <cell r="E65">
            <v>426</v>
          </cell>
          <cell r="F65">
            <v>0.31743666169895679</v>
          </cell>
          <cell r="G65">
            <v>426</v>
          </cell>
          <cell r="H65">
            <v>350</v>
          </cell>
          <cell r="I65">
            <v>776</v>
          </cell>
        </row>
        <row r="66">
          <cell r="A66">
            <v>132099</v>
          </cell>
          <cell r="B66" t="str">
            <v>Financial Specialists, All Other</v>
          </cell>
          <cell r="C66">
            <v>1685</v>
          </cell>
          <cell r="D66">
            <v>1962</v>
          </cell>
          <cell r="E66">
            <v>277</v>
          </cell>
          <cell r="F66">
            <v>0.16439169139465881</v>
          </cell>
          <cell r="G66">
            <v>277</v>
          </cell>
          <cell r="H66">
            <v>386</v>
          </cell>
          <cell r="I66">
            <v>663</v>
          </cell>
        </row>
        <row r="67">
          <cell r="A67">
            <v>151011</v>
          </cell>
          <cell r="B67" t="str">
            <v>Computer and Information Scientists, Research</v>
          </cell>
          <cell r="C67">
            <v>75</v>
          </cell>
          <cell r="D67">
            <v>95</v>
          </cell>
          <cell r="E67">
            <v>20</v>
          </cell>
          <cell r="F67">
            <v>0.26666666666666661</v>
          </cell>
          <cell r="G67">
            <v>20</v>
          </cell>
          <cell r="H67">
            <v>16</v>
          </cell>
          <cell r="I67">
            <v>36</v>
          </cell>
        </row>
        <row r="68">
          <cell r="A68">
            <v>151021</v>
          </cell>
          <cell r="B68" t="str">
            <v>Computer Programmers</v>
          </cell>
          <cell r="C68">
            <v>3090</v>
          </cell>
          <cell r="D68">
            <v>3858</v>
          </cell>
          <cell r="E68">
            <v>768</v>
          </cell>
          <cell r="F68">
            <v>0.24854368932038828</v>
          </cell>
          <cell r="G68">
            <v>768</v>
          </cell>
          <cell r="H68">
            <v>807</v>
          </cell>
          <cell r="I68">
            <v>1575</v>
          </cell>
        </row>
        <row r="69">
          <cell r="A69">
            <v>151031</v>
          </cell>
          <cell r="B69" t="str">
            <v>Computer Software Engineers, Applications</v>
          </cell>
          <cell r="C69">
            <v>7887</v>
          </cell>
          <cell r="D69">
            <v>9838</v>
          </cell>
          <cell r="E69">
            <v>1951</v>
          </cell>
          <cell r="F69">
            <v>0.24736908837327243</v>
          </cell>
          <cell r="G69">
            <v>1951</v>
          </cell>
          <cell r="H69">
            <v>922</v>
          </cell>
          <cell r="I69">
            <v>2873</v>
          </cell>
        </row>
        <row r="70">
          <cell r="A70">
            <v>151032</v>
          </cell>
          <cell r="B70" t="str">
            <v>Computer Software Engineers, Systems Software</v>
          </cell>
          <cell r="C70">
            <v>1939</v>
          </cell>
          <cell r="D70">
            <v>2352</v>
          </cell>
          <cell r="E70">
            <v>413</v>
          </cell>
          <cell r="F70">
            <v>0.21299638989169667</v>
          </cell>
          <cell r="G70">
            <v>413</v>
          </cell>
          <cell r="H70">
            <v>223</v>
          </cell>
          <cell r="I70">
            <v>636</v>
          </cell>
        </row>
        <row r="71">
          <cell r="A71">
            <v>151041</v>
          </cell>
          <cell r="B71" t="str">
            <v>Computer Support Specialists</v>
          </cell>
          <cell r="C71">
            <v>7299</v>
          </cell>
          <cell r="D71">
            <v>8930</v>
          </cell>
          <cell r="E71">
            <v>1631</v>
          </cell>
          <cell r="F71">
            <v>0.22345526784491021</v>
          </cell>
          <cell r="G71">
            <v>1631</v>
          </cell>
          <cell r="H71">
            <v>2131</v>
          </cell>
          <cell r="I71">
            <v>3762</v>
          </cell>
        </row>
        <row r="72">
          <cell r="A72">
            <v>151051</v>
          </cell>
          <cell r="B72" t="str">
            <v>Computer Systems Analysts</v>
          </cell>
          <cell r="C72">
            <v>4190</v>
          </cell>
          <cell r="D72">
            <v>4972</v>
          </cell>
          <cell r="E72">
            <v>782</v>
          </cell>
          <cell r="F72">
            <v>0.18663484486873516</v>
          </cell>
          <cell r="G72">
            <v>782</v>
          </cell>
          <cell r="H72">
            <v>859</v>
          </cell>
          <cell r="I72">
            <v>1641</v>
          </cell>
        </row>
        <row r="73">
          <cell r="A73">
            <v>151061</v>
          </cell>
          <cell r="B73" t="str">
            <v>Database Administrators</v>
          </cell>
          <cell r="C73">
            <v>1223</v>
          </cell>
          <cell r="D73">
            <v>1465</v>
          </cell>
          <cell r="E73">
            <v>242</v>
          </cell>
          <cell r="F73">
            <v>0.19787408013082586</v>
          </cell>
          <cell r="G73">
            <v>242</v>
          </cell>
          <cell r="H73">
            <v>227</v>
          </cell>
          <cell r="I73">
            <v>469</v>
          </cell>
        </row>
        <row r="74">
          <cell r="A74">
            <v>151071</v>
          </cell>
          <cell r="B74" t="str">
            <v>Network and Computer Systems Administrators</v>
          </cell>
          <cell r="C74">
            <v>3512</v>
          </cell>
          <cell r="D74">
            <v>4138</v>
          </cell>
          <cell r="E74">
            <v>626</v>
          </cell>
          <cell r="F74">
            <v>0.17824601366742598</v>
          </cell>
          <cell r="G74">
            <v>626</v>
          </cell>
          <cell r="H74">
            <v>646</v>
          </cell>
          <cell r="I74">
            <v>1272</v>
          </cell>
        </row>
        <row r="75">
          <cell r="A75">
            <v>151081</v>
          </cell>
          <cell r="B75" t="str">
            <v>Network Systems and Data Communications Analysts</v>
          </cell>
          <cell r="C75">
            <v>2712</v>
          </cell>
          <cell r="D75">
            <v>3221</v>
          </cell>
          <cell r="E75">
            <v>509</v>
          </cell>
          <cell r="F75">
            <v>0.18768436578171088</v>
          </cell>
          <cell r="G75">
            <v>509</v>
          </cell>
          <cell r="H75">
            <v>438</v>
          </cell>
          <cell r="I75">
            <v>947</v>
          </cell>
        </row>
        <row r="76">
          <cell r="A76">
            <v>151099</v>
          </cell>
          <cell r="B76" t="str">
            <v>Computer Specialists, All Other</v>
          </cell>
          <cell r="C76">
            <v>4444</v>
          </cell>
          <cell r="D76">
            <v>5136</v>
          </cell>
          <cell r="E76">
            <v>692</v>
          </cell>
          <cell r="F76">
            <v>0.15571557155715565</v>
          </cell>
          <cell r="G76">
            <v>692</v>
          </cell>
          <cell r="H76">
            <v>898</v>
          </cell>
          <cell r="I76">
            <v>1590</v>
          </cell>
        </row>
        <row r="77">
          <cell r="A77">
            <v>152011</v>
          </cell>
          <cell r="B77" t="str">
            <v>Actuaries</v>
          </cell>
          <cell r="C77">
            <v>145</v>
          </cell>
          <cell r="D77">
            <v>179</v>
          </cell>
          <cell r="E77">
            <v>34</v>
          </cell>
          <cell r="F77">
            <v>0.23448275862068968</v>
          </cell>
          <cell r="G77">
            <v>34</v>
          </cell>
          <cell r="H77">
            <v>98</v>
          </cell>
          <cell r="I77">
            <v>132</v>
          </cell>
        </row>
        <row r="78">
          <cell r="A78">
            <v>152031</v>
          </cell>
          <cell r="B78" t="str">
            <v>Operations Research Analysts</v>
          </cell>
          <cell r="C78">
            <v>322</v>
          </cell>
          <cell r="D78">
            <v>373</v>
          </cell>
          <cell r="E78">
            <v>51</v>
          </cell>
          <cell r="F78">
            <v>0.15838509316770177</v>
          </cell>
          <cell r="G78">
            <v>51</v>
          </cell>
          <cell r="H78">
            <v>111</v>
          </cell>
          <cell r="I78">
            <v>162</v>
          </cell>
        </row>
        <row r="79">
          <cell r="A79">
            <v>152041</v>
          </cell>
          <cell r="B79" t="str">
            <v>Statisticians</v>
          </cell>
          <cell r="C79">
            <v>516</v>
          </cell>
          <cell r="D79">
            <v>591</v>
          </cell>
          <cell r="E79">
            <v>75</v>
          </cell>
          <cell r="F79">
            <v>0.14534883720930236</v>
          </cell>
          <cell r="G79">
            <v>75</v>
          </cell>
          <cell r="H79">
            <v>334</v>
          </cell>
          <cell r="I79">
            <v>409</v>
          </cell>
        </row>
        <row r="80">
          <cell r="A80">
            <v>152091</v>
          </cell>
          <cell r="B80" t="str">
            <v>Mathematical Technicians</v>
          </cell>
          <cell r="C80">
            <v>61</v>
          </cell>
          <cell r="D80">
            <v>67</v>
          </cell>
          <cell r="E80">
            <v>6</v>
          </cell>
          <cell r="F80">
            <v>9.8360655737705027E-2</v>
          </cell>
          <cell r="G80">
            <v>6</v>
          </cell>
          <cell r="H80">
            <v>39</v>
          </cell>
          <cell r="I80">
            <v>45</v>
          </cell>
        </row>
        <row r="81">
          <cell r="A81">
            <v>152099</v>
          </cell>
          <cell r="B81" t="str">
            <v>Mathematical Scientists, All Other</v>
          </cell>
          <cell r="C81">
            <v>6</v>
          </cell>
          <cell r="D81">
            <v>6</v>
          </cell>
          <cell r="E81">
            <v>0</v>
          </cell>
          <cell r="F81">
            <v>0</v>
          </cell>
          <cell r="G81">
            <v>0</v>
          </cell>
          <cell r="H81">
            <v>4</v>
          </cell>
          <cell r="I81">
            <v>4</v>
          </cell>
        </row>
        <row r="82">
          <cell r="A82">
            <v>171011</v>
          </cell>
          <cell r="B82" t="str">
            <v>Architects, Except Landscape and Naval</v>
          </cell>
          <cell r="C82">
            <v>1412</v>
          </cell>
          <cell r="D82">
            <v>1775</v>
          </cell>
          <cell r="E82">
            <v>363</v>
          </cell>
          <cell r="F82">
            <v>0.25708215297450421</v>
          </cell>
          <cell r="G82">
            <v>363</v>
          </cell>
          <cell r="H82">
            <v>323</v>
          </cell>
          <cell r="I82">
            <v>686</v>
          </cell>
        </row>
        <row r="83">
          <cell r="A83">
            <v>171012</v>
          </cell>
          <cell r="B83" t="str">
            <v>Landscape Architects</v>
          </cell>
          <cell r="C83">
            <v>268</v>
          </cell>
          <cell r="D83">
            <v>333</v>
          </cell>
          <cell r="E83">
            <v>65</v>
          </cell>
          <cell r="F83">
            <v>0.24253731343283591</v>
          </cell>
          <cell r="G83">
            <v>65</v>
          </cell>
          <cell r="H83">
            <v>61</v>
          </cell>
          <cell r="I83">
            <v>126</v>
          </cell>
        </row>
        <row r="84">
          <cell r="A84">
            <v>171021</v>
          </cell>
          <cell r="B84" t="str">
            <v>Cartographers and Photogrammetrists</v>
          </cell>
          <cell r="C84">
            <v>402</v>
          </cell>
          <cell r="D84">
            <v>467</v>
          </cell>
          <cell r="E84">
            <v>65</v>
          </cell>
          <cell r="F84">
            <v>0.1616915422885572</v>
          </cell>
          <cell r="G84">
            <v>65</v>
          </cell>
          <cell r="H84">
            <v>95</v>
          </cell>
          <cell r="I84">
            <v>160</v>
          </cell>
        </row>
        <row r="85">
          <cell r="A85">
            <v>171022</v>
          </cell>
          <cell r="B85" t="str">
            <v>Surveyors</v>
          </cell>
          <cell r="C85">
            <v>654</v>
          </cell>
          <cell r="D85">
            <v>782</v>
          </cell>
          <cell r="E85">
            <v>128</v>
          </cell>
          <cell r="F85">
            <v>0.19571865443425085</v>
          </cell>
          <cell r="G85">
            <v>128</v>
          </cell>
          <cell r="H85">
            <v>156</v>
          </cell>
          <cell r="I85">
            <v>284</v>
          </cell>
        </row>
        <row r="86">
          <cell r="A86">
            <v>172011</v>
          </cell>
          <cell r="B86" t="str">
            <v>Aerospace Engineers</v>
          </cell>
          <cell r="C86">
            <v>90</v>
          </cell>
          <cell r="D86">
            <v>115</v>
          </cell>
          <cell r="E86">
            <v>25</v>
          </cell>
          <cell r="F86">
            <v>0.27777777777777768</v>
          </cell>
          <cell r="G86">
            <v>25</v>
          </cell>
          <cell r="H86">
            <v>23</v>
          </cell>
          <cell r="I86">
            <v>48</v>
          </cell>
        </row>
        <row r="87">
          <cell r="A87">
            <v>172021</v>
          </cell>
          <cell r="B87" t="str">
            <v>Agricultural Engineers</v>
          </cell>
          <cell r="C87">
            <v>28</v>
          </cell>
          <cell r="D87">
            <v>36</v>
          </cell>
          <cell r="E87">
            <v>8</v>
          </cell>
          <cell r="F87">
            <v>0.28571428571428581</v>
          </cell>
          <cell r="G87">
            <v>8</v>
          </cell>
          <cell r="H87">
            <v>7</v>
          </cell>
          <cell r="I87">
            <v>15</v>
          </cell>
        </row>
        <row r="88">
          <cell r="A88">
            <v>172031</v>
          </cell>
          <cell r="B88" t="str">
            <v>Biomedical Engineers</v>
          </cell>
          <cell r="C88">
            <v>61</v>
          </cell>
          <cell r="D88">
            <v>75</v>
          </cell>
          <cell r="E88">
            <v>14</v>
          </cell>
          <cell r="F88">
            <v>0.22950819672131151</v>
          </cell>
          <cell r="G88">
            <v>14</v>
          </cell>
          <cell r="H88">
            <v>15</v>
          </cell>
          <cell r="I88">
            <v>29</v>
          </cell>
        </row>
        <row r="89">
          <cell r="A89">
            <v>172041</v>
          </cell>
          <cell r="B89" t="str">
            <v>Chemical Engineers</v>
          </cell>
          <cell r="C89">
            <v>230</v>
          </cell>
          <cell r="D89">
            <v>272</v>
          </cell>
          <cell r="E89">
            <v>42</v>
          </cell>
          <cell r="F89">
            <v>0.18260869565217397</v>
          </cell>
          <cell r="G89">
            <v>42</v>
          </cell>
          <cell r="H89">
            <v>80</v>
          </cell>
          <cell r="I89">
            <v>122</v>
          </cell>
        </row>
        <row r="90">
          <cell r="A90">
            <v>172051</v>
          </cell>
          <cell r="B90" t="str">
            <v>Civil Engineers</v>
          </cell>
          <cell r="C90">
            <v>3180</v>
          </cell>
          <cell r="D90">
            <v>3743</v>
          </cell>
          <cell r="E90">
            <v>563</v>
          </cell>
          <cell r="F90">
            <v>0.17704402515723272</v>
          </cell>
          <cell r="G90">
            <v>563</v>
          </cell>
          <cell r="H90">
            <v>703</v>
          </cell>
          <cell r="I90">
            <v>1266</v>
          </cell>
        </row>
        <row r="91">
          <cell r="A91">
            <v>172061</v>
          </cell>
          <cell r="B91" t="str">
            <v>Computer Hardware Engineers</v>
          </cell>
          <cell r="C91">
            <v>2800</v>
          </cell>
          <cell r="D91">
            <v>3191</v>
          </cell>
          <cell r="E91">
            <v>391</v>
          </cell>
          <cell r="F91">
            <v>0.13964285714285718</v>
          </cell>
          <cell r="G91">
            <v>391</v>
          </cell>
          <cell r="H91">
            <v>708</v>
          </cell>
          <cell r="I91">
            <v>1099</v>
          </cell>
        </row>
        <row r="92">
          <cell r="A92">
            <v>172071</v>
          </cell>
          <cell r="B92" t="str">
            <v>Electrical Engineers</v>
          </cell>
          <cell r="C92">
            <v>1559</v>
          </cell>
          <cell r="D92">
            <v>1815</v>
          </cell>
          <cell r="E92">
            <v>256</v>
          </cell>
          <cell r="F92">
            <v>0.16420782552918545</v>
          </cell>
          <cell r="G92">
            <v>256</v>
          </cell>
          <cell r="H92">
            <v>407</v>
          </cell>
          <cell r="I92">
            <v>663</v>
          </cell>
        </row>
        <row r="93">
          <cell r="A93">
            <v>172072</v>
          </cell>
          <cell r="B93" t="str">
            <v>Electronics Engineers, Except Computer</v>
          </cell>
          <cell r="C93">
            <v>2947</v>
          </cell>
          <cell r="D93">
            <v>3365</v>
          </cell>
          <cell r="E93">
            <v>418</v>
          </cell>
          <cell r="F93">
            <v>0.14183915846623685</v>
          </cell>
          <cell r="G93">
            <v>418</v>
          </cell>
          <cell r="H93">
            <v>761</v>
          </cell>
          <cell r="I93">
            <v>1179</v>
          </cell>
        </row>
        <row r="94">
          <cell r="A94">
            <v>172081</v>
          </cell>
          <cell r="B94" t="str">
            <v>Environmental Engineers</v>
          </cell>
          <cell r="C94">
            <v>448</v>
          </cell>
          <cell r="D94">
            <v>526</v>
          </cell>
          <cell r="E94">
            <v>78</v>
          </cell>
          <cell r="F94">
            <v>0.17410714285714279</v>
          </cell>
          <cell r="G94">
            <v>78</v>
          </cell>
          <cell r="H94">
            <v>107</v>
          </cell>
          <cell r="I94">
            <v>185</v>
          </cell>
        </row>
        <row r="95">
          <cell r="A95">
            <v>172111</v>
          </cell>
          <cell r="B95" t="str">
            <v>Health and Safety Engineers, Except Mining Safety Engineers and Inspectors</v>
          </cell>
          <cell r="C95">
            <v>185</v>
          </cell>
          <cell r="D95">
            <v>212</v>
          </cell>
          <cell r="E95">
            <v>27</v>
          </cell>
          <cell r="F95">
            <v>0.14594594594594601</v>
          </cell>
          <cell r="G95">
            <v>27</v>
          </cell>
          <cell r="H95">
            <v>43</v>
          </cell>
          <cell r="I95">
            <v>70</v>
          </cell>
        </row>
        <row r="96">
          <cell r="A96">
            <v>172112</v>
          </cell>
          <cell r="B96" t="str">
            <v>Industrial Engineers</v>
          </cell>
          <cell r="C96">
            <v>2130</v>
          </cell>
          <cell r="D96">
            <v>2460</v>
          </cell>
          <cell r="E96">
            <v>330</v>
          </cell>
          <cell r="F96">
            <v>0.15492957746478875</v>
          </cell>
          <cell r="G96">
            <v>330</v>
          </cell>
          <cell r="H96">
            <v>500</v>
          </cell>
          <cell r="I96">
            <v>830</v>
          </cell>
        </row>
        <row r="97">
          <cell r="A97">
            <v>172121</v>
          </cell>
          <cell r="B97" t="str">
            <v>Marine Engineers and Naval Architects</v>
          </cell>
          <cell r="C97">
            <v>7</v>
          </cell>
          <cell r="D97">
            <v>18</v>
          </cell>
          <cell r="E97">
            <v>11</v>
          </cell>
          <cell r="F97">
            <v>1.5714285714285716</v>
          </cell>
          <cell r="G97">
            <v>11</v>
          </cell>
          <cell r="H97">
            <v>3</v>
          </cell>
          <cell r="I97">
            <v>14</v>
          </cell>
        </row>
        <row r="98">
          <cell r="A98">
            <v>172131</v>
          </cell>
          <cell r="B98" t="str">
            <v>Materials Engineers</v>
          </cell>
          <cell r="C98">
            <v>350</v>
          </cell>
          <cell r="D98">
            <v>412</v>
          </cell>
          <cell r="E98">
            <v>62</v>
          </cell>
          <cell r="F98">
            <v>0.17714285714285705</v>
          </cell>
          <cell r="G98">
            <v>62</v>
          </cell>
          <cell r="H98">
            <v>105</v>
          </cell>
          <cell r="I98">
            <v>167</v>
          </cell>
        </row>
        <row r="99">
          <cell r="A99">
            <v>172141</v>
          </cell>
          <cell r="B99" t="str">
            <v>Mechanical Engineers</v>
          </cell>
          <cell r="C99">
            <v>2535</v>
          </cell>
          <cell r="D99">
            <v>3018</v>
          </cell>
          <cell r="E99">
            <v>483</v>
          </cell>
          <cell r="F99">
            <v>0.19053254437869827</v>
          </cell>
          <cell r="G99">
            <v>483</v>
          </cell>
          <cell r="H99">
            <v>893</v>
          </cell>
          <cell r="I99">
            <v>1376</v>
          </cell>
        </row>
        <row r="100">
          <cell r="A100">
            <v>172199</v>
          </cell>
          <cell r="B100" t="str">
            <v>Engineers, All Other</v>
          </cell>
          <cell r="C100">
            <v>2167</v>
          </cell>
          <cell r="D100">
            <v>2505</v>
          </cell>
          <cell r="E100">
            <v>338</v>
          </cell>
          <cell r="F100">
            <v>0.1559760036917397</v>
          </cell>
          <cell r="G100">
            <v>338</v>
          </cell>
          <cell r="H100">
            <v>514</v>
          </cell>
          <cell r="I100">
            <v>852</v>
          </cell>
        </row>
        <row r="101">
          <cell r="A101">
            <v>173011</v>
          </cell>
          <cell r="B101" t="str">
            <v>Architectural and Civil Drafters</v>
          </cell>
          <cell r="C101">
            <v>1299</v>
          </cell>
          <cell r="D101">
            <v>1606</v>
          </cell>
          <cell r="E101">
            <v>307</v>
          </cell>
          <cell r="F101">
            <v>0.23633564280215547</v>
          </cell>
          <cell r="G101">
            <v>307</v>
          </cell>
          <cell r="H101">
            <v>281</v>
          </cell>
          <cell r="I101">
            <v>588</v>
          </cell>
        </row>
        <row r="102">
          <cell r="A102">
            <v>173012</v>
          </cell>
          <cell r="B102" t="str">
            <v>Electrical and Electronics Drafters</v>
          </cell>
          <cell r="C102">
            <v>284</v>
          </cell>
          <cell r="D102">
            <v>343</v>
          </cell>
          <cell r="E102">
            <v>59</v>
          </cell>
          <cell r="F102">
            <v>0.20774647887323949</v>
          </cell>
          <cell r="G102">
            <v>59</v>
          </cell>
          <cell r="H102">
            <v>61</v>
          </cell>
          <cell r="I102">
            <v>120</v>
          </cell>
        </row>
        <row r="103">
          <cell r="A103">
            <v>173013</v>
          </cell>
          <cell r="B103" t="str">
            <v>Mechanical Drafters</v>
          </cell>
          <cell r="C103">
            <v>635</v>
          </cell>
          <cell r="D103">
            <v>779</v>
          </cell>
          <cell r="E103">
            <v>144</v>
          </cell>
          <cell r="F103">
            <v>0.22677165354330708</v>
          </cell>
          <cell r="G103">
            <v>144</v>
          </cell>
          <cell r="H103">
            <v>137</v>
          </cell>
          <cell r="I103">
            <v>281</v>
          </cell>
        </row>
        <row r="104">
          <cell r="A104">
            <v>173019</v>
          </cell>
          <cell r="B104" t="str">
            <v>Drafters, All Other</v>
          </cell>
          <cell r="C104">
            <v>425</v>
          </cell>
          <cell r="D104">
            <v>517</v>
          </cell>
          <cell r="E104">
            <v>92</v>
          </cell>
          <cell r="F104">
            <v>0.21647058823529419</v>
          </cell>
          <cell r="G104">
            <v>92</v>
          </cell>
          <cell r="H104">
            <v>91</v>
          </cell>
          <cell r="I104">
            <v>183</v>
          </cell>
        </row>
        <row r="105">
          <cell r="A105">
            <v>173022</v>
          </cell>
          <cell r="B105" t="str">
            <v>Civil Engineering Technicians</v>
          </cell>
          <cell r="C105">
            <v>996</v>
          </cell>
          <cell r="D105">
            <v>1114</v>
          </cell>
          <cell r="E105">
            <v>118</v>
          </cell>
          <cell r="F105">
            <v>0.11847389558232924</v>
          </cell>
          <cell r="G105">
            <v>118</v>
          </cell>
          <cell r="H105">
            <v>202</v>
          </cell>
          <cell r="I105">
            <v>320</v>
          </cell>
        </row>
        <row r="106">
          <cell r="A106">
            <v>173023</v>
          </cell>
          <cell r="B106" t="str">
            <v>Electrical and Electronic Engineering Technicians</v>
          </cell>
          <cell r="C106">
            <v>2932</v>
          </cell>
          <cell r="D106">
            <v>3366</v>
          </cell>
          <cell r="E106">
            <v>434</v>
          </cell>
          <cell r="F106">
            <v>0.14802182810368358</v>
          </cell>
          <cell r="G106">
            <v>434</v>
          </cell>
          <cell r="H106">
            <v>602</v>
          </cell>
          <cell r="I106">
            <v>1036</v>
          </cell>
        </row>
        <row r="107">
          <cell r="A107">
            <v>173024</v>
          </cell>
          <cell r="B107" t="str">
            <v>Electro-Mechanical Technicians</v>
          </cell>
          <cell r="C107">
            <v>131</v>
          </cell>
          <cell r="D107">
            <v>159</v>
          </cell>
          <cell r="E107">
            <v>28</v>
          </cell>
          <cell r="F107">
            <v>0.21374045801526709</v>
          </cell>
          <cell r="G107">
            <v>28</v>
          </cell>
          <cell r="H107">
            <v>28</v>
          </cell>
          <cell r="I107">
            <v>56</v>
          </cell>
        </row>
        <row r="108">
          <cell r="A108">
            <v>173025</v>
          </cell>
          <cell r="B108" t="str">
            <v>Environmental Engineering Technicians</v>
          </cell>
          <cell r="C108">
            <v>185</v>
          </cell>
          <cell r="D108">
            <v>216</v>
          </cell>
          <cell r="E108">
            <v>31</v>
          </cell>
          <cell r="F108">
            <v>0.16756756756756763</v>
          </cell>
          <cell r="G108">
            <v>31</v>
          </cell>
          <cell r="H108">
            <v>38</v>
          </cell>
          <cell r="I108">
            <v>69</v>
          </cell>
        </row>
        <row r="109">
          <cell r="A109">
            <v>173026</v>
          </cell>
          <cell r="B109" t="str">
            <v>Industrial Engineering Technicians</v>
          </cell>
          <cell r="C109">
            <v>669</v>
          </cell>
          <cell r="D109">
            <v>791</v>
          </cell>
          <cell r="E109">
            <v>122</v>
          </cell>
          <cell r="F109">
            <v>0.18236173393124067</v>
          </cell>
          <cell r="G109">
            <v>122</v>
          </cell>
          <cell r="H109">
            <v>140</v>
          </cell>
          <cell r="I109">
            <v>262</v>
          </cell>
        </row>
        <row r="110">
          <cell r="A110">
            <v>173027</v>
          </cell>
          <cell r="B110" t="str">
            <v>Mechanical Engineering Technicians</v>
          </cell>
          <cell r="C110">
            <v>425</v>
          </cell>
          <cell r="D110">
            <v>516</v>
          </cell>
          <cell r="E110">
            <v>91</v>
          </cell>
          <cell r="F110">
            <v>0.21411764705882352</v>
          </cell>
          <cell r="G110">
            <v>91</v>
          </cell>
          <cell r="H110">
            <v>90</v>
          </cell>
          <cell r="I110">
            <v>181</v>
          </cell>
        </row>
        <row r="111">
          <cell r="A111">
            <v>173029</v>
          </cell>
          <cell r="B111" t="str">
            <v>Engineering Technicians, All Other</v>
          </cell>
          <cell r="C111">
            <v>1549</v>
          </cell>
          <cell r="D111">
            <v>1734</v>
          </cell>
          <cell r="E111">
            <v>185</v>
          </cell>
          <cell r="F111">
            <v>0.11943189154293088</v>
          </cell>
          <cell r="G111">
            <v>185</v>
          </cell>
          <cell r="H111">
            <v>314</v>
          </cell>
          <cell r="I111">
            <v>499</v>
          </cell>
        </row>
        <row r="112">
          <cell r="A112">
            <v>173031</v>
          </cell>
          <cell r="B112" t="str">
            <v>Surveying and Mapping Technicians</v>
          </cell>
          <cell r="C112">
            <v>1178</v>
          </cell>
          <cell r="D112">
            <v>1409</v>
          </cell>
          <cell r="E112">
            <v>231</v>
          </cell>
          <cell r="F112">
            <v>0.19609507640067902</v>
          </cell>
          <cell r="G112">
            <v>231</v>
          </cell>
          <cell r="H112">
            <v>248</v>
          </cell>
          <cell r="I112">
            <v>479</v>
          </cell>
        </row>
        <row r="113">
          <cell r="A113">
            <v>191011</v>
          </cell>
          <cell r="B113" t="str">
            <v>Animal Scientists</v>
          </cell>
          <cell r="C113">
            <v>37</v>
          </cell>
          <cell r="D113">
            <v>45</v>
          </cell>
          <cell r="E113">
            <v>8</v>
          </cell>
          <cell r="F113">
            <v>0.21621621621621623</v>
          </cell>
          <cell r="G113">
            <v>8</v>
          </cell>
          <cell r="H113">
            <v>17</v>
          </cell>
          <cell r="I113">
            <v>25</v>
          </cell>
        </row>
        <row r="114">
          <cell r="A114">
            <v>191012</v>
          </cell>
          <cell r="B114" t="str">
            <v>Food Scientists and Technologists</v>
          </cell>
          <cell r="C114">
            <v>164</v>
          </cell>
          <cell r="D114">
            <v>185</v>
          </cell>
          <cell r="E114">
            <v>21</v>
          </cell>
          <cell r="F114">
            <v>0.12804878048780477</v>
          </cell>
          <cell r="G114">
            <v>21</v>
          </cell>
          <cell r="H114">
            <v>71</v>
          </cell>
          <cell r="I114">
            <v>92</v>
          </cell>
        </row>
        <row r="115">
          <cell r="A115">
            <v>191013</v>
          </cell>
          <cell r="B115" t="str">
            <v>Soil and Plant Scientists</v>
          </cell>
          <cell r="C115">
            <v>542</v>
          </cell>
          <cell r="D115">
            <v>615</v>
          </cell>
          <cell r="E115">
            <v>73</v>
          </cell>
          <cell r="F115">
            <v>0.1346863468634687</v>
          </cell>
          <cell r="G115">
            <v>73</v>
          </cell>
          <cell r="H115">
            <v>237</v>
          </cell>
          <cell r="I115">
            <v>310</v>
          </cell>
        </row>
        <row r="116">
          <cell r="A116">
            <v>191021</v>
          </cell>
          <cell r="B116" t="str">
            <v>Biochemists and Biophysicists</v>
          </cell>
          <cell r="C116">
            <v>110</v>
          </cell>
          <cell r="D116">
            <v>129</v>
          </cell>
          <cell r="E116">
            <v>19</v>
          </cell>
          <cell r="F116">
            <v>0.17272727272727262</v>
          </cell>
          <cell r="G116">
            <v>19</v>
          </cell>
          <cell r="H116">
            <v>27</v>
          </cell>
          <cell r="I116">
            <v>46</v>
          </cell>
        </row>
        <row r="117">
          <cell r="A117">
            <v>191022</v>
          </cell>
          <cell r="B117" t="str">
            <v>Microbiologists</v>
          </cell>
          <cell r="C117">
            <v>126</v>
          </cell>
          <cell r="D117">
            <v>144</v>
          </cell>
          <cell r="E117">
            <v>18</v>
          </cell>
          <cell r="F117">
            <v>0.14285714285714279</v>
          </cell>
          <cell r="G117">
            <v>18</v>
          </cell>
          <cell r="H117">
            <v>30</v>
          </cell>
          <cell r="I117">
            <v>48</v>
          </cell>
        </row>
        <row r="118">
          <cell r="A118">
            <v>191023</v>
          </cell>
          <cell r="B118" t="str">
            <v>Zoologists and Wildlife Biologists</v>
          </cell>
          <cell r="C118">
            <v>1290</v>
          </cell>
          <cell r="D118">
            <v>1470</v>
          </cell>
          <cell r="E118">
            <v>180</v>
          </cell>
          <cell r="F118">
            <v>0.13953488372093026</v>
          </cell>
          <cell r="G118">
            <v>180</v>
          </cell>
          <cell r="H118">
            <v>311</v>
          </cell>
          <cell r="I118">
            <v>491</v>
          </cell>
        </row>
        <row r="119">
          <cell r="A119">
            <v>191029</v>
          </cell>
          <cell r="B119" t="str">
            <v>Biological Scientists, All Other</v>
          </cell>
          <cell r="C119">
            <v>901</v>
          </cell>
          <cell r="D119">
            <v>941</v>
          </cell>
          <cell r="E119">
            <v>40</v>
          </cell>
          <cell r="F119">
            <v>4.4395116537180979E-2</v>
          </cell>
          <cell r="G119">
            <v>40</v>
          </cell>
          <cell r="H119">
            <v>207</v>
          </cell>
          <cell r="I119">
            <v>247</v>
          </cell>
        </row>
        <row r="120">
          <cell r="A120">
            <v>191031</v>
          </cell>
          <cell r="B120" t="str">
            <v>Conservation Scientists</v>
          </cell>
          <cell r="C120">
            <v>461</v>
          </cell>
          <cell r="D120">
            <v>476</v>
          </cell>
          <cell r="E120">
            <v>15</v>
          </cell>
          <cell r="F120">
            <v>3.2537960954446943E-2</v>
          </cell>
          <cell r="G120">
            <v>15</v>
          </cell>
          <cell r="H120">
            <v>57</v>
          </cell>
          <cell r="I120">
            <v>72</v>
          </cell>
        </row>
        <row r="121">
          <cell r="A121">
            <v>191032</v>
          </cell>
          <cell r="B121" t="str">
            <v>Foresters</v>
          </cell>
          <cell r="C121">
            <v>778</v>
          </cell>
          <cell r="D121">
            <v>845</v>
          </cell>
          <cell r="E121">
            <v>67</v>
          </cell>
          <cell r="F121">
            <v>8.6118251928020584E-2</v>
          </cell>
          <cell r="G121">
            <v>67</v>
          </cell>
          <cell r="H121">
            <v>98</v>
          </cell>
          <cell r="I121">
            <v>165</v>
          </cell>
        </row>
        <row r="122">
          <cell r="A122">
            <v>191041</v>
          </cell>
          <cell r="B122" t="str">
            <v>Epidemiologists</v>
          </cell>
          <cell r="C122">
            <v>43</v>
          </cell>
          <cell r="D122">
            <v>47</v>
          </cell>
          <cell r="E122">
            <v>4</v>
          </cell>
          <cell r="F122">
            <v>9.3023255813953432E-2</v>
          </cell>
          <cell r="G122">
            <v>4</v>
          </cell>
          <cell r="H122">
            <v>3</v>
          </cell>
          <cell r="I122">
            <v>7</v>
          </cell>
        </row>
        <row r="123">
          <cell r="A123">
            <v>191042</v>
          </cell>
          <cell r="B123" t="str">
            <v>Medical Scientists, Except Epidemiologists</v>
          </cell>
          <cell r="C123">
            <v>1065</v>
          </cell>
          <cell r="D123">
            <v>1340</v>
          </cell>
          <cell r="E123">
            <v>275</v>
          </cell>
          <cell r="F123">
            <v>0.25821596244131451</v>
          </cell>
          <cell r="G123">
            <v>275</v>
          </cell>
          <cell r="H123">
            <v>74</v>
          </cell>
          <cell r="I123">
            <v>349</v>
          </cell>
        </row>
        <row r="124">
          <cell r="A124">
            <v>191099</v>
          </cell>
          <cell r="B124" t="str">
            <v>Life Scientists, All Other</v>
          </cell>
          <cell r="C124">
            <v>197</v>
          </cell>
          <cell r="D124">
            <v>229</v>
          </cell>
          <cell r="E124">
            <v>32</v>
          </cell>
          <cell r="F124">
            <v>0.1624365482233503</v>
          </cell>
          <cell r="G124">
            <v>32</v>
          </cell>
          <cell r="H124">
            <v>13</v>
          </cell>
          <cell r="I124">
            <v>45</v>
          </cell>
        </row>
        <row r="125">
          <cell r="A125">
            <v>192011</v>
          </cell>
          <cell r="B125" t="str">
            <v>Astronomers</v>
          </cell>
          <cell r="C125">
            <v>1</v>
          </cell>
          <cell r="D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192012</v>
          </cell>
          <cell r="B126" t="str">
            <v>Physicists</v>
          </cell>
          <cell r="C126">
            <v>91</v>
          </cell>
          <cell r="D126">
            <v>111</v>
          </cell>
          <cell r="E126">
            <v>20</v>
          </cell>
          <cell r="F126">
            <v>0.21978021978021989</v>
          </cell>
          <cell r="G126">
            <v>20</v>
          </cell>
          <cell r="H126">
            <v>30</v>
          </cell>
          <cell r="I126">
            <v>50</v>
          </cell>
        </row>
        <row r="127">
          <cell r="A127">
            <v>192021</v>
          </cell>
          <cell r="B127" t="str">
            <v>Atmospheric and Space Scientists</v>
          </cell>
          <cell r="C127">
            <v>94</v>
          </cell>
          <cell r="D127">
            <v>95</v>
          </cell>
          <cell r="E127">
            <v>1</v>
          </cell>
          <cell r="F127">
            <v>1.0638297872340496E-2</v>
          </cell>
          <cell r="G127">
            <v>1</v>
          </cell>
          <cell r="H127">
            <v>11</v>
          </cell>
          <cell r="I127">
            <v>12</v>
          </cell>
        </row>
        <row r="128">
          <cell r="A128">
            <v>192031</v>
          </cell>
          <cell r="B128" t="str">
            <v>Chemists</v>
          </cell>
          <cell r="C128">
            <v>585</v>
          </cell>
          <cell r="D128">
            <v>699</v>
          </cell>
          <cell r="E128">
            <v>114</v>
          </cell>
          <cell r="F128">
            <v>0.19487179487179485</v>
          </cell>
          <cell r="G128">
            <v>114</v>
          </cell>
          <cell r="H128">
            <v>209</v>
          </cell>
          <cell r="I128">
            <v>323</v>
          </cell>
        </row>
        <row r="129">
          <cell r="A129">
            <v>192032</v>
          </cell>
          <cell r="B129" t="str">
            <v>Materials Scientists</v>
          </cell>
          <cell r="C129">
            <v>42</v>
          </cell>
          <cell r="D129">
            <v>49</v>
          </cell>
          <cell r="E129">
            <v>7</v>
          </cell>
          <cell r="F129">
            <v>0.16666666666666674</v>
          </cell>
          <cell r="G129">
            <v>7</v>
          </cell>
          <cell r="H129">
            <v>15</v>
          </cell>
          <cell r="I129">
            <v>22</v>
          </cell>
        </row>
        <row r="130">
          <cell r="A130">
            <v>192041</v>
          </cell>
          <cell r="B130" t="str">
            <v>Environmental Scientists and Specialists, Including Health</v>
          </cell>
          <cell r="C130">
            <v>1045</v>
          </cell>
          <cell r="D130">
            <v>1185</v>
          </cell>
          <cell r="E130">
            <v>140</v>
          </cell>
          <cell r="F130">
            <v>0.13397129186602874</v>
          </cell>
          <cell r="G130">
            <v>140</v>
          </cell>
          <cell r="H130">
            <v>330</v>
          </cell>
          <cell r="I130">
            <v>470</v>
          </cell>
        </row>
        <row r="131">
          <cell r="A131">
            <v>192042</v>
          </cell>
          <cell r="B131" t="str">
            <v>Geoscientists, Except Hydrologists and Geographers</v>
          </cell>
          <cell r="C131">
            <v>298</v>
          </cell>
          <cell r="D131">
            <v>378</v>
          </cell>
          <cell r="E131">
            <v>80</v>
          </cell>
          <cell r="F131">
            <v>0.26845637583892623</v>
          </cell>
          <cell r="G131">
            <v>80</v>
          </cell>
          <cell r="H131">
            <v>100</v>
          </cell>
          <cell r="I131">
            <v>180</v>
          </cell>
        </row>
        <row r="132">
          <cell r="A132">
            <v>192043</v>
          </cell>
          <cell r="B132" t="str">
            <v>Hydrologists</v>
          </cell>
          <cell r="C132">
            <v>241</v>
          </cell>
          <cell r="D132">
            <v>275</v>
          </cell>
          <cell r="E132">
            <v>34</v>
          </cell>
          <cell r="F132">
            <v>0.1410788381742738</v>
          </cell>
          <cell r="G132">
            <v>34</v>
          </cell>
          <cell r="H132">
            <v>76</v>
          </cell>
          <cell r="I132">
            <v>110</v>
          </cell>
        </row>
        <row r="133">
          <cell r="A133">
            <v>192099</v>
          </cell>
          <cell r="B133" t="str">
            <v>Physical Scientists, All Other</v>
          </cell>
          <cell r="C133">
            <v>485</v>
          </cell>
          <cell r="D133">
            <v>549</v>
          </cell>
          <cell r="E133">
            <v>64</v>
          </cell>
          <cell r="F133">
            <v>0.13195876288659791</v>
          </cell>
          <cell r="G133">
            <v>64</v>
          </cell>
          <cell r="H133">
            <v>184</v>
          </cell>
          <cell r="I133">
            <v>248</v>
          </cell>
        </row>
        <row r="134">
          <cell r="A134">
            <v>193011</v>
          </cell>
          <cell r="B134" t="str">
            <v>Economists</v>
          </cell>
          <cell r="C134">
            <v>370</v>
          </cell>
          <cell r="D134">
            <v>454</v>
          </cell>
          <cell r="E134">
            <v>84</v>
          </cell>
          <cell r="F134">
            <v>0.22702702702702693</v>
          </cell>
          <cell r="G134">
            <v>84</v>
          </cell>
          <cell r="H134">
            <v>130</v>
          </cell>
          <cell r="I134">
            <v>214</v>
          </cell>
        </row>
        <row r="135">
          <cell r="A135">
            <v>193021</v>
          </cell>
          <cell r="B135" t="str">
            <v>Market Research Analysts</v>
          </cell>
          <cell r="C135">
            <v>1538</v>
          </cell>
          <cell r="D135">
            <v>1872</v>
          </cell>
          <cell r="E135">
            <v>334</v>
          </cell>
          <cell r="F135">
            <v>0.21716514954486343</v>
          </cell>
          <cell r="G135">
            <v>334</v>
          </cell>
          <cell r="H135">
            <v>453</v>
          </cell>
          <cell r="I135">
            <v>787</v>
          </cell>
        </row>
        <row r="136">
          <cell r="A136">
            <v>193022</v>
          </cell>
          <cell r="B136" t="str">
            <v>Survey Researchers</v>
          </cell>
          <cell r="C136">
            <v>212</v>
          </cell>
          <cell r="D136">
            <v>271</v>
          </cell>
          <cell r="E136">
            <v>59</v>
          </cell>
          <cell r="F136">
            <v>0.27830188679245293</v>
          </cell>
          <cell r="G136">
            <v>59</v>
          </cell>
          <cell r="H136">
            <v>64</v>
          </cell>
          <cell r="I136">
            <v>123</v>
          </cell>
        </row>
        <row r="137">
          <cell r="A137">
            <v>193031</v>
          </cell>
          <cell r="B137" t="str">
            <v>Clinical, Counseling, and School Psychologists</v>
          </cell>
          <cell r="C137">
            <v>1105</v>
          </cell>
          <cell r="D137">
            <v>1345</v>
          </cell>
          <cell r="E137">
            <v>240</v>
          </cell>
          <cell r="F137">
            <v>0.2171945701357465</v>
          </cell>
          <cell r="G137">
            <v>240</v>
          </cell>
          <cell r="H137">
            <v>386</v>
          </cell>
          <cell r="I137">
            <v>626</v>
          </cell>
        </row>
        <row r="138">
          <cell r="A138">
            <v>193032</v>
          </cell>
          <cell r="B138" t="str">
            <v>Industrial-Organizational Psychologists</v>
          </cell>
          <cell r="C138">
            <v>14</v>
          </cell>
          <cell r="D138">
            <v>17</v>
          </cell>
          <cell r="E138">
            <v>3</v>
          </cell>
          <cell r="F138">
            <v>0.21428571428571419</v>
          </cell>
          <cell r="G138">
            <v>3</v>
          </cell>
          <cell r="H138">
            <v>5</v>
          </cell>
          <cell r="I138">
            <v>8</v>
          </cell>
        </row>
        <row r="139">
          <cell r="A139">
            <v>193039</v>
          </cell>
          <cell r="B139" t="str">
            <v>Psychologists, All Other</v>
          </cell>
          <cell r="C139">
            <v>222</v>
          </cell>
          <cell r="D139">
            <v>264</v>
          </cell>
          <cell r="E139">
            <v>42</v>
          </cell>
          <cell r="F139">
            <v>0.18918918918918926</v>
          </cell>
          <cell r="G139">
            <v>42</v>
          </cell>
          <cell r="H139">
            <v>77</v>
          </cell>
          <cell r="I139">
            <v>119</v>
          </cell>
        </row>
        <row r="140">
          <cell r="A140">
            <v>193041</v>
          </cell>
          <cell r="B140" t="str">
            <v>Sociologists</v>
          </cell>
          <cell r="C140">
            <v>33</v>
          </cell>
          <cell r="D140">
            <v>41</v>
          </cell>
          <cell r="E140">
            <v>8</v>
          </cell>
          <cell r="F140">
            <v>0.24242424242424243</v>
          </cell>
          <cell r="G140">
            <v>8</v>
          </cell>
          <cell r="H140">
            <v>9</v>
          </cell>
          <cell r="I140">
            <v>17</v>
          </cell>
        </row>
        <row r="141">
          <cell r="A141">
            <v>193051</v>
          </cell>
          <cell r="B141" t="str">
            <v>Urban and Regional Planners</v>
          </cell>
          <cell r="C141">
            <v>1190</v>
          </cell>
          <cell r="D141">
            <v>1331</v>
          </cell>
          <cell r="E141">
            <v>141</v>
          </cell>
          <cell r="F141">
            <v>0.11848739495798322</v>
          </cell>
          <cell r="G141">
            <v>141</v>
          </cell>
          <cell r="H141">
            <v>321</v>
          </cell>
          <cell r="I141">
            <v>462</v>
          </cell>
        </row>
        <row r="142">
          <cell r="A142">
            <v>193091</v>
          </cell>
          <cell r="B142" t="str">
            <v>Anthropologists and Archeologists</v>
          </cell>
          <cell r="C142">
            <v>206</v>
          </cell>
          <cell r="D142">
            <v>249</v>
          </cell>
          <cell r="E142">
            <v>43</v>
          </cell>
          <cell r="F142">
            <v>0.20873786407766981</v>
          </cell>
          <cell r="G142">
            <v>43</v>
          </cell>
          <cell r="H142">
            <v>95</v>
          </cell>
          <cell r="I142">
            <v>138</v>
          </cell>
        </row>
        <row r="143">
          <cell r="A143">
            <v>193092</v>
          </cell>
          <cell r="B143" t="str">
            <v>Geographers</v>
          </cell>
          <cell r="C143">
            <v>56</v>
          </cell>
          <cell r="D143">
            <v>66</v>
          </cell>
          <cell r="E143">
            <v>10</v>
          </cell>
          <cell r="F143">
            <v>0.1785714285714286</v>
          </cell>
          <cell r="G143">
            <v>10</v>
          </cell>
          <cell r="H143">
            <v>25</v>
          </cell>
          <cell r="I143">
            <v>35</v>
          </cell>
        </row>
        <row r="144">
          <cell r="A144">
            <v>193099</v>
          </cell>
          <cell r="B144" t="str">
            <v>Social Scientists and Related Workers, All Other</v>
          </cell>
          <cell r="C144">
            <v>502</v>
          </cell>
          <cell r="D144">
            <v>609</v>
          </cell>
          <cell r="E144">
            <v>107</v>
          </cell>
          <cell r="F144">
            <v>0.21314741035856577</v>
          </cell>
          <cell r="G144">
            <v>107</v>
          </cell>
          <cell r="H144">
            <v>231</v>
          </cell>
          <cell r="I144">
            <v>338</v>
          </cell>
        </row>
        <row r="145">
          <cell r="A145">
            <v>194011</v>
          </cell>
          <cell r="B145" t="str">
            <v>Agricultural and Food Science Technicians</v>
          </cell>
          <cell r="C145">
            <v>602</v>
          </cell>
          <cell r="D145">
            <v>704</v>
          </cell>
          <cell r="E145">
            <v>102</v>
          </cell>
          <cell r="F145">
            <v>0.16943521594684396</v>
          </cell>
          <cell r="G145">
            <v>102</v>
          </cell>
          <cell r="H145">
            <v>220</v>
          </cell>
          <cell r="I145">
            <v>322</v>
          </cell>
        </row>
        <row r="146">
          <cell r="A146">
            <v>194021</v>
          </cell>
          <cell r="B146" t="str">
            <v>Biological Technicians</v>
          </cell>
          <cell r="C146">
            <v>2867</v>
          </cell>
          <cell r="D146">
            <v>3284</v>
          </cell>
          <cell r="E146">
            <v>417</v>
          </cell>
          <cell r="F146">
            <v>0.14544820369724443</v>
          </cell>
          <cell r="G146">
            <v>417</v>
          </cell>
          <cell r="H146">
            <v>1035</v>
          </cell>
          <cell r="I146">
            <v>1452</v>
          </cell>
        </row>
        <row r="147">
          <cell r="A147">
            <v>194031</v>
          </cell>
          <cell r="B147" t="str">
            <v>Chemical Technicians</v>
          </cell>
          <cell r="C147">
            <v>396</v>
          </cell>
          <cell r="D147">
            <v>479</v>
          </cell>
          <cell r="E147">
            <v>83</v>
          </cell>
          <cell r="F147">
            <v>0.20959595959595956</v>
          </cell>
          <cell r="G147">
            <v>83</v>
          </cell>
          <cell r="H147">
            <v>63</v>
          </cell>
          <cell r="I147">
            <v>146</v>
          </cell>
        </row>
        <row r="148">
          <cell r="A148">
            <v>194041</v>
          </cell>
          <cell r="B148" t="str">
            <v>Geological and Petroleum Technicians</v>
          </cell>
          <cell r="C148">
            <v>28</v>
          </cell>
          <cell r="D148">
            <v>36</v>
          </cell>
          <cell r="E148">
            <v>8</v>
          </cell>
          <cell r="F148">
            <v>0.28571428571428581</v>
          </cell>
          <cell r="G148">
            <v>8</v>
          </cell>
          <cell r="H148">
            <v>11</v>
          </cell>
          <cell r="I148">
            <v>19</v>
          </cell>
        </row>
        <row r="149">
          <cell r="A149">
            <v>194051</v>
          </cell>
          <cell r="B149" t="str">
            <v>Nuclear Technicians</v>
          </cell>
          <cell r="C149">
            <v>23</v>
          </cell>
          <cell r="D149">
            <v>26</v>
          </cell>
          <cell r="E149">
            <v>3</v>
          </cell>
          <cell r="F149">
            <v>0.13043478260869557</v>
          </cell>
          <cell r="G149">
            <v>3</v>
          </cell>
          <cell r="H149">
            <v>8</v>
          </cell>
          <cell r="I149">
            <v>11</v>
          </cell>
        </row>
        <row r="150">
          <cell r="A150">
            <v>194061</v>
          </cell>
          <cell r="B150" t="str">
            <v>Social Science Research Assistants</v>
          </cell>
          <cell r="C150">
            <v>606</v>
          </cell>
          <cell r="D150">
            <v>742</v>
          </cell>
          <cell r="E150">
            <v>136</v>
          </cell>
          <cell r="F150">
            <v>0.22442244224422447</v>
          </cell>
          <cell r="G150">
            <v>136</v>
          </cell>
          <cell r="H150">
            <v>285</v>
          </cell>
          <cell r="I150">
            <v>421</v>
          </cell>
        </row>
        <row r="151">
          <cell r="A151">
            <v>194091</v>
          </cell>
          <cell r="B151" t="str">
            <v>Environmental Science and Protection Technicians, Including Health</v>
          </cell>
          <cell r="C151">
            <v>331</v>
          </cell>
          <cell r="D151">
            <v>390</v>
          </cell>
          <cell r="E151">
            <v>59</v>
          </cell>
          <cell r="F151">
            <v>0.17824773413897277</v>
          </cell>
          <cell r="G151">
            <v>59</v>
          </cell>
          <cell r="H151">
            <v>152</v>
          </cell>
          <cell r="I151">
            <v>211</v>
          </cell>
        </row>
        <row r="152">
          <cell r="A152">
            <v>194092</v>
          </cell>
          <cell r="B152" t="str">
            <v>Forensic Science Technicians</v>
          </cell>
          <cell r="C152">
            <v>216</v>
          </cell>
          <cell r="D152">
            <v>232</v>
          </cell>
          <cell r="E152">
            <v>16</v>
          </cell>
          <cell r="F152">
            <v>7.4074074074074181E-2</v>
          </cell>
          <cell r="G152">
            <v>16</v>
          </cell>
          <cell r="H152">
            <v>95</v>
          </cell>
          <cell r="I152">
            <v>111</v>
          </cell>
        </row>
        <row r="153">
          <cell r="A153">
            <v>194093</v>
          </cell>
          <cell r="B153" t="str">
            <v>Forest and Conservation Technicians</v>
          </cell>
          <cell r="C153">
            <v>2738</v>
          </cell>
          <cell r="D153">
            <v>2661</v>
          </cell>
          <cell r="E153">
            <v>-77</v>
          </cell>
          <cell r="F153">
            <v>-2.812271731190652E-2</v>
          </cell>
          <cell r="G153">
            <v>0</v>
          </cell>
          <cell r="H153">
            <v>1140</v>
          </cell>
          <cell r="I153">
            <v>1140</v>
          </cell>
        </row>
        <row r="154">
          <cell r="A154">
            <v>194099</v>
          </cell>
          <cell r="B154" t="str">
            <v>Life, Physical, and Social Science Technicians, All Other</v>
          </cell>
          <cell r="C154">
            <v>1176</v>
          </cell>
          <cell r="D154">
            <v>1382</v>
          </cell>
          <cell r="E154">
            <v>206</v>
          </cell>
          <cell r="F154">
            <v>0.1751700680272108</v>
          </cell>
          <cell r="G154">
            <v>206</v>
          </cell>
          <cell r="H154">
            <v>540</v>
          </cell>
          <cell r="I154">
            <v>746</v>
          </cell>
        </row>
        <row r="155">
          <cell r="A155">
            <v>211011</v>
          </cell>
          <cell r="B155" t="str">
            <v>Substance Abuse and Behavioral Disorder Counselors</v>
          </cell>
          <cell r="C155">
            <v>1828</v>
          </cell>
          <cell r="D155">
            <v>2378</v>
          </cell>
          <cell r="E155">
            <v>550</v>
          </cell>
          <cell r="F155">
            <v>0.30087527352297583</v>
          </cell>
          <cell r="G155">
            <v>550</v>
          </cell>
          <cell r="H155">
            <v>450</v>
          </cell>
          <cell r="I155">
            <v>1000</v>
          </cell>
        </row>
        <row r="156">
          <cell r="A156">
            <v>211012</v>
          </cell>
          <cell r="B156" t="str">
            <v>Educational, Vocational, and School Counselors</v>
          </cell>
          <cell r="C156">
            <v>2629</v>
          </cell>
          <cell r="D156">
            <v>2949</v>
          </cell>
          <cell r="E156">
            <v>320</v>
          </cell>
          <cell r="F156">
            <v>0.12171928489920125</v>
          </cell>
          <cell r="G156">
            <v>320</v>
          </cell>
          <cell r="H156">
            <v>597</v>
          </cell>
          <cell r="I156">
            <v>917</v>
          </cell>
        </row>
        <row r="157">
          <cell r="A157">
            <v>211013</v>
          </cell>
          <cell r="B157" t="str">
            <v>Marriage and Family Therapists</v>
          </cell>
          <cell r="C157">
            <v>356</v>
          </cell>
          <cell r="D157">
            <v>474</v>
          </cell>
          <cell r="E157">
            <v>118</v>
          </cell>
          <cell r="F157">
            <v>0.3314606741573034</v>
          </cell>
          <cell r="G157">
            <v>118</v>
          </cell>
          <cell r="H157">
            <v>89</v>
          </cell>
          <cell r="I157">
            <v>207</v>
          </cell>
        </row>
        <row r="158">
          <cell r="A158">
            <v>211014</v>
          </cell>
          <cell r="B158" t="str">
            <v>Mental Health Counselors</v>
          </cell>
          <cell r="C158">
            <v>1859</v>
          </cell>
          <cell r="D158">
            <v>2320</v>
          </cell>
          <cell r="E158">
            <v>461</v>
          </cell>
          <cell r="F158">
            <v>0.24798278644432492</v>
          </cell>
          <cell r="G158">
            <v>461</v>
          </cell>
          <cell r="H158">
            <v>447</v>
          </cell>
          <cell r="I158">
            <v>908</v>
          </cell>
        </row>
        <row r="159">
          <cell r="A159">
            <v>211015</v>
          </cell>
          <cell r="B159" t="str">
            <v>Rehabilitation Counselors</v>
          </cell>
          <cell r="C159">
            <v>1454</v>
          </cell>
          <cell r="D159">
            <v>1678</v>
          </cell>
          <cell r="E159">
            <v>224</v>
          </cell>
          <cell r="F159">
            <v>0.15405777166437407</v>
          </cell>
          <cell r="G159">
            <v>224</v>
          </cell>
          <cell r="H159">
            <v>335</v>
          </cell>
          <cell r="I159">
            <v>559</v>
          </cell>
        </row>
        <row r="160">
          <cell r="A160">
            <v>211019</v>
          </cell>
          <cell r="B160" t="str">
            <v>Counselors, All Other</v>
          </cell>
          <cell r="C160">
            <v>205</v>
          </cell>
          <cell r="D160">
            <v>246</v>
          </cell>
          <cell r="E160">
            <v>41</v>
          </cell>
          <cell r="F160">
            <v>0.19999999999999996</v>
          </cell>
          <cell r="G160">
            <v>41</v>
          </cell>
          <cell r="H160">
            <v>48</v>
          </cell>
          <cell r="I160">
            <v>89</v>
          </cell>
        </row>
        <row r="161">
          <cell r="A161">
            <v>211021</v>
          </cell>
          <cell r="B161" t="str">
            <v>Child, Family, and School Social Workers</v>
          </cell>
          <cell r="C161">
            <v>3679</v>
          </cell>
          <cell r="D161">
            <v>4364</v>
          </cell>
          <cell r="E161">
            <v>685</v>
          </cell>
          <cell r="F161">
            <v>0.18619189997281871</v>
          </cell>
          <cell r="G161">
            <v>685</v>
          </cell>
          <cell r="H161">
            <v>954</v>
          </cell>
          <cell r="I161">
            <v>1639</v>
          </cell>
        </row>
        <row r="162">
          <cell r="A162">
            <v>211022</v>
          </cell>
          <cell r="B162" t="str">
            <v>Medical and Public Health Social Workers</v>
          </cell>
          <cell r="C162">
            <v>1299</v>
          </cell>
          <cell r="D162">
            <v>1626</v>
          </cell>
          <cell r="E162">
            <v>327</v>
          </cell>
          <cell r="F162">
            <v>0.25173210161662807</v>
          </cell>
          <cell r="G162">
            <v>327</v>
          </cell>
          <cell r="H162">
            <v>347</v>
          </cell>
          <cell r="I162">
            <v>674</v>
          </cell>
        </row>
        <row r="163">
          <cell r="A163">
            <v>211023</v>
          </cell>
          <cell r="B163" t="str">
            <v>Mental Health and Substance Abuse Social Workers</v>
          </cell>
          <cell r="C163">
            <v>1959</v>
          </cell>
          <cell r="D163">
            <v>2466</v>
          </cell>
          <cell r="E163">
            <v>507</v>
          </cell>
          <cell r="F163">
            <v>0.2588055130168454</v>
          </cell>
          <cell r="G163">
            <v>507</v>
          </cell>
          <cell r="H163">
            <v>525</v>
          </cell>
          <cell r="I163">
            <v>1032</v>
          </cell>
        </row>
        <row r="164">
          <cell r="A164">
            <v>211029</v>
          </cell>
          <cell r="B164" t="str">
            <v>Social Workers, All Other</v>
          </cell>
          <cell r="C164">
            <v>1828</v>
          </cell>
          <cell r="D164">
            <v>2087</v>
          </cell>
          <cell r="E164">
            <v>259</v>
          </cell>
          <cell r="F164">
            <v>0.14168490153172875</v>
          </cell>
          <cell r="G164">
            <v>259</v>
          </cell>
          <cell r="H164">
            <v>464</v>
          </cell>
          <cell r="I164">
            <v>723</v>
          </cell>
        </row>
        <row r="165">
          <cell r="A165">
            <v>211091</v>
          </cell>
          <cell r="B165" t="str">
            <v>Health Educators</v>
          </cell>
          <cell r="C165">
            <v>897</v>
          </cell>
          <cell r="D165">
            <v>1065</v>
          </cell>
          <cell r="E165">
            <v>168</v>
          </cell>
          <cell r="F165">
            <v>0.18729096989966565</v>
          </cell>
          <cell r="G165">
            <v>168</v>
          </cell>
          <cell r="H165">
            <v>212</v>
          </cell>
          <cell r="I165">
            <v>380</v>
          </cell>
        </row>
        <row r="166">
          <cell r="A166">
            <v>211092</v>
          </cell>
          <cell r="B166" t="str">
            <v>Probation Officers and Correctional Treatment Specialists</v>
          </cell>
          <cell r="C166">
            <v>2001</v>
          </cell>
          <cell r="D166">
            <v>2134</v>
          </cell>
          <cell r="E166">
            <v>133</v>
          </cell>
          <cell r="F166">
            <v>6.6466766616691597E-2</v>
          </cell>
          <cell r="G166">
            <v>133</v>
          </cell>
          <cell r="H166">
            <v>447</v>
          </cell>
          <cell r="I166">
            <v>580</v>
          </cell>
        </row>
        <row r="167">
          <cell r="A167">
            <v>211093</v>
          </cell>
          <cell r="B167" t="str">
            <v>Social and Human Service Assistants</v>
          </cell>
          <cell r="C167">
            <v>6505</v>
          </cell>
          <cell r="D167">
            <v>7678</v>
          </cell>
          <cell r="E167">
            <v>1173</v>
          </cell>
          <cell r="F167">
            <v>0.18032282859338977</v>
          </cell>
          <cell r="G167">
            <v>1173</v>
          </cell>
          <cell r="H167">
            <v>1534</v>
          </cell>
          <cell r="I167">
            <v>2707</v>
          </cell>
        </row>
        <row r="168">
          <cell r="A168">
            <v>211099</v>
          </cell>
          <cell r="B168" t="str">
            <v>Community and Social Service Specialists, All Other</v>
          </cell>
          <cell r="C168">
            <v>1035</v>
          </cell>
          <cell r="D168">
            <v>1188</v>
          </cell>
          <cell r="E168">
            <v>153</v>
          </cell>
          <cell r="F168">
            <v>0.14782608695652177</v>
          </cell>
          <cell r="G168">
            <v>153</v>
          </cell>
          <cell r="H168">
            <v>240</v>
          </cell>
          <cell r="I168">
            <v>393</v>
          </cell>
        </row>
        <row r="169">
          <cell r="A169">
            <v>212011</v>
          </cell>
          <cell r="B169" t="str">
            <v>Clergy</v>
          </cell>
          <cell r="C169">
            <v>3824</v>
          </cell>
          <cell r="D169">
            <v>4233</v>
          </cell>
          <cell r="E169">
            <v>409</v>
          </cell>
          <cell r="F169">
            <v>0.10695606694560666</v>
          </cell>
          <cell r="G169">
            <v>409</v>
          </cell>
          <cell r="H169">
            <v>688</v>
          </cell>
          <cell r="I169">
            <v>1097</v>
          </cell>
        </row>
        <row r="170">
          <cell r="A170">
            <v>212021</v>
          </cell>
          <cell r="B170" t="str">
            <v>Directors, Religious Activities and Education</v>
          </cell>
          <cell r="C170">
            <v>1623</v>
          </cell>
          <cell r="D170">
            <v>1777</v>
          </cell>
          <cell r="E170">
            <v>154</v>
          </cell>
          <cell r="F170">
            <v>9.488601355514481E-2</v>
          </cell>
          <cell r="G170">
            <v>154</v>
          </cell>
          <cell r="H170">
            <v>315</v>
          </cell>
          <cell r="I170">
            <v>469</v>
          </cell>
        </row>
        <row r="171">
          <cell r="A171">
            <v>212099</v>
          </cell>
          <cell r="B171" t="str">
            <v>Religious Workers, All Other</v>
          </cell>
          <cell r="C171">
            <v>403</v>
          </cell>
          <cell r="D171">
            <v>445</v>
          </cell>
          <cell r="E171">
            <v>42</v>
          </cell>
          <cell r="F171">
            <v>0.10421836228287851</v>
          </cell>
          <cell r="G171">
            <v>42</v>
          </cell>
          <cell r="H171">
            <v>77</v>
          </cell>
          <cell r="I171">
            <v>119</v>
          </cell>
        </row>
        <row r="172">
          <cell r="A172">
            <v>231011</v>
          </cell>
          <cell r="B172" t="str">
            <v>Lawyers</v>
          </cell>
          <cell r="C172">
            <v>5049</v>
          </cell>
          <cell r="D172">
            <v>5800</v>
          </cell>
          <cell r="E172">
            <v>751</v>
          </cell>
          <cell r="F172">
            <v>0.14874232521291342</v>
          </cell>
          <cell r="G172">
            <v>751</v>
          </cell>
          <cell r="H172">
            <v>1031</v>
          </cell>
          <cell r="I172">
            <v>1782</v>
          </cell>
        </row>
        <row r="173">
          <cell r="A173">
            <v>231021</v>
          </cell>
          <cell r="B173" t="str">
            <v>Administrative Law Judges, Adjudicators, and Hearing Officers</v>
          </cell>
          <cell r="C173">
            <v>415</v>
          </cell>
          <cell r="D173">
            <v>440</v>
          </cell>
          <cell r="E173">
            <v>25</v>
          </cell>
          <cell r="F173">
            <v>6.024096385542177E-2</v>
          </cell>
          <cell r="G173">
            <v>25</v>
          </cell>
          <cell r="H173">
            <v>81</v>
          </cell>
          <cell r="I173">
            <v>106</v>
          </cell>
        </row>
        <row r="174">
          <cell r="A174">
            <v>231022</v>
          </cell>
          <cell r="B174" t="str">
            <v>Arbitrators, Mediators, and Conciliators</v>
          </cell>
          <cell r="C174">
            <v>115</v>
          </cell>
          <cell r="D174">
            <v>131</v>
          </cell>
          <cell r="E174">
            <v>16</v>
          </cell>
          <cell r="F174">
            <v>0.13913043478260878</v>
          </cell>
          <cell r="G174">
            <v>16</v>
          </cell>
          <cell r="H174">
            <v>23</v>
          </cell>
          <cell r="I174">
            <v>39</v>
          </cell>
        </row>
        <row r="175">
          <cell r="A175">
            <v>231023</v>
          </cell>
          <cell r="B175" t="str">
            <v>Judges and Magistrates</v>
          </cell>
          <cell r="C175">
            <v>352</v>
          </cell>
          <cell r="D175">
            <v>378</v>
          </cell>
          <cell r="E175">
            <v>26</v>
          </cell>
          <cell r="F175">
            <v>7.3863636363636465E-2</v>
          </cell>
          <cell r="G175">
            <v>26</v>
          </cell>
          <cell r="H175">
            <v>69</v>
          </cell>
          <cell r="I175">
            <v>95</v>
          </cell>
        </row>
        <row r="176">
          <cell r="A176">
            <v>232011</v>
          </cell>
          <cell r="B176" t="str">
            <v>Paralegals and Legal Assistants</v>
          </cell>
          <cell r="C176">
            <v>2081</v>
          </cell>
          <cell r="D176">
            <v>2404</v>
          </cell>
          <cell r="E176">
            <v>323</v>
          </cell>
          <cell r="F176">
            <v>0.15521383950024026</v>
          </cell>
          <cell r="G176">
            <v>323</v>
          </cell>
          <cell r="H176">
            <v>319</v>
          </cell>
          <cell r="I176">
            <v>642</v>
          </cell>
        </row>
        <row r="177">
          <cell r="A177">
            <v>232091</v>
          </cell>
          <cell r="B177" t="str">
            <v>Court Reporters</v>
          </cell>
          <cell r="C177">
            <v>110</v>
          </cell>
          <cell r="D177">
            <v>110</v>
          </cell>
          <cell r="E177">
            <v>0</v>
          </cell>
          <cell r="F177">
            <v>0</v>
          </cell>
          <cell r="G177">
            <v>0</v>
          </cell>
          <cell r="H177">
            <v>17</v>
          </cell>
          <cell r="I177">
            <v>17</v>
          </cell>
        </row>
        <row r="178">
          <cell r="A178">
            <v>232092</v>
          </cell>
          <cell r="B178" t="str">
            <v>Law Clerks</v>
          </cell>
          <cell r="C178">
            <v>147</v>
          </cell>
          <cell r="D178">
            <v>169</v>
          </cell>
          <cell r="E178">
            <v>22</v>
          </cell>
          <cell r="F178">
            <v>0.14965986394557818</v>
          </cell>
          <cell r="G178">
            <v>22</v>
          </cell>
          <cell r="H178">
            <v>24</v>
          </cell>
          <cell r="I178">
            <v>46</v>
          </cell>
        </row>
        <row r="179">
          <cell r="A179">
            <v>232093</v>
          </cell>
          <cell r="B179" t="str">
            <v>Title Examiners, Abstractors, and Searchers</v>
          </cell>
          <cell r="C179">
            <v>1147</v>
          </cell>
          <cell r="D179">
            <v>1314</v>
          </cell>
          <cell r="E179">
            <v>167</v>
          </cell>
          <cell r="F179">
            <v>0.14559721011333915</v>
          </cell>
          <cell r="G179">
            <v>167</v>
          </cell>
          <cell r="H179">
            <v>186</v>
          </cell>
          <cell r="I179">
            <v>353</v>
          </cell>
        </row>
        <row r="180">
          <cell r="A180">
            <v>232099</v>
          </cell>
          <cell r="B180" t="str">
            <v>Legal Support Workers, All Other</v>
          </cell>
          <cell r="C180">
            <v>358</v>
          </cell>
          <cell r="D180">
            <v>395</v>
          </cell>
          <cell r="E180">
            <v>37</v>
          </cell>
          <cell r="F180">
            <v>0.1033519553072626</v>
          </cell>
          <cell r="G180">
            <v>37</v>
          </cell>
          <cell r="H180">
            <v>57</v>
          </cell>
          <cell r="I180">
            <v>94</v>
          </cell>
        </row>
        <row r="181">
          <cell r="A181">
            <v>251191</v>
          </cell>
          <cell r="B181" t="str">
            <v>Graduate Teaching Assistants</v>
          </cell>
          <cell r="C181">
            <v>2732</v>
          </cell>
          <cell r="D181">
            <v>3105</v>
          </cell>
          <cell r="E181">
            <v>373</v>
          </cell>
          <cell r="F181">
            <v>0.13653001464128844</v>
          </cell>
          <cell r="G181">
            <v>373</v>
          </cell>
          <cell r="H181">
            <v>466</v>
          </cell>
          <cell r="I181">
            <v>839</v>
          </cell>
        </row>
        <row r="182">
          <cell r="A182">
            <v>251199</v>
          </cell>
          <cell r="B182" t="str">
            <v>Postsecondary Teachers, Except Graduate Teaching Assistants</v>
          </cell>
          <cell r="C182">
            <v>18412</v>
          </cell>
          <cell r="D182">
            <v>21329</v>
          </cell>
          <cell r="E182">
            <v>2917</v>
          </cell>
          <cell r="F182">
            <v>0.15842928524875077</v>
          </cell>
          <cell r="G182">
            <v>2917</v>
          </cell>
          <cell r="H182">
            <v>3174</v>
          </cell>
          <cell r="I182">
            <v>6091</v>
          </cell>
        </row>
        <row r="183">
          <cell r="A183">
            <v>252011</v>
          </cell>
          <cell r="B183" t="str">
            <v>Preschool Teachers, Except Special Education</v>
          </cell>
          <cell r="C183">
            <v>5386</v>
          </cell>
          <cell r="D183">
            <v>6632</v>
          </cell>
          <cell r="E183">
            <v>1246</v>
          </cell>
          <cell r="F183">
            <v>0.23134051243965836</v>
          </cell>
          <cell r="G183">
            <v>1246</v>
          </cell>
          <cell r="H183">
            <v>1563</v>
          </cell>
          <cell r="I183">
            <v>2809</v>
          </cell>
        </row>
        <row r="184">
          <cell r="A184">
            <v>252012</v>
          </cell>
          <cell r="B184" t="str">
            <v>Kindergarten Teachers, Except Special Education</v>
          </cell>
          <cell r="C184">
            <v>1560</v>
          </cell>
          <cell r="D184">
            <v>1749</v>
          </cell>
          <cell r="E184">
            <v>189</v>
          </cell>
          <cell r="F184">
            <v>0.12115384615384617</v>
          </cell>
          <cell r="G184">
            <v>189</v>
          </cell>
          <cell r="H184">
            <v>430</v>
          </cell>
          <cell r="I184">
            <v>619</v>
          </cell>
        </row>
        <row r="185">
          <cell r="A185">
            <v>252021</v>
          </cell>
          <cell r="B185" t="str">
            <v>Elementary School Teachers, Except Special Education</v>
          </cell>
          <cell r="C185">
            <v>14187</v>
          </cell>
          <cell r="D185">
            <v>15585</v>
          </cell>
          <cell r="E185">
            <v>1398</v>
          </cell>
          <cell r="F185">
            <v>9.8540917741594347E-2</v>
          </cell>
          <cell r="G185">
            <v>1398</v>
          </cell>
          <cell r="H185">
            <v>3271</v>
          </cell>
          <cell r="I185">
            <v>4669</v>
          </cell>
        </row>
        <row r="186">
          <cell r="A186">
            <v>252022</v>
          </cell>
          <cell r="B186" t="str">
            <v>Middle School Teachers, Except Special and Vocational Education</v>
          </cell>
          <cell r="C186">
            <v>6903</v>
          </cell>
          <cell r="D186">
            <v>7558</v>
          </cell>
          <cell r="E186">
            <v>655</v>
          </cell>
          <cell r="F186">
            <v>9.488628132695931E-2</v>
          </cell>
          <cell r="G186">
            <v>655</v>
          </cell>
          <cell r="H186">
            <v>1589</v>
          </cell>
          <cell r="I186">
            <v>2244</v>
          </cell>
        </row>
        <row r="187">
          <cell r="A187">
            <v>252023</v>
          </cell>
          <cell r="B187" t="str">
            <v>Vocational Education Teachers, Middle School</v>
          </cell>
          <cell r="C187">
            <v>135</v>
          </cell>
          <cell r="D187">
            <v>150</v>
          </cell>
          <cell r="E187">
            <v>15</v>
          </cell>
          <cell r="F187">
            <v>0.11111111111111116</v>
          </cell>
          <cell r="G187">
            <v>15</v>
          </cell>
          <cell r="H187">
            <v>31</v>
          </cell>
          <cell r="I187">
            <v>46</v>
          </cell>
        </row>
        <row r="188">
          <cell r="A188">
            <v>252031</v>
          </cell>
          <cell r="B188" t="str">
            <v>Secondary School Teachers, Except Special and Vocational Education</v>
          </cell>
          <cell r="C188">
            <v>11336</v>
          </cell>
          <cell r="D188">
            <v>12433</v>
          </cell>
          <cell r="E188">
            <v>1097</v>
          </cell>
          <cell r="F188">
            <v>9.6771347918136907E-2</v>
          </cell>
          <cell r="G188">
            <v>1097</v>
          </cell>
          <cell r="H188">
            <v>3249</v>
          </cell>
          <cell r="I188">
            <v>4346</v>
          </cell>
        </row>
        <row r="189">
          <cell r="A189">
            <v>252032</v>
          </cell>
          <cell r="B189" t="str">
            <v>Vocational Education Teachers, Secondary School</v>
          </cell>
          <cell r="C189">
            <v>363</v>
          </cell>
          <cell r="D189">
            <v>396</v>
          </cell>
          <cell r="E189">
            <v>33</v>
          </cell>
          <cell r="F189">
            <v>9.0909090909090828E-2</v>
          </cell>
          <cell r="G189">
            <v>33</v>
          </cell>
          <cell r="H189">
            <v>104</v>
          </cell>
          <cell r="I189">
            <v>137</v>
          </cell>
        </row>
        <row r="190">
          <cell r="A190">
            <v>252041</v>
          </cell>
          <cell r="B190" t="str">
            <v>Special Education Teachers, Preschool, Kindergarten, and Elementary School</v>
          </cell>
          <cell r="C190">
            <v>1771</v>
          </cell>
          <cell r="D190">
            <v>1927</v>
          </cell>
          <cell r="E190">
            <v>156</v>
          </cell>
          <cell r="F190">
            <v>8.8085827216261903E-2</v>
          </cell>
          <cell r="G190">
            <v>156</v>
          </cell>
          <cell r="H190">
            <v>546</v>
          </cell>
          <cell r="I190">
            <v>702</v>
          </cell>
        </row>
        <row r="191">
          <cell r="A191">
            <v>252042</v>
          </cell>
          <cell r="B191" t="str">
            <v>Special Education Teachers, Middle School</v>
          </cell>
          <cell r="C191">
            <v>771</v>
          </cell>
          <cell r="D191">
            <v>839</v>
          </cell>
          <cell r="E191">
            <v>68</v>
          </cell>
          <cell r="F191">
            <v>8.8197146562905226E-2</v>
          </cell>
          <cell r="G191">
            <v>68</v>
          </cell>
          <cell r="H191">
            <v>238</v>
          </cell>
          <cell r="I191">
            <v>306</v>
          </cell>
        </row>
        <row r="192">
          <cell r="A192">
            <v>252043</v>
          </cell>
          <cell r="B192" t="str">
            <v>Special Education Teachers, Secondary School</v>
          </cell>
          <cell r="C192">
            <v>1502</v>
          </cell>
          <cell r="D192">
            <v>1621</v>
          </cell>
          <cell r="E192">
            <v>119</v>
          </cell>
          <cell r="F192">
            <v>7.9227696404793546E-2</v>
          </cell>
          <cell r="G192">
            <v>119</v>
          </cell>
          <cell r="H192">
            <v>461</v>
          </cell>
          <cell r="I192">
            <v>580</v>
          </cell>
        </row>
        <row r="193">
          <cell r="A193">
            <v>253011</v>
          </cell>
          <cell r="B193" t="str">
            <v>Adult Literacy, Remedial Education, and GED Teachers and Instructors</v>
          </cell>
          <cell r="C193">
            <v>914</v>
          </cell>
          <cell r="D193">
            <v>1061</v>
          </cell>
          <cell r="E193">
            <v>147</v>
          </cell>
          <cell r="F193">
            <v>0.16083150984682715</v>
          </cell>
          <cell r="G193">
            <v>147</v>
          </cell>
          <cell r="H193">
            <v>151</v>
          </cell>
          <cell r="I193">
            <v>298</v>
          </cell>
        </row>
        <row r="194">
          <cell r="A194">
            <v>253021</v>
          </cell>
          <cell r="B194" t="str">
            <v>Self-Enrichment Education Teachers</v>
          </cell>
          <cell r="C194">
            <v>1481</v>
          </cell>
          <cell r="D194">
            <v>1827</v>
          </cell>
          <cell r="E194">
            <v>346</v>
          </cell>
          <cell r="F194">
            <v>0.23362592842673879</v>
          </cell>
          <cell r="G194">
            <v>346</v>
          </cell>
          <cell r="H194">
            <v>253</v>
          </cell>
          <cell r="I194">
            <v>599</v>
          </cell>
        </row>
        <row r="195">
          <cell r="A195">
            <v>253099</v>
          </cell>
          <cell r="B195" t="str">
            <v>Teachers and Instructors, All Other</v>
          </cell>
          <cell r="C195">
            <v>5233</v>
          </cell>
          <cell r="D195">
            <v>6001</v>
          </cell>
          <cell r="E195">
            <v>768</v>
          </cell>
          <cell r="F195">
            <v>0.14676094018727315</v>
          </cell>
          <cell r="G195">
            <v>768</v>
          </cell>
          <cell r="H195">
            <v>859</v>
          </cell>
          <cell r="I195">
            <v>1627</v>
          </cell>
        </row>
        <row r="196">
          <cell r="A196">
            <v>254011</v>
          </cell>
          <cell r="B196" t="str">
            <v>Archivists</v>
          </cell>
          <cell r="C196">
            <v>51</v>
          </cell>
          <cell r="D196">
            <v>56</v>
          </cell>
          <cell r="E196">
            <v>5</v>
          </cell>
          <cell r="F196">
            <v>9.8039215686274606E-2</v>
          </cell>
          <cell r="G196">
            <v>5</v>
          </cell>
          <cell r="H196">
            <v>15</v>
          </cell>
          <cell r="I196">
            <v>20</v>
          </cell>
        </row>
        <row r="197">
          <cell r="A197">
            <v>254012</v>
          </cell>
          <cell r="B197" t="str">
            <v>Curators</v>
          </cell>
          <cell r="C197">
            <v>107</v>
          </cell>
          <cell r="D197">
            <v>116</v>
          </cell>
          <cell r="E197">
            <v>9</v>
          </cell>
          <cell r="F197">
            <v>8.4112149532710179E-2</v>
          </cell>
          <cell r="G197">
            <v>9</v>
          </cell>
          <cell r="H197">
            <v>31</v>
          </cell>
          <cell r="I197">
            <v>40</v>
          </cell>
        </row>
        <row r="198">
          <cell r="A198">
            <v>254013</v>
          </cell>
          <cell r="B198" t="str">
            <v>Museum Technicians and Conservators</v>
          </cell>
          <cell r="C198">
            <v>69</v>
          </cell>
          <cell r="D198">
            <v>73</v>
          </cell>
          <cell r="E198">
            <v>4</v>
          </cell>
          <cell r="F198">
            <v>5.7971014492753659E-2</v>
          </cell>
          <cell r="G198">
            <v>4</v>
          </cell>
          <cell r="H198">
            <v>20</v>
          </cell>
          <cell r="I198">
            <v>24</v>
          </cell>
        </row>
        <row r="199">
          <cell r="A199">
            <v>254021</v>
          </cell>
          <cell r="B199" t="str">
            <v>Librarians</v>
          </cell>
          <cell r="C199">
            <v>1725</v>
          </cell>
          <cell r="D199">
            <v>1906</v>
          </cell>
          <cell r="E199">
            <v>181</v>
          </cell>
          <cell r="F199">
            <v>0.104927536231884</v>
          </cell>
          <cell r="G199">
            <v>181</v>
          </cell>
          <cell r="H199">
            <v>473</v>
          </cell>
          <cell r="I199">
            <v>654</v>
          </cell>
        </row>
        <row r="200">
          <cell r="A200">
            <v>254031</v>
          </cell>
          <cell r="B200" t="str">
            <v>Library Technicians</v>
          </cell>
          <cell r="C200">
            <v>1560</v>
          </cell>
          <cell r="D200">
            <v>1711</v>
          </cell>
          <cell r="E200">
            <v>151</v>
          </cell>
          <cell r="F200">
            <v>9.6794871794871895E-2</v>
          </cell>
          <cell r="G200">
            <v>151</v>
          </cell>
          <cell r="H200">
            <v>699</v>
          </cell>
          <cell r="I200">
            <v>850</v>
          </cell>
        </row>
        <row r="201">
          <cell r="A201">
            <v>259011</v>
          </cell>
          <cell r="B201" t="str">
            <v>Audio-Visual Specialists, Education-related</v>
          </cell>
          <cell r="C201">
            <v>65</v>
          </cell>
          <cell r="D201">
            <v>73</v>
          </cell>
          <cell r="E201">
            <v>8</v>
          </cell>
          <cell r="F201">
            <v>0.12307692307692308</v>
          </cell>
          <cell r="G201">
            <v>8</v>
          </cell>
          <cell r="H201">
            <v>15</v>
          </cell>
          <cell r="I201">
            <v>23</v>
          </cell>
        </row>
        <row r="202">
          <cell r="A202">
            <v>259021</v>
          </cell>
          <cell r="B202" t="str">
            <v>Farm and Home Management Advisors</v>
          </cell>
          <cell r="C202">
            <v>260</v>
          </cell>
          <cell r="D202">
            <v>291</v>
          </cell>
          <cell r="E202">
            <v>31</v>
          </cell>
          <cell r="F202">
            <v>0.11923076923076925</v>
          </cell>
          <cell r="G202">
            <v>31</v>
          </cell>
          <cell r="H202">
            <v>61</v>
          </cell>
          <cell r="I202">
            <v>92</v>
          </cell>
        </row>
        <row r="203">
          <cell r="A203">
            <v>259031</v>
          </cell>
          <cell r="B203" t="str">
            <v>Instructional Coordinators</v>
          </cell>
          <cell r="C203">
            <v>1526</v>
          </cell>
          <cell r="D203">
            <v>1765</v>
          </cell>
          <cell r="E203">
            <v>239</v>
          </cell>
          <cell r="F203">
            <v>0.15661861074705108</v>
          </cell>
          <cell r="G203">
            <v>239</v>
          </cell>
          <cell r="H203">
            <v>363</v>
          </cell>
          <cell r="I203">
            <v>602</v>
          </cell>
        </row>
        <row r="204">
          <cell r="A204">
            <v>259041</v>
          </cell>
          <cell r="B204" t="str">
            <v>Teacher Assistants</v>
          </cell>
          <cell r="C204">
            <v>18139</v>
          </cell>
          <cell r="D204">
            <v>20174</v>
          </cell>
          <cell r="E204">
            <v>2035</v>
          </cell>
          <cell r="F204">
            <v>0.11218920557913892</v>
          </cell>
          <cell r="G204">
            <v>2035</v>
          </cell>
          <cell r="H204">
            <v>4321</v>
          </cell>
          <cell r="I204">
            <v>6356</v>
          </cell>
        </row>
        <row r="205">
          <cell r="A205">
            <v>259099</v>
          </cell>
          <cell r="B205" t="str">
            <v>Education, Training, and Library, All Other</v>
          </cell>
          <cell r="C205">
            <v>14864</v>
          </cell>
          <cell r="D205">
            <v>16696</v>
          </cell>
          <cell r="E205">
            <v>1832</v>
          </cell>
          <cell r="F205">
            <v>0.12325080731969851</v>
          </cell>
          <cell r="G205">
            <v>1832</v>
          </cell>
          <cell r="H205">
            <v>3484</v>
          </cell>
          <cell r="I205">
            <v>5316</v>
          </cell>
        </row>
        <row r="206">
          <cell r="A206">
            <v>271011</v>
          </cell>
          <cell r="B206" t="str">
            <v>Art Directors</v>
          </cell>
          <cell r="C206">
            <v>423</v>
          </cell>
          <cell r="D206">
            <v>519</v>
          </cell>
          <cell r="E206">
            <v>96</v>
          </cell>
          <cell r="F206">
            <v>0.22695035460992918</v>
          </cell>
          <cell r="G206">
            <v>96</v>
          </cell>
          <cell r="H206">
            <v>112</v>
          </cell>
          <cell r="I206">
            <v>208</v>
          </cell>
        </row>
        <row r="207">
          <cell r="A207">
            <v>271012</v>
          </cell>
          <cell r="B207" t="str">
            <v>Craft Artists</v>
          </cell>
          <cell r="C207">
            <v>36</v>
          </cell>
          <cell r="D207">
            <v>42</v>
          </cell>
          <cell r="E207">
            <v>6</v>
          </cell>
          <cell r="F207">
            <v>0.16666666666666674</v>
          </cell>
          <cell r="G207">
            <v>6</v>
          </cell>
          <cell r="H207">
            <v>9</v>
          </cell>
          <cell r="I207">
            <v>15</v>
          </cell>
        </row>
        <row r="208">
          <cell r="A208">
            <v>271013</v>
          </cell>
          <cell r="B208" t="str">
            <v>Fine Artists, Including Painters, Sculptors, and Illustrators</v>
          </cell>
          <cell r="C208">
            <v>140</v>
          </cell>
          <cell r="D208">
            <v>163</v>
          </cell>
          <cell r="E208">
            <v>23</v>
          </cell>
          <cell r="F208">
            <v>0.16428571428571437</v>
          </cell>
          <cell r="G208">
            <v>23</v>
          </cell>
          <cell r="H208">
            <v>36</v>
          </cell>
          <cell r="I208">
            <v>59</v>
          </cell>
        </row>
        <row r="209">
          <cell r="A209">
            <v>271014</v>
          </cell>
          <cell r="B209" t="str">
            <v>Multi-Media Artists and Animators</v>
          </cell>
          <cell r="C209">
            <v>498</v>
          </cell>
          <cell r="D209">
            <v>642</v>
          </cell>
          <cell r="E209">
            <v>144</v>
          </cell>
          <cell r="F209">
            <v>0.28915662650602414</v>
          </cell>
          <cell r="G209">
            <v>144</v>
          </cell>
          <cell r="H209">
            <v>136</v>
          </cell>
          <cell r="I209">
            <v>280</v>
          </cell>
        </row>
        <row r="210">
          <cell r="A210">
            <v>271019</v>
          </cell>
          <cell r="B210" t="str">
            <v>Artists and Related Workers, All Other</v>
          </cell>
          <cell r="C210">
            <v>189</v>
          </cell>
          <cell r="D210">
            <v>210</v>
          </cell>
          <cell r="E210">
            <v>21</v>
          </cell>
          <cell r="F210">
            <v>0.11111111111111116</v>
          </cell>
          <cell r="G210">
            <v>21</v>
          </cell>
          <cell r="H210">
            <v>48</v>
          </cell>
          <cell r="I210">
            <v>69</v>
          </cell>
        </row>
        <row r="211">
          <cell r="A211">
            <v>271021</v>
          </cell>
          <cell r="B211" t="str">
            <v>Commercial and Industrial Designers</v>
          </cell>
          <cell r="C211">
            <v>243</v>
          </cell>
          <cell r="D211">
            <v>314</v>
          </cell>
          <cell r="E211">
            <v>71</v>
          </cell>
          <cell r="F211">
            <v>0.29218106995884763</v>
          </cell>
          <cell r="G211">
            <v>71</v>
          </cell>
          <cell r="H211">
            <v>86</v>
          </cell>
          <cell r="I211">
            <v>157</v>
          </cell>
        </row>
        <row r="212">
          <cell r="A212">
            <v>271022</v>
          </cell>
          <cell r="B212" t="str">
            <v>Fashion Designers</v>
          </cell>
          <cell r="C212">
            <v>401</v>
          </cell>
          <cell r="D212">
            <v>504</v>
          </cell>
          <cell r="E212">
            <v>103</v>
          </cell>
          <cell r="F212">
            <v>0.25685785536159611</v>
          </cell>
          <cell r="G212">
            <v>103</v>
          </cell>
          <cell r="H212">
            <v>140</v>
          </cell>
          <cell r="I212">
            <v>243</v>
          </cell>
        </row>
        <row r="213">
          <cell r="A213">
            <v>271023</v>
          </cell>
          <cell r="B213" t="str">
            <v>Floral Designers</v>
          </cell>
          <cell r="C213">
            <v>528</v>
          </cell>
          <cell r="D213">
            <v>609</v>
          </cell>
          <cell r="E213">
            <v>81</v>
          </cell>
          <cell r="F213">
            <v>0.15340909090909083</v>
          </cell>
          <cell r="G213">
            <v>81</v>
          </cell>
          <cell r="H213">
            <v>176</v>
          </cell>
          <cell r="I213">
            <v>257</v>
          </cell>
        </row>
        <row r="214">
          <cell r="A214">
            <v>271024</v>
          </cell>
          <cell r="B214" t="str">
            <v>Graphic Designers</v>
          </cell>
          <cell r="C214">
            <v>2446</v>
          </cell>
          <cell r="D214">
            <v>2913</v>
          </cell>
          <cell r="E214">
            <v>467</v>
          </cell>
          <cell r="F214">
            <v>0.19092395748160262</v>
          </cell>
          <cell r="G214">
            <v>467</v>
          </cell>
          <cell r="H214">
            <v>831</v>
          </cell>
          <cell r="I214">
            <v>1298</v>
          </cell>
        </row>
        <row r="215">
          <cell r="A215">
            <v>271025</v>
          </cell>
          <cell r="B215" t="str">
            <v>Interior Designers</v>
          </cell>
          <cell r="C215">
            <v>519</v>
          </cell>
          <cell r="D215">
            <v>684</v>
          </cell>
          <cell r="E215">
            <v>165</v>
          </cell>
          <cell r="F215">
            <v>0.31791907514450868</v>
          </cell>
          <cell r="G215">
            <v>165</v>
          </cell>
          <cell r="H215">
            <v>186</v>
          </cell>
          <cell r="I215">
            <v>351</v>
          </cell>
        </row>
        <row r="216">
          <cell r="A216">
            <v>271026</v>
          </cell>
          <cell r="B216" t="str">
            <v>Merchandise Displayers and Window Trimmers</v>
          </cell>
          <cell r="C216">
            <v>1548</v>
          </cell>
          <cell r="D216">
            <v>1961</v>
          </cell>
          <cell r="E216">
            <v>413</v>
          </cell>
          <cell r="F216">
            <v>0.26679586563307489</v>
          </cell>
          <cell r="G216">
            <v>413</v>
          </cell>
          <cell r="H216">
            <v>544</v>
          </cell>
          <cell r="I216">
            <v>957</v>
          </cell>
        </row>
        <row r="217">
          <cell r="A217">
            <v>271027</v>
          </cell>
          <cell r="B217" t="str">
            <v>Set and Exhibit Designers</v>
          </cell>
          <cell r="C217">
            <v>68</v>
          </cell>
          <cell r="D217">
            <v>78</v>
          </cell>
          <cell r="E217">
            <v>10</v>
          </cell>
          <cell r="F217">
            <v>0.14705882352941169</v>
          </cell>
          <cell r="G217">
            <v>10</v>
          </cell>
          <cell r="H217">
            <v>23</v>
          </cell>
          <cell r="I217">
            <v>33</v>
          </cell>
        </row>
        <row r="218">
          <cell r="A218">
            <v>271029</v>
          </cell>
          <cell r="B218" t="str">
            <v>Designers, All Other</v>
          </cell>
          <cell r="C218">
            <v>259</v>
          </cell>
          <cell r="D218">
            <v>336</v>
          </cell>
          <cell r="E218">
            <v>77</v>
          </cell>
          <cell r="F218">
            <v>0.29729729729729737</v>
          </cell>
          <cell r="G218">
            <v>77</v>
          </cell>
          <cell r="H218">
            <v>92</v>
          </cell>
          <cell r="I218">
            <v>169</v>
          </cell>
        </row>
        <row r="219">
          <cell r="A219">
            <v>272011</v>
          </cell>
          <cell r="B219" t="str">
            <v>Actors</v>
          </cell>
          <cell r="C219">
            <v>248</v>
          </cell>
          <cell r="D219">
            <v>280</v>
          </cell>
          <cell r="E219">
            <v>32</v>
          </cell>
          <cell r="F219">
            <v>0.12903225806451624</v>
          </cell>
          <cell r="G219">
            <v>32</v>
          </cell>
          <cell r="H219">
            <v>70</v>
          </cell>
          <cell r="I219">
            <v>102</v>
          </cell>
        </row>
        <row r="220">
          <cell r="A220">
            <v>272012</v>
          </cell>
          <cell r="B220" t="str">
            <v>Producers and Directors</v>
          </cell>
          <cell r="C220">
            <v>779</v>
          </cell>
          <cell r="D220">
            <v>889</v>
          </cell>
          <cell r="E220">
            <v>110</v>
          </cell>
          <cell r="F220">
            <v>0.14120667522464703</v>
          </cell>
          <cell r="G220">
            <v>110</v>
          </cell>
          <cell r="H220">
            <v>247</v>
          </cell>
          <cell r="I220">
            <v>357</v>
          </cell>
        </row>
        <row r="221">
          <cell r="A221">
            <v>272021</v>
          </cell>
          <cell r="B221" t="str">
            <v>Athletes and Sports Competitors</v>
          </cell>
          <cell r="C221">
            <v>129</v>
          </cell>
          <cell r="D221">
            <v>155</v>
          </cell>
          <cell r="E221">
            <v>26</v>
          </cell>
          <cell r="F221">
            <v>0.20155038759689914</v>
          </cell>
          <cell r="G221">
            <v>26</v>
          </cell>
          <cell r="H221">
            <v>36</v>
          </cell>
          <cell r="I221">
            <v>62</v>
          </cell>
        </row>
        <row r="222">
          <cell r="A222">
            <v>272022</v>
          </cell>
          <cell r="B222" t="str">
            <v>Coaches and Scouts</v>
          </cell>
          <cell r="C222">
            <v>2812</v>
          </cell>
          <cell r="D222">
            <v>3503</v>
          </cell>
          <cell r="E222">
            <v>691</v>
          </cell>
          <cell r="F222">
            <v>0.24573257467994303</v>
          </cell>
          <cell r="G222">
            <v>691</v>
          </cell>
          <cell r="H222">
            <v>801</v>
          </cell>
          <cell r="I222">
            <v>1492</v>
          </cell>
        </row>
        <row r="223">
          <cell r="A223">
            <v>272023</v>
          </cell>
          <cell r="B223" t="str">
            <v>Umpires, Referees, and Other Sports Officials</v>
          </cell>
          <cell r="C223">
            <v>238</v>
          </cell>
          <cell r="D223">
            <v>273</v>
          </cell>
          <cell r="E223">
            <v>35</v>
          </cell>
          <cell r="F223">
            <v>0.14705882352941169</v>
          </cell>
          <cell r="G223">
            <v>35</v>
          </cell>
          <cell r="H223">
            <v>65</v>
          </cell>
          <cell r="I223">
            <v>100</v>
          </cell>
        </row>
        <row r="224">
          <cell r="A224">
            <v>272032</v>
          </cell>
          <cell r="B224" t="str">
            <v>Choreographers and Dance Instructors</v>
          </cell>
          <cell r="C224">
            <v>266</v>
          </cell>
          <cell r="D224">
            <v>374</v>
          </cell>
          <cell r="E224">
            <v>108</v>
          </cell>
          <cell r="F224">
            <v>0.40601503759398505</v>
          </cell>
          <cell r="G224">
            <v>108</v>
          </cell>
          <cell r="H224">
            <v>124</v>
          </cell>
          <cell r="I224">
            <v>232</v>
          </cell>
        </row>
        <row r="225">
          <cell r="A225">
            <v>272041</v>
          </cell>
          <cell r="B225" t="str">
            <v>Music Directors and Composers</v>
          </cell>
          <cell r="C225">
            <v>657</v>
          </cell>
          <cell r="D225">
            <v>721</v>
          </cell>
          <cell r="E225">
            <v>64</v>
          </cell>
          <cell r="F225">
            <v>9.7412480974124804E-2</v>
          </cell>
          <cell r="G225">
            <v>64</v>
          </cell>
          <cell r="H225">
            <v>167</v>
          </cell>
          <cell r="I225">
            <v>231</v>
          </cell>
        </row>
        <row r="226">
          <cell r="A226">
            <v>272042</v>
          </cell>
          <cell r="B226" t="str">
            <v>Musicians and Singers</v>
          </cell>
          <cell r="C226">
            <v>1117</v>
          </cell>
          <cell r="D226">
            <v>1238</v>
          </cell>
          <cell r="E226">
            <v>121</v>
          </cell>
          <cell r="F226">
            <v>0.10832587287376905</v>
          </cell>
          <cell r="G226">
            <v>121</v>
          </cell>
          <cell r="H226">
            <v>286</v>
          </cell>
          <cell r="I226">
            <v>407</v>
          </cell>
        </row>
        <row r="227">
          <cell r="A227">
            <v>272099</v>
          </cell>
          <cell r="B227" t="str">
            <v>Entertainers and Performers, Sports and Related Workers, All Other</v>
          </cell>
          <cell r="C227">
            <v>313</v>
          </cell>
          <cell r="D227">
            <v>376</v>
          </cell>
          <cell r="E227">
            <v>63</v>
          </cell>
          <cell r="F227">
            <v>0.20127795527156556</v>
          </cell>
          <cell r="G227">
            <v>63</v>
          </cell>
          <cell r="H227">
            <v>91</v>
          </cell>
          <cell r="I227">
            <v>154</v>
          </cell>
        </row>
        <row r="228">
          <cell r="A228">
            <v>273011</v>
          </cell>
          <cell r="B228" t="str">
            <v>Radio and Television Announcers</v>
          </cell>
          <cell r="C228">
            <v>333</v>
          </cell>
          <cell r="D228">
            <v>347</v>
          </cell>
          <cell r="E228">
            <v>14</v>
          </cell>
          <cell r="F228">
            <v>4.2042042042041983E-2</v>
          </cell>
          <cell r="G228">
            <v>14</v>
          </cell>
          <cell r="H228">
            <v>93</v>
          </cell>
          <cell r="I228">
            <v>107</v>
          </cell>
        </row>
        <row r="229">
          <cell r="A229">
            <v>273012</v>
          </cell>
          <cell r="B229" t="str">
            <v>Public Address System and Other Announcers</v>
          </cell>
          <cell r="C229">
            <v>80</v>
          </cell>
          <cell r="D229">
            <v>91</v>
          </cell>
          <cell r="E229">
            <v>11</v>
          </cell>
          <cell r="F229">
            <v>0.13749999999999996</v>
          </cell>
          <cell r="G229">
            <v>11</v>
          </cell>
          <cell r="H229">
            <v>23</v>
          </cell>
          <cell r="I229">
            <v>34</v>
          </cell>
        </row>
        <row r="230">
          <cell r="A230">
            <v>273021</v>
          </cell>
          <cell r="B230" t="str">
            <v>Broadcast News Analysts</v>
          </cell>
          <cell r="C230">
            <v>134</v>
          </cell>
          <cell r="D230">
            <v>138</v>
          </cell>
          <cell r="E230">
            <v>4</v>
          </cell>
          <cell r="F230">
            <v>2.9850746268656803E-2</v>
          </cell>
          <cell r="G230">
            <v>4</v>
          </cell>
          <cell r="H230">
            <v>48</v>
          </cell>
          <cell r="I230">
            <v>52</v>
          </cell>
        </row>
        <row r="231">
          <cell r="A231">
            <v>273022</v>
          </cell>
          <cell r="B231" t="str">
            <v>Reporters and Correspondents</v>
          </cell>
          <cell r="C231">
            <v>674</v>
          </cell>
          <cell r="D231">
            <v>606</v>
          </cell>
          <cell r="E231">
            <v>-68</v>
          </cell>
          <cell r="F231">
            <v>-0.10089020771513357</v>
          </cell>
          <cell r="G231">
            <v>0</v>
          </cell>
          <cell r="H231">
            <v>227</v>
          </cell>
          <cell r="I231">
            <v>227</v>
          </cell>
        </row>
        <row r="232">
          <cell r="A232">
            <v>273031</v>
          </cell>
          <cell r="B232" t="str">
            <v>Public Relations Specialists</v>
          </cell>
          <cell r="C232">
            <v>2165</v>
          </cell>
          <cell r="D232">
            <v>2497</v>
          </cell>
          <cell r="E232">
            <v>332</v>
          </cell>
          <cell r="F232">
            <v>0.15334872979214786</v>
          </cell>
          <cell r="G232">
            <v>332</v>
          </cell>
          <cell r="H232">
            <v>623</v>
          </cell>
          <cell r="I232">
            <v>955</v>
          </cell>
        </row>
        <row r="233">
          <cell r="A233">
            <v>273041</v>
          </cell>
          <cell r="B233" t="str">
            <v>Editors</v>
          </cell>
          <cell r="C233">
            <v>958</v>
          </cell>
          <cell r="D233">
            <v>951</v>
          </cell>
          <cell r="E233">
            <v>-7</v>
          </cell>
          <cell r="F233">
            <v>-7.3068893528184242E-3</v>
          </cell>
          <cell r="G233">
            <v>0</v>
          </cell>
          <cell r="H233">
            <v>272</v>
          </cell>
          <cell r="I233">
            <v>272</v>
          </cell>
        </row>
        <row r="234">
          <cell r="A234">
            <v>273042</v>
          </cell>
          <cell r="B234" t="str">
            <v>Technical Writers</v>
          </cell>
          <cell r="C234">
            <v>668</v>
          </cell>
          <cell r="D234">
            <v>839</v>
          </cell>
          <cell r="E234">
            <v>171</v>
          </cell>
          <cell r="F234">
            <v>0.25598802395209574</v>
          </cell>
          <cell r="G234">
            <v>171</v>
          </cell>
          <cell r="H234">
            <v>149</v>
          </cell>
          <cell r="I234">
            <v>320</v>
          </cell>
        </row>
        <row r="235">
          <cell r="A235">
            <v>273043</v>
          </cell>
          <cell r="B235" t="str">
            <v>Writers and Authors</v>
          </cell>
          <cell r="C235">
            <v>510</v>
          </cell>
          <cell r="D235">
            <v>601</v>
          </cell>
          <cell r="E235">
            <v>91</v>
          </cell>
          <cell r="F235">
            <v>0.17843137254901964</v>
          </cell>
          <cell r="G235">
            <v>91</v>
          </cell>
          <cell r="H235">
            <v>145</v>
          </cell>
          <cell r="I235">
            <v>236</v>
          </cell>
        </row>
        <row r="236">
          <cell r="A236">
            <v>273091</v>
          </cell>
          <cell r="B236" t="str">
            <v>Interpreters and Translators</v>
          </cell>
          <cell r="C236">
            <v>894</v>
          </cell>
          <cell r="D236">
            <v>1212</v>
          </cell>
          <cell r="E236">
            <v>318</v>
          </cell>
          <cell r="F236">
            <v>0.35570469798657722</v>
          </cell>
          <cell r="G236">
            <v>318</v>
          </cell>
          <cell r="H236">
            <v>281</v>
          </cell>
          <cell r="I236">
            <v>599</v>
          </cell>
        </row>
        <row r="237">
          <cell r="A237">
            <v>273099</v>
          </cell>
          <cell r="B237" t="str">
            <v>Media and Communication Workers, All Other</v>
          </cell>
          <cell r="C237">
            <v>537</v>
          </cell>
          <cell r="D237">
            <v>645</v>
          </cell>
          <cell r="E237">
            <v>108</v>
          </cell>
          <cell r="F237">
            <v>0.2011173184357542</v>
          </cell>
          <cell r="G237">
            <v>108</v>
          </cell>
          <cell r="H237">
            <v>158</v>
          </cell>
          <cell r="I237">
            <v>266</v>
          </cell>
        </row>
        <row r="238">
          <cell r="A238">
            <v>274011</v>
          </cell>
          <cell r="B238" t="str">
            <v>Audio and Video Equipment Technicians</v>
          </cell>
          <cell r="C238">
            <v>640</v>
          </cell>
          <cell r="D238">
            <v>736</v>
          </cell>
          <cell r="E238">
            <v>96</v>
          </cell>
          <cell r="F238">
            <v>0.14999999999999991</v>
          </cell>
          <cell r="G238">
            <v>96</v>
          </cell>
          <cell r="H238">
            <v>196</v>
          </cell>
          <cell r="I238">
            <v>292</v>
          </cell>
        </row>
        <row r="239">
          <cell r="A239">
            <v>274012</v>
          </cell>
          <cell r="B239" t="str">
            <v>Broadcast Technicians</v>
          </cell>
          <cell r="C239">
            <v>380</v>
          </cell>
          <cell r="D239">
            <v>393</v>
          </cell>
          <cell r="E239">
            <v>13</v>
          </cell>
          <cell r="F239">
            <v>3.4210526315789469E-2</v>
          </cell>
          <cell r="G239">
            <v>13</v>
          </cell>
          <cell r="H239">
            <v>110</v>
          </cell>
          <cell r="I239">
            <v>123</v>
          </cell>
        </row>
        <row r="240">
          <cell r="A240">
            <v>274014</v>
          </cell>
          <cell r="B240" t="str">
            <v>Sound Engineering Technicians</v>
          </cell>
          <cell r="C240">
            <v>98</v>
          </cell>
          <cell r="D240">
            <v>110</v>
          </cell>
          <cell r="E240">
            <v>12</v>
          </cell>
          <cell r="F240">
            <v>0.12244897959183665</v>
          </cell>
          <cell r="G240">
            <v>12</v>
          </cell>
          <cell r="H240">
            <v>30</v>
          </cell>
          <cell r="I240">
            <v>42</v>
          </cell>
        </row>
        <row r="241">
          <cell r="A241">
            <v>274021</v>
          </cell>
          <cell r="B241" t="str">
            <v>Photographers</v>
          </cell>
          <cell r="C241">
            <v>537</v>
          </cell>
          <cell r="D241">
            <v>488</v>
          </cell>
          <cell r="E241">
            <v>-49</v>
          </cell>
          <cell r="F241">
            <v>-9.1247672253258805E-2</v>
          </cell>
          <cell r="G241">
            <v>0</v>
          </cell>
          <cell r="H241">
            <v>50</v>
          </cell>
          <cell r="I241">
            <v>50</v>
          </cell>
        </row>
        <row r="242">
          <cell r="A242">
            <v>274031</v>
          </cell>
          <cell r="B242" t="str">
            <v>Camera Operators, Television, Video, and Motion Picture</v>
          </cell>
          <cell r="C242">
            <v>250</v>
          </cell>
          <cell r="D242">
            <v>280</v>
          </cell>
          <cell r="E242">
            <v>30</v>
          </cell>
          <cell r="F242">
            <v>0.12000000000000011</v>
          </cell>
          <cell r="G242">
            <v>30</v>
          </cell>
          <cell r="H242">
            <v>48</v>
          </cell>
          <cell r="I242">
            <v>78</v>
          </cell>
        </row>
        <row r="243">
          <cell r="A243">
            <v>274032</v>
          </cell>
          <cell r="B243" t="str">
            <v>Film and Video Editors</v>
          </cell>
          <cell r="C243">
            <v>224</v>
          </cell>
          <cell r="D243">
            <v>267</v>
          </cell>
          <cell r="E243">
            <v>43</v>
          </cell>
          <cell r="F243">
            <v>0.19196428571428581</v>
          </cell>
          <cell r="G243">
            <v>43</v>
          </cell>
          <cell r="H243">
            <v>44</v>
          </cell>
          <cell r="I243">
            <v>87</v>
          </cell>
        </row>
        <row r="244">
          <cell r="A244">
            <v>274099</v>
          </cell>
          <cell r="B244" t="str">
            <v>Media and Communication Equipment Workers, All Other</v>
          </cell>
          <cell r="C244">
            <v>205</v>
          </cell>
          <cell r="D244">
            <v>222</v>
          </cell>
          <cell r="E244">
            <v>17</v>
          </cell>
          <cell r="F244">
            <v>8.2926829268292757E-2</v>
          </cell>
          <cell r="G244">
            <v>17</v>
          </cell>
          <cell r="H244">
            <v>39</v>
          </cell>
          <cell r="I244">
            <v>56</v>
          </cell>
        </row>
        <row r="245">
          <cell r="A245">
            <v>291011</v>
          </cell>
          <cell r="B245" t="str">
            <v>Chiropractors</v>
          </cell>
          <cell r="C245">
            <v>400</v>
          </cell>
          <cell r="D245">
            <v>586</v>
          </cell>
          <cell r="E245">
            <v>186</v>
          </cell>
          <cell r="F245">
            <v>0.46500000000000008</v>
          </cell>
          <cell r="G245">
            <v>186</v>
          </cell>
          <cell r="H245">
            <v>98</v>
          </cell>
          <cell r="I245">
            <v>284</v>
          </cell>
        </row>
        <row r="246">
          <cell r="A246">
            <v>291021</v>
          </cell>
          <cell r="B246" t="str">
            <v>Dentists, General</v>
          </cell>
          <cell r="C246">
            <v>1100</v>
          </cell>
          <cell r="D246">
            <v>1321</v>
          </cell>
          <cell r="E246">
            <v>221</v>
          </cell>
          <cell r="F246">
            <v>0.20090909090909093</v>
          </cell>
          <cell r="G246">
            <v>221</v>
          </cell>
          <cell r="H246">
            <v>359</v>
          </cell>
          <cell r="I246">
            <v>580</v>
          </cell>
        </row>
        <row r="247">
          <cell r="A247">
            <v>291029</v>
          </cell>
          <cell r="B247" t="str">
            <v>Dentists, All Other</v>
          </cell>
          <cell r="C247">
            <v>317</v>
          </cell>
          <cell r="D247">
            <v>374</v>
          </cell>
          <cell r="E247">
            <v>57</v>
          </cell>
          <cell r="F247">
            <v>0.17981072555205047</v>
          </cell>
          <cell r="G247">
            <v>57</v>
          </cell>
          <cell r="H247">
            <v>103</v>
          </cell>
          <cell r="I247">
            <v>160</v>
          </cell>
        </row>
        <row r="248">
          <cell r="A248">
            <v>291031</v>
          </cell>
          <cell r="B248" t="str">
            <v>Dietitians and Nutritionists</v>
          </cell>
          <cell r="C248">
            <v>541</v>
          </cell>
          <cell r="D248">
            <v>662</v>
          </cell>
          <cell r="E248">
            <v>121</v>
          </cell>
          <cell r="F248">
            <v>0.22365988909426981</v>
          </cell>
          <cell r="G248">
            <v>121</v>
          </cell>
          <cell r="H248">
            <v>212</v>
          </cell>
          <cell r="I248">
            <v>333</v>
          </cell>
        </row>
        <row r="249">
          <cell r="A249">
            <v>291041</v>
          </cell>
          <cell r="B249" t="str">
            <v>Optometrists</v>
          </cell>
          <cell r="C249">
            <v>374</v>
          </cell>
          <cell r="D249">
            <v>467</v>
          </cell>
          <cell r="E249">
            <v>93</v>
          </cell>
          <cell r="F249">
            <v>0.24866310160427818</v>
          </cell>
          <cell r="G249">
            <v>93</v>
          </cell>
          <cell r="H249">
            <v>148</v>
          </cell>
          <cell r="I249">
            <v>241</v>
          </cell>
        </row>
        <row r="250">
          <cell r="A250">
            <v>291051</v>
          </cell>
          <cell r="B250" t="str">
            <v>Pharmacists</v>
          </cell>
          <cell r="C250">
            <v>3343</v>
          </cell>
          <cell r="D250">
            <v>3952</v>
          </cell>
          <cell r="E250">
            <v>609</v>
          </cell>
          <cell r="F250">
            <v>0.18217170206401434</v>
          </cell>
          <cell r="G250">
            <v>609</v>
          </cell>
          <cell r="H250">
            <v>928</v>
          </cell>
          <cell r="I250">
            <v>1537</v>
          </cell>
        </row>
        <row r="251">
          <cell r="A251">
            <v>291060</v>
          </cell>
          <cell r="B251" t="str">
            <v>Physicians and Surgeons</v>
          </cell>
          <cell r="C251">
            <v>7294</v>
          </cell>
          <cell r="D251">
            <v>9357</v>
          </cell>
          <cell r="E251">
            <v>2063</v>
          </cell>
          <cell r="F251">
            <v>0.28283520701946796</v>
          </cell>
          <cell r="G251">
            <v>2063</v>
          </cell>
          <cell r="H251">
            <v>1648</v>
          </cell>
          <cell r="I251">
            <v>3711</v>
          </cell>
        </row>
        <row r="252">
          <cell r="A252">
            <v>291071</v>
          </cell>
          <cell r="B252" t="str">
            <v>Physician Assistants</v>
          </cell>
          <cell r="C252">
            <v>708</v>
          </cell>
          <cell r="D252">
            <v>916</v>
          </cell>
          <cell r="E252">
            <v>208</v>
          </cell>
          <cell r="F252">
            <v>0.29378531073446323</v>
          </cell>
          <cell r="G252">
            <v>208</v>
          </cell>
          <cell r="H252">
            <v>155</v>
          </cell>
          <cell r="I252">
            <v>363</v>
          </cell>
        </row>
        <row r="253">
          <cell r="A253">
            <v>291081</v>
          </cell>
          <cell r="B253" t="str">
            <v>Podiatrists</v>
          </cell>
          <cell r="C253">
            <v>66</v>
          </cell>
          <cell r="D253">
            <v>85</v>
          </cell>
          <cell r="E253">
            <v>19</v>
          </cell>
          <cell r="F253">
            <v>0.28787878787878785</v>
          </cell>
          <cell r="G253">
            <v>19</v>
          </cell>
          <cell r="H253">
            <v>15</v>
          </cell>
          <cell r="I253">
            <v>34</v>
          </cell>
        </row>
        <row r="254">
          <cell r="A254">
            <v>291111</v>
          </cell>
          <cell r="B254" t="str">
            <v>Registered Nurses</v>
          </cell>
          <cell r="C254">
            <v>31299</v>
          </cell>
          <cell r="D254">
            <v>39400</v>
          </cell>
          <cell r="E254">
            <v>8101</v>
          </cell>
          <cell r="F254">
            <v>0.25882616058021024</v>
          </cell>
          <cell r="G254">
            <v>8101</v>
          </cell>
          <cell r="H254">
            <v>6398</v>
          </cell>
          <cell r="I254">
            <v>14499</v>
          </cell>
        </row>
        <row r="255">
          <cell r="A255">
            <v>291121</v>
          </cell>
          <cell r="B255" t="str">
            <v>Audiologists</v>
          </cell>
          <cell r="C255">
            <v>178</v>
          </cell>
          <cell r="D255">
            <v>236</v>
          </cell>
          <cell r="E255">
            <v>58</v>
          </cell>
          <cell r="F255">
            <v>0.32584269662921339</v>
          </cell>
          <cell r="G255">
            <v>58</v>
          </cell>
          <cell r="H255">
            <v>13</v>
          </cell>
          <cell r="I255">
            <v>71</v>
          </cell>
        </row>
        <row r="256">
          <cell r="A256">
            <v>291122</v>
          </cell>
          <cell r="B256" t="str">
            <v>Occupational Therapists</v>
          </cell>
          <cell r="C256">
            <v>961</v>
          </cell>
          <cell r="D256">
            <v>1228</v>
          </cell>
          <cell r="E256">
            <v>267</v>
          </cell>
          <cell r="F256">
            <v>0.27783558792924046</v>
          </cell>
          <cell r="G256">
            <v>267</v>
          </cell>
          <cell r="H256">
            <v>208</v>
          </cell>
          <cell r="I256">
            <v>475</v>
          </cell>
        </row>
        <row r="257">
          <cell r="A257">
            <v>291123</v>
          </cell>
          <cell r="B257" t="str">
            <v>Physical Therapists</v>
          </cell>
          <cell r="C257">
            <v>2266</v>
          </cell>
          <cell r="D257">
            <v>3034</v>
          </cell>
          <cell r="E257">
            <v>768</v>
          </cell>
          <cell r="F257">
            <v>0.33892321270962045</v>
          </cell>
          <cell r="G257">
            <v>768</v>
          </cell>
          <cell r="H257">
            <v>309</v>
          </cell>
          <cell r="I257">
            <v>1077</v>
          </cell>
        </row>
        <row r="258">
          <cell r="A258">
            <v>291124</v>
          </cell>
          <cell r="B258" t="str">
            <v>Radiation Therapists</v>
          </cell>
          <cell r="C258">
            <v>184</v>
          </cell>
          <cell r="D258">
            <v>233</v>
          </cell>
          <cell r="E258">
            <v>49</v>
          </cell>
          <cell r="F258">
            <v>0.26630434782608692</v>
          </cell>
          <cell r="G258">
            <v>49</v>
          </cell>
          <cell r="H258">
            <v>40</v>
          </cell>
          <cell r="I258">
            <v>89</v>
          </cell>
        </row>
        <row r="259">
          <cell r="A259">
            <v>291125</v>
          </cell>
          <cell r="B259" t="str">
            <v>Recreational Therapists</v>
          </cell>
          <cell r="C259">
            <v>154</v>
          </cell>
          <cell r="D259">
            <v>196</v>
          </cell>
          <cell r="E259">
            <v>42</v>
          </cell>
          <cell r="F259">
            <v>0.27272727272727271</v>
          </cell>
          <cell r="G259">
            <v>42</v>
          </cell>
          <cell r="H259">
            <v>63</v>
          </cell>
          <cell r="I259">
            <v>105</v>
          </cell>
        </row>
        <row r="260">
          <cell r="A260">
            <v>291126</v>
          </cell>
          <cell r="B260" t="str">
            <v>Respiratory Therapists</v>
          </cell>
          <cell r="C260">
            <v>1104</v>
          </cell>
          <cell r="D260">
            <v>1370</v>
          </cell>
          <cell r="E260">
            <v>266</v>
          </cell>
          <cell r="F260">
            <v>0.24094202898550732</v>
          </cell>
          <cell r="G260">
            <v>266</v>
          </cell>
          <cell r="H260">
            <v>236</v>
          </cell>
          <cell r="I260">
            <v>502</v>
          </cell>
        </row>
        <row r="261">
          <cell r="A261">
            <v>291127</v>
          </cell>
          <cell r="B261" t="str">
            <v>Speech and Language Pathologists</v>
          </cell>
          <cell r="C261">
            <v>874</v>
          </cell>
          <cell r="D261">
            <v>1030</v>
          </cell>
          <cell r="E261">
            <v>156</v>
          </cell>
          <cell r="F261">
            <v>0.17848970251716256</v>
          </cell>
          <cell r="G261">
            <v>156</v>
          </cell>
          <cell r="H261">
            <v>181</v>
          </cell>
          <cell r="I261">
            <v>337</v>
          </cell>
        </row>
        <row r="262">
          <cell r="A262">
            <v>291129</v>
          </cell>
          <cell r="B262" t="str">
            <v>Therapists, All Other</v>
          </cell>
          <cell r="C262">
            <v>121</v>
          </cell>
          <cell r="D262">
            <v>155</v>
          </cell>
          <cell r="E262">
            <v>34</v>
          </cell>
          <cell r="F262">
            <v>0.28099173553719003</v>
          </cell>
          <cell r="G262">
            <v>34</v>
          </cell>
          <cell r="H262">
            <v>30</v>
          </cell>
          <cell r="I262">
            <v>64</v>
          </cell>
        </row>
        <row r="263">
          <cell r="A263">
            <v>291131</v>
          </cell>
          <cell r="B263" t="str">
            <v>Veterinarians</v>
          </cell>
          <cell r="C263">
            <v>981</v>
          </cell>
          <cell r="D263">
            <v>1186</v>
          </cell>
          <cell r="E263">
            <v>205</v>
          </cell>
          <cell r="F263">
            <v>0.20897043832823647</v>
          </cell>
          <cell r="G263">
            <v>205</v>
          </cell>
          <cell r="H263">
            <v>214</v>
          </cell>
          <cell r="I263">
            <v>419</v>
          </cell>
        </row>
        <row r="264">
          <cell r="A264">
            <v>291199</v>
          </cell>
          <cell r="B264" t="str">
            <v>Health Diagnosing and Treating Practitioners, All Other</v>
          </cell>
          <cell r="C264">
            <v>404</v>
          </cell>
          <cell r="D264">
            <v>558</v>
          </cell>
          <cell r="E264">
            <v>154</v>
          </cell>
          <cell r="F264">
            <v>0.38118811881188108</v>
          </cell>
          <cell r="G264">
            <v>154</v>
          </cell>
          <cell r="H264">
            <v>92</v>
          </cell>
          <cell r="I264">
            <v>246</v>
          </cell>
        </row>
        <row r="265">
          <cell r="A265">
            <v>292011</v>
          </cell>
          <cell r="B265" t="str">
            <v>Medical and Clinical Laboratory Technologists</v>
          </cell>
          <cell r="C265">
            <v>2021</v>
          </cell>
          <cell r="D265">
            <v>2653</v>
          </cell>
          <cell r="E265">
            <v>632</v>
          </cell>
          <cell r="F265">
            <v>0.31271647699158822</v>
          </cell>
          <cell r="G265">
            <v>632</v>
          </cell>
          <cell r="H265">
            <v>455</v>
          </cell>
          <cell r="I265">
            <v>1087</v>
          </cell>
        </row>
        <row r="266">
          <cell r="A266">
            <v>292012</v>
          </cell>
          <cell r="B266" t="str">
            <v>Medical and Clinical Laboratory Technicians</v>
          </cell>
          <cell r="C266">
            <v>1059</v>
          </cell>
          <cell r="D266">
            <v>1432</v>
          </cell>
          <cell r="E266">
            <v>373</v>
          </cell>
          <cell r="F266">
            <v>0.35221907459867796</v>
          </cell>
          <cell r="G266">
            <v>373</v>
          </cell>
          <cell r="H266">
            <v>243</v>
          </cell>
          <cell r="I266">
            <v>616</v>
          </cell>
        </row>
        <row r="267">
          <cell r="A267">
            <v>292021</v>
          </cell>
          <cell r="B267" t="str">
            <v>Dental Hygienists</v>
          </cell>
          <cell r="C267">
            <v>3178</v>
          </cell>
          <cell r="D267">
            <v>3820</v>
          </cell>
          <cell r="E267">
            <v>642</v>
          </cell>
          <cell r="F267">
            <v>0.20201384518565146</v>
          </cell>
          <cell r="G267">
            <v>642</v>
          </cell>
          <cell r="H267">
            <v>701</v>
          </cell>
          <cell r="I267">
            <v>1343</v>
          </cell>
        </row>
        <row r="268">
          <cell r="A268">
            <v>292031</v>
          </cell>
          <cell r="B268" t="str">
            <v>Cardiovascular Technologists and Technicians</v>
          </cell>
          <cell r="C268">
            <v>571</v>
          </cell>
          <cell r="D268">
            <v>720</v>
          </cell>
          <cell r="E268">
            <v>149</v>
          </cell>
          <cell r="F268">
            <v>0.26094570928196137</v>
          </cell>
          <cell r="G268">
            <v>149</v>
          </cell>
          <cell r="H268">
            <v>100</v>
          </cell>
          <cell r="I268">
            <v>249</v>
          </cell>
        </row>
        <row r="269">
          <cell r="A269">
            <v>292032</v>
          </cell>
          <cell r="B269" t="str">
            <v>Diagnostic Medical Sonographers and Ultrasound Technologists</v>
          </cell>
          <cell r="C269">
            <v>461</v>
          </cell>
          <cell r="D269">
            <v>592</v>
          </cell>
          <cell r="E269">
            <v>131</v>
          </cell>
          <cell r="F269">
            <v>0.28416485900216926</v>
          </cell>
          <cell r="G269">
            <v>131</v>
          </cell>
          <cell r="H269">
            <v>82</v>
          </cell>
          <cell r="I269">
            <v>213</v>
          </cell>
        </row>
        <row r="270">
          <cell r="A270">
            <v>292033</v>
          </cell>
          <cell r="B270" t="str">
            <v>Nuclear Medicine Technologists</v>
          </cell>
          <cell r="C270">
            <v>191</v>
          </cell>
          <cell r="D270">
            <v>260</v>
          </cell>
          <cell r="E270">
            <v>69</v>
          </cell>
          <cell r="F270">
            <v>0.3612565445026179</v>
          </cell>
          <cell r="G270">
            <v>69</v>
          </cell>
          <cell r="H270">
            <v>35</v>
          </cell>
          <cell r="I270">
            <v>104</v>
          </cell>
        </row>
        <row r="271">
          <cell r="A271">
            <v>292034</v>
          </cell>
          <cell r="B271" t="str">
            <v>Radiologic, CAT, and MRI Technologists and Technicians</v>
          </cell>
          <cell r="C271">
            <v>2345</v>
          </cell>
          <cell r="D271">
            <v>3027</v>
          </cell>
          <cell r="E271">
            <v>682</v>
          </cell>
          <cell r="F271">
            <v>0.29083155650319825</v>
          </cell>
          <cell r="G271">
            <v>682</v>
          </cell>
          <cell r="H271">
            <v>416</v>
          </cell>
          <cell r="I271">
            <v>1098</v>
          </cell>
        </row>
        <row r="272">
          <cell r="A272">
            <v>292041</v>
          </cell>
          <cell r="B272" t="str">
            <v>Emergency Medical Technicians and Paramedics</v>
          </cell>
          <cell r="C272">
            <v>1952</v>
          </cell>
          <cell r="D272">
            <v>2521</v>
          </cell>
          <cell r="E272">
            <v>569</v>
          </cell>
          <cell r="F272">
            <v>0.29149590163934436</v>
          </cell>
          <cell r="G272">
            <v>569</v>
          </cell>
          <cell r="H272">
            <v>448</v>
          </cell>
          <cell r="I272">
            <v>1017</v>
          </cell>
        </row>
        <row r="273">
          <cell r="A273">
            <v>292051</v>
          </cell>
          <cell r="B273" t="str">
            <v>Dietetic Technicians</v>
          </cell>
          <cell r="C273">
            <v>166</v>
          </cell>
          <cell r="D273">
            <v>222</v>
          </cell>
          <cell r="E273">
            <v>56</v>
          </cell>
          <cell r="F273">
            <v>0.33734939759036142</v>
          </cell>
          <cell r="G273">
            <v>56</v>
          </cell>
          <cell r="H273">
            <v>34</v>
          </cell>
          <cell r="I273">
            <v>90</v>
          </cell>
        </row>
        <row r="274">
          <cell r="A274">
            <v>292052</v>
          </cell>
          <cell r="B274" t="str">
            <v>Pharmacy Technicians</v>
          </cell>
          <cell r="C274">
            <v>4299</v>
          </cell>
          <cell r="D274">
            <v>5047</v>
          </cell>
          <cell r="E274">
            <v>748</v>
          </cell>
          <cell r="F274">
            <v>0.1739939520818794</v>
          </cell>
          <cell r="G274">
            <v>748</v>
          </cell>
          <cell r="H274">
            <v>812</v>
          </cell>
          <cell r="I274">
            <v>1560</v>
          </cell>
        </row>
        <row r="275">
          <cell r="A275">
            <v>292053</v>
          </cell>
          <cell r="B275" t="str">
            <v>Psychiatric Technicians</v>
          </cell>
          <cell r="C275">
            <v>402</v>
          </cell>
          <cell r="D275">
            <v>564</v>
          </cell>
          <cell r="E275">
            <v>162</v>
          </cell>
          <cell r="F275">
            <v>0.40298507462686572</v>
          </cell>
          <cell r="G275">
            <v>162</v>
          </cell>
          <cell r="H275">
            <v>84</v>
          </cell>
          <cell r="I275">
            <v>246</v>
          </cell>
        </row>
        <row r="276">
          <cell r="A276">
            <v>292055</v>
          </cell>
          <cell r="B276" t="str">
            <v>Surgical Technologists</v>
          </cell>
          <cell r="C276">
            <v>902</v>
          </cell>
          <cell r="D276">
            <v>1139</v>
          </cell>
          <cell r="E276">
            <v>237</v>
          </cell>
          <cell r="F276">
            <v>0.2627494456762749</v>
          </cell>
          <cell r="G276">
            <v>237</v>
          </cell>
          <cell r="H276">
            <v>177</v>
          </cell>
          <cell r="I276">
            <v>414</v>
          </cell>
        </row>
        <row r="277">
          <cell r="A277">
            <v>292056</v>
          </cell>
          <cell r="B277" t="str">
            <v>Veterinary Technologists and Technicians</v>
          </cell>
          <cell r="C277">
            <v>1403</v>
          </cell>
          <cell r="D277">
            <v>1699</v>
          </cell>
          <cell r="E277">
            <v>296</v>
          </cell>
          <cell r="F277">
            <v>0.21097647897362792</v>
          </cell>
          <cell r="G277">
            <v>296</v>
          </cell>
          <cell r="H277">
            <v>269</v>
          </cell>
          <cell r="I277">
            <v>565</v>
          </cell>
        </row>
        <row r="278">
          <cell r="A278">
            <v>292061</v>
          </cell>
          <cell r="B278" t="str">
            <v>Licensed Practical and Licensed Vocational Nurses</v>
          </cell>
          <cell r="C278">
            <v>2708</v>
          </cell>
          <cell r="D278">
            <v>3446</v>
          </cell>
          <cell r="E278">
            <v>738</v>
          </cell>
          <cell r="F278">
            <v>0.27252584933530288</v>
          </cell>
          <cell r="G278">
            <v>738</v>
          </cell>
          <cell r="H278">
            <v>821</v>
          </cell>
          <cell r="I278">
            <v>1559</v>
          </cell>
        </row>
        <row r="279">
          <cell r="A279">
            <v>292071</v>
          </cell>
          <cell r="B279" t="str">
            <v>Medical Records and Health Information Technicians</v>
          </cell>
          <cell r="C279">
            <v>2647</v>
          </cell>
          <cell r="D279">
            <v>3402</v>
          </cell>
          <cell r="E279">
            <v>755</v>
          </cell>
          <cell r="F279">
            <v>0.28522856063468072</v>
          </cell>
          <cell r="G279">
            <v>755</v>
          </cell>
          <cell r="H279">
            <v>606</v>
          </cell>
          <cell r="I279">
            <v>1361</v>
          </cell>
        </row>
        <row r="280">
          <cell r="A280">
            <v>292081</v>
          </cell>
          <cell r="B280" t="str">
            <v>Opticians, Dispensing</v>
          </cell>
          <cell r="C280">
            <v>934</v>
          </cell>
          <cell r="D280">
            <v>1137</v>
          </cell>
          <cell r="E280">
            <v>203</v>
          </cell>
          <cell r="F280">
            <v>0.21734475374732343</v>
          </cell>
          <cell r="G280">
            <v>203</v>
          </cell>
          <cell r="H280">
            <v>208</v>
          </cell>
          <cell r="I280">
            <v>411</v>
          </cell>
        </row>
        <row r="281">
          <cell r="A281">
            <v>292091</v>
          </cell>
          <cell r="B281" t="str">
            <v>Orthotists and Prosthetists</v>
          </cell>
          <cell r="C281">
            <v>89</v>
          </cell>
          <cell r="D281">
            <v>114</v>
          </cell>
          <cell r="E281">
            <v>25</v>
          </cell>
          <cell r="F281">
            <v>0.2808988764044944</v>
          </cell>
          <cell r="G281">
            <v>25</v>
          </cell>
          <cell r="H281">
            <v>20</v>
          </cell>
          <cell r="I281">
            <v>45</v>
          </cell>
        </row>
        <row r="282">
          <cell r="A282">
            <v>292099</v>
          </cell>
          <cell r="B282" t="str">
            <v>Health Technologists and Technicians, All Other</v>
          </cell>
          <cell r="C282">
            <v>1500</v>
          </cell>
          <cell r="D282">
            <v>1916</v>
          </cell>
          <cell r="E282">
            <v>416</v>
          </cell>
          <cell r="F282">
            <v>0.27733333333333343</v>
          </cell>
          <cell r="G282">
            <v>416</v>
          </cell>
          <cell r="H282">
            <v>342</v>
          </cell>
          <cell r="I282">
            <v>758</v>
          </cell>
        </row>
        <row r="283">
          <cell r="A283">
            <v>299011</v>
          </cell>
          <cell r="B283" t="str">
            <v>Occupational Health and Safety Specialists</v>
          </cell>
          <cell r="C283">
            <v>904</v>
          </cell>
          <cell r="D283">
            <v>1041</v>
          </cell>
          <cell r="E283">
            <v>137</v>
          </cell>
          <cell r="F283">
            <v>0.15154867256637172</v>
          </cell>
          <cell r="G283">
            <v>137</v>
          </cell>
          <cell r="H283">
            <v>343</v>
          </cell>
          <cell r="I283">
            <v>480</v>
          </cell>
        </row>
        <row r="284">
          <cell r="A284">
            <v>299012</v>
          </cell>
          <cell r="B284" t="str">
            <v>Occupational Health and Safety Technicians</v>
          </cell>
          <cell r="C284">
            <v>48</v>
          </cell>
          <cell r="D284">
            <v>59</v>
          </cell>
          <cell r="E284">
            <v>11</v>
          </cell>
          <cell r="F284">
            <v>0.22916666666666674</v>
          </cell>
          <cell r="G284">
            <v>11</v>
          </cell>
          <cell r="H284">
            <v>19</v>
          </cell>
          <cell r="I284">
            <v>30</v>
          </cell>
        </row>
        <row r="285">
          <cell r="A285">
            <v>299091</v>
          </cell>
          <cell r="B285" t="str">
            <v>Athletic Trainers</v>
          </cell>
          <cell r="C285">
            <v>156</v>
          </cell>
          <cell r="D285">
            <v>198</v>
          </cell>
          <cell r="E285">
            <v>42</v>
          </cell>
          <cell r="F285">
            <v>0.26923076923076916</v>
          </cell>
          <cell r="G285">
            <v>42</v>
          </cell>
          <cell r="H285">
            <v>62</v>
          </cell>
          <cell r="I285">
            <v>104</v>
          </cell>
        </row>
        <row r="286">
          <cell r="A286">
            <v>299099</v>
          </cell>
          <cell r="B286" t="str">
            <v>Healthcare Practitioner and Technical Workers, All Other</v>
          </cell>
          <cell r="C286">
            <v>666</v>
          </cell>
          <cell r="D286">
            <v>820</v>
          </cell>
          <cell r="E286">
            <v>154</v>
          </cell>
          <cell r="F286">
            <v>0.23123123123123124</v>
          </cell>
          <cell r="G286">
            <v>154</v>
          </cell>
          <cell r="H286">
            <v>262</v>
          </cell>
          <cell r="I286">
            <v>416</v>
          </cell>
        </row>
        <row r="287">
          <cell r="A287">
            <v>311011</v>
          </cell>
          <cell r="B287" t="str">
            <v>Home Health Aides</v>
          </cell>
          <cell r="C287">
            <v>8176</v>
          </cell>
          <cell r="D287">
            <v>11717</v>
          </cell>
          <cell r="E287">
            <v>3541</v>
          </cell>
          <cell r="F287">
            <v>0.43309686888454002</v>
          </cell>
          <cell r="G287">
            <v>3541</v>
          </cell>
          <cell r="H287">
            <v>1283</v>
          </cell>
          <cell r="I287">
            <v>4824</v>
          </cell>
        </row>
        <row r="288">
          <cell r="A288">
            <v>311012</v>
          </cell>
          <cell r="B288" t="str">
            <v>Nursing Aides, Orderlies, and Attendants</v>
          </cell>
          <cell r="C288">
            <v>13101</v>
          </cell>
          <cell r="D288">
            <v>17065</v>
          </cell>
          <cell r="E288">
            <v>3964</v>
          </cell>
          <cell r="F288">
            <v>0.30257232272345624</v>
          </cell>
          <cell r="G288">
            <v>3964</v>
          </cell>
          <cell r="H288">
            <v>1946</v>
          </cell>
          <cell r="I288">
            <v>5910</v>
          </cell>
        </row>
        <row r="289">
          <cell r="A289">
            <v>311013</v>
          </cell>
          <cell r="B289" t="str">
            <v>Psychiatric Aides</v>
          </cell>
          <cell r="C289">
            <v>747</v>
          </cell>
          <cell r="D289">
            <v>940</v>
          </cell>
          <cell r="E289">
            <v>193</v>
          </cell>
          <cell r="F289">
            <v>0.25836680053547534</v>
          </cell>
          <cell r="G289">
            <v>193</v>
          </cell>
          <cell r="H289">
            <v>109</v>
          </cell>
          <cell r="I289">
            <v>302</v>
          </cell>
        </row>
        <row r="290">
          <cell r="A290">
            <v>312011</v>
          </cell>
          <cell r="B290" t="str">
            <v>Occupational Therapist Assistants</v>
          </cell>
          <cell r="C290">
            <v>138</v>
          </cell>
          <cell r="D290">
            <v>183</v>
          </cell>
          <cell r="E290">
            <v>45</v>
          </cell>
          <cell r="F290">
            <v>0.32608695652173902</v>
          </cell>
          <cell r="G290">
            <v>45</v>
          </cell>
          <cell r="H290">
            <v>25</v>
          </cell>
          <cell r="I290">
            <v>70</v>
          </cell>
        </row>
        <row r="291">
          <cell r="A291">
            <v>312012</v>
          </cell>
          <cell r="B291" t="str">
            <v>Occupational Therapist Aides</v>
          </cell>
          <cell r="C291">
            <v>17</v>
          </cell>
          <cell r="D291">
            <v>21</v>
          </cell>
          <cell r="E291">
            <v>4</v>
          </cell>
          <cell r="F291">
            <v>0.23529411764705888</v>
          </cell>
          <cell r="G291">
            <v>4</v>
          </cell>
          <cell r="H291">
            <v>3</v>
          </cell>
          <cell r="I291">
            <v>7</v>
          </cell>
        </row>
        <row r="292">
          <cell r="A292">
            <v>312021</v>
          </cell>
          <cell r="B292" t="str">
            <v>Physical Therapist Assistants</v>
          </cell>
          <cell r="C292">
            <v>598</v>
          </cell>
          <cell r="D292">
            <v>824</v>
          </cell>
          <cell r="E292">
            <v>226</v>
          </cell>
          <cell r="F292">
            <v>0.37792642140468224</v>
          </cell>
          <cell r="G292">
            <v>226</v>
          </cell>
          <cell r="H292">
            <v>110</v>
          </cell>
          <cell r="I292">
            <v>336</v>
          </cell>
        </row>
        <row r="293">
          <cell r="A293">
            <v>312022</v>
          </cell>
          <cell r="B293" t="str">
            <v>Physical Therapist Aides</v>
          </cell>
          <cell r="C293">
            <v>650</v>
          </cell>
          <cell r="D293">
            <v>904</v>
          </cell>
          <cell r="E293">
            <v>254</v>
          </cell>
          <cell r="F293">
            <v>0.39076923076923076</v>
          </cell>
          <cell r="G293">
            <v>254</v>
          </cell>
          <cell r="H293">
            <v>120</v>
          </cell>
          <cell r="I293">
            <v>374</v>
          </cell>
        </row>
        <row r="294">
          <cell r="A294">
            <v>319011</v>
          </cell>
          <cell r="B294" t="str">
            <v>Massage Therapists</v>
          </cell>
          <cell r="C294">
            <v>1304</v>
          </cell>
          <cell r="D294">
            <v>1876</v>
          </cell>
          <cell r="E294">
            <v>572</v>
          </cell>
          <cell r="F294">
            <v>0.43865030674846617</v>
          </cell>
          <cell r="G294">
            <v>572</v>
          </cell>
          <cell r="H294">
            <v>259</v>
          </cell>
          <cell r="I294">
            <v>831</v>
          </cell>
        </row>
        <row r="295">
          <cell r="A295">
            <v>319091</v>
          </cell>
          <cell r="B295" t="str">
            <v>Dental Assistants</v>
          </cell>
          <cell r="C295">
            <v>4452</v>
          </cell>
          <cell r="D295">
            <v>5345</v>
          </cell>
          <cell r="E295">
            <v>893</v>
          </cell>
          <cell r="F295">
            <v>0.20058400718778069</v>
          </cell>
          <cell r="G295">
            <v>893</v>
          </cell>
          <cell r="H295">
            <v>1028</v>
          </cell>
          <cell r="I295">
            <v>1921</v>
          </cell>
        </row>
        <row r="296">
          <cell r="A296">
            <v>319092</v>
          </cell>
          <cell r="B296" t="str">
            <v>Medical Assistants</v>
          </cell>
          <cell r="C296">
            <v>7361</v>
          </cell>
          <cell r="D296">
            <v>9673</v>
          </cell>
          <cell r="E296">
            <v>2312</v>
          </cell>
          <cell r="F296">
            <v>0.31408775981524251</v>
          </cell>
          <cell r="G296">
            <v>2312</v>
          </cell>
          <cell r="H296">
            <v>1306</v>
          </cell>
          <cell r="I296">
            <v>3618</v>
          </cell>
        </row>
        <row r="297">
          <cell r="A297">
            <v>319093</v>
          </cell>
          <cell r="B297" t="str">
            <v>Medical Equipment Preparers</v>
          </cell>
          <cell r="C297">
            <v>1087</v>
          </cell>
          <cell r="D297">
            <v>1361</v>
          </cell>
          <cell r="E297">
            <v>274</v>
          </cell>
          <cell r="F297">
            <v>0.25206991720331184</v>
          </cell>
          <cell r="G297">
            <v>274</v>
          </cell>
          <cell r="H297">
            <v>188</v>
          </cell>
          <cell r="I297">
            <v>462</v>
          </cell>
        </row>
        <row r="298">
          <cell r="A298">
            <v>319094</v>
          </cell>
          <cell r="B298" t="str">
            <v>Medical Transcriptionists</v>
          </cell>
          <cell r="C298">
            <v>1573</v>
          </cell>
          <cell r="D298">
            <v>2049</v>
          </cell>
          <cell r="E298">
            <v>476</v>
          </cell>
          <cell r="F298">
            <v>0.30260648442466631</v>
          </cell>
          <cell r="G298">
            <v>476</v>
          </cell>
          <cell r="H298">
            <v>278</v>
          </cell>
          <cell r="I298">
            <v>754</v>
          </cell>
        </row>
        <row r="299">
          <cell r="A299">
            <v>319096</v>
          </cell>
          <cell r="B299" t="str">
            <v>Veterinary Assistants and Laboratory Animal Caretakers</v>
          </cell>
          <cell r="C299">
            <v>1224</v>
          </cell>
          <cell r="D299">
            <v>1490</v>
          </cell>
          <cell r="E299">
            <v>266</v>
          </cell>
          <cell r="F299">
            <v>0.21732026143790839</v>
          </cell>
          <cell r="G299">
            <v>266</v>
          </cell>
          <cell r="H299">
            <v>208</v>
          </cell>
          <cell r="I299">
            <v>474</v>
          </cell>
        </row>
        <row r="300">
          <cell r="A300">
            <v>319099</v>
          </cell>
          <cell r="B300" t="str">
            <v>Healthcare Support Workers, All Other</v>
          </cell>
          <cell r="C300">
            <v>3314</v>
          </cell>
          <cell r="D300">
            <v>4252</v>
          </cell>
          <cell r="E300">
            <v>938</v>
          </cell>
          <cell r="F300">
            <v>0.28304164152082079</v>
          </cell>
          <cell r="G300">
            <v>938</v>
          </cell>
          <cell r="H300">
            <v>580</v>
          </cell>
          <cell r="I300">
            <v>1518</v>
          </cell>
        </row>
        <row r="301">
          <cell r="A301">
            <v>331011</v>
          </cell>
          <cell r="B301" t="str">
            <v>Supervisors and Managers of Correctional Officers</v>
          </cell>
          <cell r="C301">
            <v>408</v>
          </cell>
          <cell r="D301">
            <v>435</v>
          </cell>
          <cell r="E301">
            <v>27</v>
          </cell>
          <cell r="F301">
            <v>6.6176470588235281E-2</v>
          </cell>
          <cell r="G301">
            <v>27</v>
          </cell>
          <cell r="H301">
            <v>144</v>
          </cell>
          <cell r="I301">
            <v>171</v>
          </cell>
        </row>
        <row r="302">
          <cell r="A302">
            <v>331012</v>
          </cell>
          <cell r="B302" t="str">
            <v>Supervisors and Managers of Police and Detectives</v>
          </cell>
          <cell r="C302">
            <v>1148</v>
          </cell>
          <cell r="D302">
            <v>1214</v>
          </cell>
          <cell r="E302">
            <v>66</v>
          </cell>
          <cell r="F302">
            <v>5.7491289198606355E-2</v>
          </cell>
          <cell r="G302">
            <v>66</v>
          </cell>
          <cell r="H302">
            <v>406</v>
          </cell>
          <cell r="I302">
            <v>472</v>
          </cell>
        </row>
        <row r="303">
          <cell r="A303">
            <v>331021</v>
          </cell>
          <cell r="B303" t="str">
            <v>Supervisors and Managers of Fire Fighting and Prevention Workers</v>
          </cell>
          <cell r="C303">
            <v>961</v>
          </cell>
          <cell r="D303">
            <v>1026</v>
          </cell>
          <cell r="E303">
            <v>65</v>
          </cell>
          <cell r="F303">
            <v>6.7637877211238262E-2</v>
          </cell>
          <cell r="G303">
            <v>65</v>
          </cell>
          <cell r="H303">
            <v>467</v>
          </cell>
          <cell r="I303">
            <v>532</v>
          </cell>
        </row>
        <row r="304">
          <cell r="A304">
            <v>331099</v>
          </cell>
          <cell r="B304" t="str">
            <v>Supervisors and Managers, Protective Service Workers, All Other</v>
          </cell>
          <cell r="C304">
            <v>590</v>
          </cell>
          <cell r="D304">
            <v>661</v>
          </cell>
          <cell r="E304">
            <v>71</v>
          </cell>
          <cell r="F304">
            <v>0.12033898305084745</v>
          </cell>
          <cell r="G304">
            <v>71</v>
          </cell>
          <cell r="H304">
            <v>214</v>
          </cell>
          <cell r="I304">
            <v>285</v>
          </cell>
        </row>
        <row r="305">
          <cell r="A305">
            <v>332011</v>
          </cell>
          <cell r="B305" t="str">
            <v>Fire Fighters</v>
          </cell>
          <cell r="C305">
            <v>3458</v>
          </cell>
          <cell r="D305">
            <v>3775</v>
          </cell>
          <cell r="E305">
            <v>317</v>
          </cell>
          <cell r="F305">
            <v>9.1671486408328562E-2</v>
          </cell>
          <cell r="G305">
            <v>317</v>
          </cell>
          <cell r="H305">
            <v>999</v>
          </cell>
          <cell r="I305">
            <v>1316</v>
          </cell>
        </row>
        <row r="306">
          <cell r="A306">
            <v>332021</v>
          </cell>
          <cell r="B306" t="str">
            <v>Fire Inspectors and Investigators</v>
          </cell>
          <cell r="C306">
            <v>141</v>
          </cell>
          <cell r="D306">
            <v>149</v>
          </cell>
          <cell r="E306">
            <v>8</v>
          </cell>
          <cell r="F306">
            <v>5.6737588652482351E-2</v>
          </cell>
          <cell r="G306">
            <v>8</v>
          </cell>
          <cell r="H306">
            <v>37</v>
          </cell>
          <cell r="I306">
            <v>45</v>
          </cell>
        </row>
        <row r="307">
          <cell r="A307">
            <v>332022</v>
          </cell>
          <cell r="B307" t="str">
            <v>Forest Fire Inspectors and Prevention Specialists</v>
          </cell>
          <cell r="C307">
            <v>63</v>
          </cell>
          <cell r="D307">
            <v>69</v>
          </cell>
          <cell r="E307">
            <v>6</v>
          </cell>
          <cell r="F307">
            <v>9.5238095238095344E-2</v>
          </cell>
          <cell r="G307">
            <v>6</v>
          </cell>
          <cell r="H307">
            <v>17</v>
          </cell>
          <cell r="I307">
            <v>23</v>
          </cell>
        </row>
        <row r="308">
          <cell r="A308">
            <v>333011</v>
          </cell>
          <cell r="B308" t="str">
            <v>Bailiffs</v>
          </cell>
          <cell r="C308">
            <v>56</v>
          </cell>
          <cell r="D308">
            <v>60</v>
          </cell>
          <cell r="E308">
            <v>4</v>
          </cell>
          <cell r="F308">
            <v>7.1428571428571397E-2</v>
          </cell>
          <cell r="G308">
            <v>4</v>
          </cell>
          <cell r="H308">
            <v>10</v>
          </cell>
          <cell r="I308">
            <v>14</v>
          </cell>
        </row>
        <row r="309">
          <cell r="A309">
            <v>333012</v>
          </cell>
          <cell r="B309" t="str">
            <v>Correctional Officers</v>
          </cell>
          <cell r="C309">
            <v>4120</v>
          </cell>
          <cell r="D309">
            <v>4397</v>
          </cell>
          <cell r="E309">
            <v>277</v>
          </cell>
          <cell r="F309">
            <v>6.7233009708737912E-2</v>
          </cell>
          <cell r="G309">
            <v>277</v>
          </cell>
          <cell r="H309">
            <v>748</v>
          </cell>
          <cell r="I309">
            <v>1025</v>
          </cell>
        </row>
        <row r="310">
          <cell r="A310">
            <v>333021</v>
          </cell>
          <cell r="B310" t="str">
            <v>Detectives and Criminal Investigators</v>
          </cell>
          <cell r="C310">
            <v>632</v>
          </cell>
          <cell r="D310">
            <v>654</v>
          </cell>
          <cell r="E310">
            <v>22</v>
          </cell>
          <cell r="F310">
            <v>3.4810126582278444E-2</v>
          </cell>
          <cell r="G310">
            <v>22</v>
          </cell>
          <cell r="H310">
            <v>144</v>
          </cell>
          <cell r="I310">
            <v>166</v>
          </cell>
        </row>
        <row r="311">
          <cell r="A311">
            <v>333031</v>
          </cell>
          <cell r="B311" t="str">
            <v>Fish and Game Wardens</v>
          </cell>
          <cell r="C311">
            <v>13</v>
          </cell>
          <cell r="D311">
            <v>13</v>
          </cell>
          <cell r="E311">
            <v>0</v>
          </cell>
          <cell r="F311">
            <v>0</v>
          </cell>
          <cell r="G311">
            <v>0</v>
          </cell>
          <cell r="H311">
            <v>3</v>
          </cell>
          <cell r="I311">
            <v>3</v>
          </cell>
        </row>
        <row r="312">
          <cell r="A312">
            <v>333041</v>
          </cell>
          <cell r="B312" t="str">
            <v>Parking Enforcement Workers</v>
          </cell>
          <cell r="C312">
            <v>108</v>
          </cell>
          <cell r="D312">
            <v>115</v>
          </cell>
          <cell r="E312">
            <v>7</v>
          </cell>
          <cell r="F312">
            <v>6.4814814814814881E-2</v>
          </cell>
          <cell r="G312">
            <v>7</v>
          </cell>
          <cell r="H312">
            <v>27</v>
          </cell>
          <cell r="I312">
            <v>34</v>
          </cell>
        </row>
        <row r="313">
          <cell r="A313">
            <v>333051</v>
          </cell>
          <cell r="B313" t="str">
            <v>Police and Sheriff's Patrol Officers</v>
          </cell>
          <cell r="C313">
            <v>4912</v>
          </cell>
          <cell r="D313">
            <v>5213</v>
          </cell>
          <cell r="E313">
            <v>301</v>
          </cell>
          <cell r="F313">
            <v>6.127850162866455E-2</v>
          </cell>
          <cell r="G313">
            <v>301</v>
          </cell>
          <cell r="H313">
            <v>1485</v>
          </cell>
          <cell r="I313">
            <v>1786</v>
          </cell>
        </row>
        <row r="314">
          <cell r="A314">
            <v>333052</v>
          </cell>
          <cell r="B314" t="str">
            <v>Transit and Railroad Police</v>
          </cell>
          <cell r="C314">
            <v>82</v>
          </cell>
          <cell r="D314">
            <v>89</v>
          </cell>
          <cell r="E314">
            <v>7</v>
          </cell>
          <cell r="F314">
            <v>8.5365853658536661E-2</v>
          </cell>
          <cell r="G314">
            <v>7</v>
          </cell>
          <cell r="H314">
            <v>21</v>
          </cell>
          <cell r="I314">
            <v>28</v>
          </cell>
        </row>
        <row r="315">
          <cell r="A315">
            <v>339011</v>
          </cell>
          <cell r="B315" t="str">
            <v>Animal Control Workers</v>
          </cell>
          <cell r="C315">
            <v>96</v>
          </cell>
          <cell r="D315">
            <v>102</v>
          </cell>
          <cell r="E315">
            <v>6</v>
          </cell>
          <cell r="F315">
            <v>6.25E-2</v>
          </cell>
          <cell r="G315">
            <v>6</v>
          </cell>
          <cell r="H315">
            <v>24</v>
          </cell>
          <cell r="I315">
            <v>30</v>
          </cell>
        </row>
        <row r="316">
          <cell r="A316">
            <v>339021</v>
          </cell>
          <cell r="B316" t="str">
            <v>Private Detectives and Investigators</v>
          </cell>
          <cell r="C316">
            <v>223</v>
          </cell>
          <cell r="D316">
            <v>259</v>
          </cell>
          <cell r="E316">
            <v>36</v>
          </cell>
          <cell r="F316">
            <v>0.16143497757847536</v>
          </cell>
          <cell r="G316">
            <v>36</v>
          </cell>
          <cell r="H316">
            <v>54</v>
          </cell>
          <cell r="I316">
            <v>90</v>
          </cell>
        </row>
        <row r="317">
          <cell r="A317">
            <v>339031</v>
          </cell>
          <cell r="B317" t="str">
            <v>Gaming Surveillance Officers and Gaming Investigators</v>
          </cell>
          <cell r="C317">
            <v>236</v>
          </cell>
          <cell r="D317">
            <v>260</v>
          </cell>
          <cell r="E317">
            <v>24</v>
          </cell>
          <cell r="F317">
            <v>0.10169491525423724</v>
          </cell>
          <cell r="G317">
            <v>24</v>
          </cell>
          <cell r="H317">
            <v>39</v>
          </cell>
          <cell r="I317">
            <v>63</v>
          </cell>
        </row>
        <row r="318">
          <cell r="A318">
            <v>339032</v>
          </cell>
          <cell r="B318" t="str">
            <v>Security Guards</v>
          </cell>
          <cell r="C318">
            <v>7641</v>
          </cell>
          <cell r="D318">
            <v>8577</v>
          </cell>
          <cell r="E318">
            <v>936</v>
          </cell>
          <cell r="F318">
            <v>0.12249705535924615</v>
          </cell>
          <cell r="G318">
            <v>936</v>
          </cell>
          <cell r="H318">
            <v>1288</v>
          </cell>
          <cell r="I318">
            <v>2224</v>
          </cell>
        </row>
        <row r="319">
          <cell r="A319">
            <v>339091</v>
          </cell>
          <cell r="B319" t="str">
            <v>Crossing Guards and Flaggers</v>
          </cell>
          <cell r="C319">
            <v>1377</v>
          </cell>
          <cell r="D319">
            <v>1884</v>
          </cell>
          <cell r="E319">
            <v>507</v>
          </cell>
          <cell r="F319">
            <v>0.36819172113289755</v>
          </cell>
          <cell r="G319">
            <v>507</v>
          </cell>
          <cell r="H319">
            <v>387</v>
          </cell>
          <cell r="I319">
            <v>894</v>
          </cell>
        </row>
        <row r="320">
          <cell r="A320">
            <v>339092</v>
          </cell>
          <cell r="B320" t="str">
            <v>Lifeguards, Ski Patrol, and Other Recreational Protective Service Workers</v>
          </cell>
          <cell r="C320">
            <v>1519</v>
          </cell>
          <cell r="D320">
            <v>1742</v>
          </cell>
          <cell r="E320">
            <v>223</v>
          </cell>
          <cell r="F320">
            <v>0.14680710994075041</v>
          </cell>
          <cell r="G320">
            <v>223</v>
          </cell>
          <cell r="H320">
            <v>1044</v>
          </cell>
          <cell r="I320">
            <v>1267</v>
          </cell>
        </row>
        <row r="321">
          <cell r="A321">
            <v>339099</v>
          </cell>
          <cell r="B321" t="str">
            <v>Protective Service Workers, All Other</v>
          </cell>
          <cell r="C321">
            <v>1209</v>
          </cell>
          <cell r="D321">
            <v>1313</v>
          </cell>
          <cell r="E321">
            <v>104</v>
          </cell>
          <cell r="F321">
            <v>8.602150537634401E-2</v>
          </cell>
          <cell r="G321">
            <v>104</v>
          </cell>
          <cell r="H321">
            <v>807</v>
          </cell>
          <cell r="I321">
            <v>911</v>
          </cell>
        </row>
        <row r="322">
          <cell r="A322">
            <v>351011</v>
          </cell>
          <cell r="B322" t="str">
            <v>Chefs and Head Cooks</v>
          </cell>
          <cell r="C322">
            <v>1077</v>
          </cell>
          <cell r="D322">
            <v>1294</v>
          </cell>
          <cell r="E322">
            <v>217</v>
          </cell>
          <cell r="F322">
            <v>0.20148560817084493</v>
          </cell>
          <cell r="G322">
            <v>217</v>
          </cell>
          <cell r="H322">
            <v>212</v>
          </cell>
          <cell r="I322">
            <v>429</v>
          </cell>
        </row>
        <row r="323">
          <cell r="A323">
            <v>351012</v>
          </cell>
          <cell r="B323" t="str">
            <v>Supervisors and Managers of Food Preparation and Serving Workers</v>
          </cell>
          <cell r="C323">
            <v>9084</v>
          </cell>
          <cell r="D323">
            <v>10930</v>
          </cell>
          <cell r="E323">
            <v>1846</v>
          </cell>
          <cell r="F323">
            <v>0.20321444297666225</v>
          </cell>
          <cell r="G323">
            <v>1846</v>
          </cell>
          <cell r="H323">
            <v>2122</v>
          </cell>
          <cell r="I323">
            <v>3968</v>
          </cell>
        </row>
        <row r="324">
          <cell r="A324">
            <v>352011</v>
          </cell>
          <cell r="B324" t="str">
            <v>Cooks, Fast Food</v>
          </cell>
          <cell r="C324">
            <v>6548</v>
          </cell>
          <cell r="D324">
            <v>7807</v>
          </cell>
          <cell r="E324">
            <v>1259</v>
          </cell>
          <cell r="F324">
            <v>0.19227244960293222</v>
          </cell>
          <cell r="G324">
            <v>1259</v>
          </cell>
          <cell r="H324">
            <v>1529</v>
          </cell>
          <cell r="I324">
            <v>2788</v>
          </cell>
        </row>
        <row r="325">
          <cell r="A325">
            <v>352012</v>
          </cell>
          <cell r="B325" t="str">
            <v>Cooks, Institution and Cafeteria</v>
          </cell>
          <cell r="C325">
            <v>5431</v>
          </cell>
          <cell r="D325">
            <v>6693</v>
          </cell>
          <cell r="E325">
            <v>1262</v>
          </cell>
          <cell r="F325">
            <v>0.23236972933161471</v>
          </cell>
          <cell r="G325">
            <v>1262</v>
          </cell>
          <cell r="H325">
            <v>1292</v>
          </cell>
          <cell r="I325">
            <v>2554</v>
          </cell>
        </row>
        <row r="326">
          <cell r="A326">
            <v>352014</v>
          </cell>
          <cell r="B326" t="str">
            <v>Cooks, Restaurant</v>
          </cell>
          <cell r="C326">
            <v>13501</v>
          </cell>
          <cell r="D326">
            <v>16365</v>
          </cell>
          <cell r="E326">
            <v>2864</v>
          </cell>
          <cell r="F326">
            <v>0.21213243463447151</v>
          </cell>
          <cell r="G326">
            <v>2864</v>
          </cell>
          <cell r="H326">
            <v>3182</v>
          </cell>
          <cell r="I326">
            <v>6046</v>
          </cell>
        </row>
        <row r="327">
          <cell r="A327">
            <v>352015</v>
          </cell>
          <cell r="B327" t="str">
            <v>Cooks, Short Order</v>
          </cell>
          <cell r="C327">
            <v>1940</v>
          </cell>
          <cell r="D327">
            <v>2285</v>
          </cell>
          <cell r="E327">
            <v>345</v>
          </cell>
          <cell r="F327">
            <v>0.17783505154639179</v>
          </cell>
          <cell r="G327">
            <v>345</v>
          </cell>
          <cell r="H327">
            <v>450</v>
          </cell>
          <cell r="I327">
            <v>795</v>
          </cell>
        </row>
        <row r="328">
          <cell r="A328">
            <v>352019</v>
          </cell>
          <cell r="B328" t="str">
            <v>Cooks, All Other</v>
          </cell>
          <cell r="C328">
            <v>171</v>
          </cell>
          <cell r="D328">
            <v>203</v>
          </cell>
          <cell r="E328">
            <v>32</v>
          </cell>
          <cell r="F328">
            <v>0.1871345029239766</v>
          </cell>
          <cell r="G328">
            <v>32</v>
          </cell>
          <cell r="H328">
            <v>40</v>
          </cell>
          <cell r="I328">
            <v>72</v>
          </cell>
        </row>
        <row r="329">
          <cell r="A329">
            <v>352021</v>
          </cell>
          <cell r="B329" t="str">
            <v>Food Preparation Workers</v>
          </cell>
          <cell r="C329">
            <v>10084</v>
          </cell>
          <cell r="D329">
            <v>12063</v>
          </cell>
          <cell r="E329">
            <v>1979</v>
          </cell>
          <cell r="F329">
            <v>0.19625148750495836</v>
          </cell>
          <cell r="G329">
            <v>1979</v>
          </cell>
          <cell r="H329">
            <v>3986</v>
          </cell>
          <cell r="I329">
            <v>5965</v>
          </cell>
        </row>
        <row r="330">
          <cell r="A330">
            <v>353011</v>
          </cell>
          <cell r="B330" t="str">
            <v>Bartenders</v>
          </cell>
          <cell r="C330">
            <v>7772</v>
          </cell>
          <cell r="D330">
            <v>9271</v>
          </cell>
          <cell r="E330">
            <v>1499</v>
          </cell>
          <cell r="F330">
            <v>0.19287184765826049</v>
          </cell>
          <cell r="G330">
            <v>1499</v>
          </cell>
          <cell r="H330">
            <v>2965</v>
          </cell>
          <cell r="I330">
            <v>4464</v>
          </cell>
        </row>
        <row r="331">
          <cell r="A331">
            <v>353021</v>
          </cell>
          <cell r="B331" t="str">
            <v>Combined Food Preparation and Serving Workers, Including Fast Food</v>
          </cell>
          <cell r="C331">
            <v>35123</v>
          </cell>
          <cell r="D331">
            <v>41956</v>
          </cell>
          <cell r="E331">
            <v>6833</v>
          </cell>
          <cell r="F331">
            <v>0.19454488511801382</v>
          </cell>
          <cell r="G331">
            <v>6833</v>
          </cell>
          <cell r="H331">
            <v>10756</v>
          </cell>
          <cell r="I331">
            <v>17589</v>
          </cell>
        </row>
        <row r="332">
          <cell r="A332">
            <v>353022</v>
          </cell>
          <cell r="B332" t="str">
            <v>Counter Attendants in Cafeterias, Food Concessions, and Coffee Shops</v>
          </cell>
          <cell r="C332">
            <v>9583</v>
          </cell>
          <cell r="D332">
            <v>11406</v>
          </cell>
          <cell r="E332">
            <v>1823</v>
          </cell>
          <cell r="F332">
            <v>0.19023270374621726</v>
          </cell>
          <cell r="G332">
            <v>1823</v>
          </cell>
          <cell r="H332">
            <v>7609</v>
          </cell>
          <cell r="I332">
            <v>9432</v>
          </cell>
        </row>
        <row r="333">
          <cell r="A333">
            <v>353031</v>
          </cell>
          <cell r="B333" t="str">
            <v>Waiters and Waitresses</v>
          </cell>
          <cell r="C333">
            <v>26755</v>
          </cell>
          <cell r="D333">
            <v>32407</v>
          </cell>
          <cell r="E333">
            <v>5652</v>
          </cell>
          <cell r="F333">
            <v>0.2112502336011961</v>
          </cell>
          <cell r="G333">
            <v>5652</v>
          </cell>
          <cell r="H333">
            <v>14768</v>
          </cell>
          <cell r="I333">
            <v>20420</v>
          </cell>
        </row>
        <row r="334">
          <cell r="A334">
            <v>353041</v>
          </cell>
          <cell r="B334" t="str">
            <v>Food Servers, Nonrestaurant</v>
          </cell>
          <cell r="C334">
            <v>2776</v>
          </cell>
          <cell r="D334">
            <v>3730</v>
          </cell>
          <cell r="E334">
            <v>954</v>
          </cell>
          <cell r="F334">
            <v>0.34365994236311237</v>
          </cell>
          <cell r="G334">
            <v>954</v>
          </cell>
          <cell r="H334">
            <v>919</v>
          </cell>
          <cell r="I334">
            <v>1873</v>
          </cell>
        </row>
        <row r="335">
          <cell r="A335">
            <v>359011</v>
          </cell>
          <cell r="B335" t="str">
            <v>Dining Room and Cafeteria Attendants and Bartender Helpers</v>
          </cell>
          <cell r="C335">
            <v>4215</v>
          </cell>
          <cell r="D335">
            <v>5121</v>
          </cell>
          <cell r="E335">
            <v>906</v>
          </cell>
          <cell r="F335">
            <v>0.21494661921708191</v>
          </cell>
          <cell r="G335">
            <v>906</v>
          </cell>
          <cell r="H335">
            <v>1737</v>
          </cell>
          <cell r="I335">
            <v>2643</v>
          </cell>
        </row>
        <row r="336">
          <cell r="A336">
            <v>359021</v>
          </cell>
          <cell r="B336" t="str">
            <v>Dishwashers</v>
          </cell>
          <cell r="C336">
            <v>7113</v>
          </cell>
          <cell r="D336">
            <v>8673</v>
          </cell>
          <cell r="E336">
            <v>1560</v>
          </cell>
          <cell r="F336">
            <v>0.21931674398987777</v>
          </cell>
          <cell r="G336">
            <v>1560</v>
          </cell>
          <cell r="H336">
            <v>3603</v>
          </cell>
          <cell r="I336">
            <v>5163</v>
          </cell>
        </row>
        <row r="337">
          <cell r="A337">
            <v>359031</v>
          </cell>
          <cell r="B337" t="str">
            <v>Hosts and Hostesses in Restaurants, Lounges, and Coffee Shops</v>
          </cell>
          <cell r="C337">
            <v>3515</v>
          </cell>
          <cell r="D337">
            <v>4264</v>
          </cell>
          <cell r="E337">
            <v>749</v>
          </cell>
          <cell r="F337">
            <v>0.21308677098150786</v>
          </cell>
          <cell r="G337">
            <v>749</v>
          </cell>
          <cell r="H337">
            <v>2732</v>
          </cell>
          <cell r="I337">
            <v>3481</v>
          </cell>
        </row>
        <row r="338">
          <cell r="A338">
            <v>359099</v>
          </cell>
          <cell r="B338" t="str">
            <v>Food Preparation and Serving Workers, All Other</v>
          </cell>
          <cell r="C338">
            <v>2205</v>
          </cell>
          <cell r="D338">
            <v>2631</v>
          </cell>
          <cell r="E338">
            <v>426</v>
          </cell>
          <cell r="F338">
            <v>0.19319727891156457</v>
          </cell>
          <cell r="G338">
            <v>426</v>
          </cell>
          <cell r="H338">
            <v>1195</v>
          </cell>
          <cell r="I338">
            <v>1621</v>
          </cell>
        </row>
        <row r="339">
          <cell r="A339">
            <v>371011</v>
          </cell>
          <cell r="B339" t="str">
            <v>Supervisors and Managers of Housekeeping and Janitorial Workers</v>
          </cell>
          <cell r="C339">
            <v>1786</v>
          </cell>
          <cell r="D339">
            <v>2176</v>
          </cell>
          <cell r="E339">
            <v>390</v>
          </cell>
          <cell r="F339">
            <v>0.21836506159014557</v>
          </cell>
          <cell r="G339">
            <v>390</v>
          </cell>
          <cell r="H339">
            <v>274</v>
          </cell>
          <cell r="I339">
            <v>664</v>
          </cell>
        </row>
        <row r="340">
          <cell r="A340">
            <v>371012</v>
          </cell>
          <cell r="B340" t="str">
            <v>Supervisors and Managers of Landscaping and Groundskeeping Workers</v>
          </cell>
          <cell r="C340">
            <v>1147</v>
          </cell>
          <cell r="D340">
            <v>1439</v>
          </cell>
          <cell r="E340">
            <v>292</v>
          </cell>
          <cell r="F340">
            <v>0.2545771578029643</v>
          </cell>
          <cell r="G340">
            <v>292</v>
          </cell>
          <cell r="H340">
            <v>187</v>
          </cell>
          <cell r="I340">
            <v>479</v>
          </cell>
        </row>
        <row r="341">
          <cell r="A341">
            <v>372011</v>
          </cell>
          <cell r="B341" t="str">
            <v>Janitors and Cleaners</v>
          </cell>
          <cell r="C341">
            <v>23505</v>
          </cell>
          <cell r="D341">
            <v>28288</v>
          </cell>
          <cell r="E341">
            <v>4783</v>
          </cell>
          <cell r="F341">
            <v>0.20348861944267171</v>
          </cell>
          <cell r="G341">
            <v>4783</v>
          </cell>
          <cell r="H341">
            <v>4882</v>
          </cell>
          <cell r="I341">
            <v>9665</v>
          </cell>
        </row>
        <row r="342">
          <cell r="A342">
            <v>372012</v>
          </cell>
          <cell r="B342" t="str">
            <v>Maids and Housekeeping Cleaners</v>
          </cell>
          <cell r="C342">
            <v>11177</v>
          </cell>
          <cell r="D342">
            <v>13418</v>
          </cell>
          <cell r="E342">
            <v>2241</v>
          </cell>
          <cell r="F342">
            <v>0.20050102889863108</v>
          </cell>
          <cell r="G342">
            <v>2241</v>
          </cell>
          <cell r="H342">
            <v>2071</v>
          </cell>
          <cell r="I342">
            <v>4312</v>
          </cell>
        </row>
        <row r="343">
          <cell r="A343">
            <v>372019</v>
          </cell>
          <cell r="B343" t="str">
            <v>Building Cleaning Workers, All Other</v>
          </cell>
          <cell r="C343">
            <v>285</v>
          </cell>
          <cell r="D343">
            <v>344</v>
          </cell>
          <cell r="E343">
            <v>59</v>
          </cell>
          <cell r="F343">
            <v>0.2070175438596491</v>
          </cell>
          <cell r="G343">
            <v>59</v>
          </cell>
          <cell r="H343">
            <v>59</v>
          </cell>
          <cell r="I343">
            <v>118</v>
          </cell>
        </row>
        <row r="344">
          <cell r="A344">
            <v>372021</v>
          </cell>
          <cell r="B344" t="str">
            <v>Pest Control Workers</v>
          </cell>
          <cell r="C344">
            <v>855</v>
          </cell>
          <cell r="D344">
            <v>1146</v>
          </cell>
          <cell r="E344">
            <v>291</v>
          </cell>
          <cell r="F344">
            <v>0.3403508771929824</v>
          </cell>
          <cell r="G344">
            <v>291</v>
          </cell>
          <cell r="H344">
            <v>448</v>
          </cell>
          <cell r="I344">
            <v>739</v>
          </cell>
        </row>
        <row r="345">
          <cell r="A345">
            <v>373011</v>
          </cell>
          <cell r="B345" t="str">
            <v>Landscaping and Groundskeeping Workers</v>
          </cell>
          <cell r="C345">
            <v>9834</v>
          </cell>
          <cell r="D345">
            <v>12201</v>
          </cell>
          <cell r="E345">
            <v>2367</v>
          </cell>
          <cell r="F345">
            <v>0.24069554606467358</v>
          </cell>
          <cell r="G345">
            <v>2367</v>
          </cell>
          <cell r="H345">
            <v>1948</v>
          </cell>
          <cell r="I345">
            <v>4315</v>
          </cell>
        </row>
        <row r="346">
          <cell r="A346">
            <v>373012</v>
          </cell>
          <cell r="B346" t="str">
            <v>Pesticide Handlers, Sprayers, and Applicators; Vegetation</v>
          </cell>
          <cell r="C346">
            <v>1227</v>
          </cell>
          <cell r="D346">
            <v>1452</v>
          </cell>
          <cell r="E346">
            <v>225</v>
          </cell>
          <cell r="F346">
            <v>0.18337408312958425</v>
          </cell>
          <cell r="G346">
            <v>225</v>
          </cell>
          <cell r="H346">
            <v>237</v>
          </cell>
          <cell r="I346">
            <v>462</v>
          </cell>
        </row>
        <row r="347">
          <cell r="A347">
            <v>373013</v>
          </cell>
          <cell r="B347" t="str">
            <v>Tree Trimmers and Pruners</v>
          </cell>
          <cell r="C347">
            <v>1264</v>
          </cell>
          <cell r="D347">
            <v>1530</v>
          </cell>
          <cell r="E347">
            <v>266</v>
          </cell>
          <cell r="F347">
            <v>0.21044303797468356</v>
          </cell>
          <cell r="G347">
            <v>266</v>
          </cell>
          <cell r="H347">
            <v>247</v>
          </cell>
          <cell r="I347">
            <v>513</v>
          </cell>
        </row>
        <row r="348">
          <cell r="A348">
            <v>373019</v>
          </cell>
          <cell r="B348" t="str">
            <v>Grounds Maintenance Workers, All Other</v>
          </cell>
          <cell r="C348">
            <v>344</v>
          </cell>
          <cell r="D348">
            <v>402</v>
          </cell>
          <cell r="E348">
            <v>58</v>
          </cell>
          <cell r="F348">
            <v>0.16860465116279078</v>
          </cell>
          <cell r="G348">
            <v>58</v>
          </cell>
          <cell r="H348">
            <v>66</v>
          </cell>
          <cell r="I348">
            <v>124</v>
          </cell>
        </row>
        <row r="349">
          <cell r="A349">
            <v>391011</v>
          </cell>
          <cell r="B349" t="str">
            <v>Gaming Supervisors</v>
          </cell>
          <cell r="C349">
            <v>185</v>
          </cell>
          <cell r="D349">
            <v>201</v>
          </cell>
          <cell r="E349">
            <v>16</v>
          </cell>
          <cell r="F349">
            <v>8.6486486486486491E-2</v>
          </cell>
          <cell r="G349">
            <v>16</v>
          </cell>
          <cell r="H349">
            <v>36</v>
          </cell>
          <cell r="I349">
            <v>52</v>
          </cell>
        </row>
        <row r="350">
          <cell r="A350">
            <v>391012</v>
          </cell>
          <cell r="B350" t="str">
            <v>Slot Key Persons</v>
          </cell>
          <cell r="C350">
            <v>92</v>
          </cell>
          <cell r="D350">
            <v>93</v>
          </cell>
          <cell r="E350">
            <v>1</v>
          </cell>
          <cell r="F350">
            <v>1.0869565217391353E-2</v>
          </cell>
          <cell r="G350">
            <v>1</v>
          </cell>
          <cell r="H350">
            <v>17</v>
          </cell>
          <cell r="I350">
            <v>18</v>
          </cell>
        </row>
        <row r="351">
          <cell r="A351">
            <v>391021</v>
          </cell>
          <cell r="B351" t="str">
            <v>Supervisors and Managers of Personal Service Workers</v>
          </cell>
          <cell r="C351">
            <v>2042</v>
          </cell>
          <cell r="D351">
            <v>2490</v>
          </cell>
          <cell r="E351">
            <v>448</v>
          </cell>
          <cell r="F351">
            <v>0.21939275220372179</v>
          </cell>
          <cell r="G351">
            <v>448</v>
          </cell>
          <cell r="H351">
            <v>548</v>
          </cell>
          <cell r="I351">
            <v>996</v>
          </cell>
        </row>
        <row r="352">
          <cell r="A352" t="str">
            <v>392011</v>
          </cell>
          <cell r="B352" t="str">
            <v>Animal Trainers</v>
          </cell>
          <cell r="C352">
            <v>135</v>
          </cell>
          <cell r="D352">
            <v>177</v>
          </cell>
          <cell r="E352">
            <v>42</v>
          </cell>
          <cell r="F352">
            <v>0.31111111111111112</v>
          </cell>
          <cell r="G352">
            <v>42</v>
          </cell>
          <cell r="H352">
            <v>15</v>
          </cell>
          <cell r="I352">
            <v>57</v>
          </cell>
        </row>
        <row r="353">
          <cell r="A353">
            <v>392021</v>
          </cell>
          <cell r="B353" t="str">
            <v>Nonfarm Animal Caretakers</v>
          </cell>
          <cell r="C353">
            <v>1938</v>
          </cell>
          <cell r="D353">
            <v>2493</v>
          </cell>
          <cell r="E353">
            <v>555</v>
          </cell>
          <cell r="F353">
            <v>0.28637770897832815</v>
          </cell>
          <cell r="G353">
            <v>555</v>
          </cell>
          <cell r="H353">
            <v>492</v>
          </cell>
          <cell r="I353">
            <v>1047</v>
          </cell>
        </row>
        <row r="354">
          <cell r="A354">
            <v>393011</v>
          </cell>
          <cell r="B354" t="str">
            <v>Gaming Dealers</v>
          </cell>
          <cell r="C354">
            <v>494</v>
          </cell>
          <cell r="D354">
            <v>512</v>
          </cell>
          <cell r="E354">
            <v>18</v>
          </cell>
          <cell r="F354">
            <v>3.6437246963562764E-2</v>
          </cell>
          <cell r="G354">
            <v>18</v>
          </cell>
          <cell r="H354">
            <v>216</v>
          </cell>
          <cell r="I354">
            <v>234</v>
          </cell>
        </row>
        <row r="355">
          <cell r="A355">
            <v>393012</v>
          </cell>
          <cell r="B355" t="str">
            <v>Gaming and Sports Book Writers and Runners</v>
          </cell>
          <cell r="C355">
            <v>239</v>
          </cell>
          <cell r="D355">
            <v>283</v>
          </cell>
          <cell r="E355">
            <v>44</v>
          </cell>
          <cell r="F355">
            <v>0.18410041841004188</v>
          </cell>
          <cell r="G355">
            <v>44</v>
          </cell>
          <cell r="H355">
            <v>112</v>
          </cell>
          <cell r="I355">
            <v>156</v>
          </cell>
        </row>
        <row r="356">
          <cell r="A356">
            <v>393019</v>
          </cell>
          <cell r="B356" t="str">
            <v>Gaming Service Workers, All Other</v>
          </cell>
          <cell r="C356">
            <v>35</v>
          </cell>
          <cell r="D356">
            <v>44</v>
          </cell>
          <cell r="E356">
            <v>9</v>
          </cell>
          <cell r="F356">
            <v>0.25714285714285712</v>
          </cell>
          <cell r="G356">
            <v>9</v>
          </cell>
          <cell r="H356">
            <v>17</v>
          </cell>
          <cell r="I356">
            <v>26</v>
          </cell>
        </row>
        <row r="357">
          <cell r="A357">
            <v>393021</v>
          </cell>
          <cell r="B357" t="str">
            <v>Motion Picture Projectionists</v>
          </cell>
          <cell r="C357">
            <v>160</v>
          </cell>
          <cell r="D357">
            <v>188</v>
          </cell>
          <cell r="E357">
            <v>28</v>
          </cell>
          <cell r="F357">
            <v>0.17500000000000004</v>
          </cell>
          <cell r="G357">
            <v>28</v>
          </cell>
          <cell r="H357">
            <v>75</v>
          </cell>
          <cell r="I357">
            <v>103</v>
          </cell>
        </row>
        <row r="358">
          <cell r="A358">
            <v>393031</v>
          </cell>
          <cell r="B358" t="str">
            <v>Ushers, Lobby Attendants, and Ticket Takers</v>
          </cell>
          <cell r="C358">
            <v>1431</v>
          </cell>
          <cell r="D358">
            <v>1747</v>
          </cell>
          <cell r="E358">
            <v>316</v>
          </cell>
          <cell r="F358">
            <v>0.22082459818308875</v>
          </cell>
          <cell r="G358">
            <v>316</v>
          </cell>
          <cell r="H358">
            <v>927</v>
          </cell>
          <cell r="I358">
            <v>1243</v>
          </cell>
        </row>
        <row r="359">
          <cell r="A359">
            <v>393091</v>
          </cell>
          <cell r="B359" t="str">
            <v>Amusement and Recreation Attendants</v>
          </cell>
          <cell r="C359">
            <v>2821</v>
          </cell>
          <cell r="D359">
            <v>3262</v>
          </cell>
          <cell r="E359">
            <v>441</v>
          </cell>
          <cell r="F359">
            <v>0.15632754342431765</v>
          </cell>
          <cell r="G359">
            <v>441</v>
          </cell>
          <cell r="H359">
            <v>1746</v>
          </cell>
          <cell r="I359">
            <v>2187</v>
          </cell>
        </row>
        <row r="360">
          <cell r="A360">
            <v>393092</v>
          </cell>
          <cell r="B360" t="str">
            <v>Costume Attendants</v>
          </cell>
          <cell r="C360">
            <v>23</v>
          </cell>
          <cell r="D360">
            <v>25</v>
          </cell>
          <cell r="E360">
            <v>2</v>
          </cell>
          <cell r="F360">
            <v>8.6956521739130377E-2</v>
          </cell>
          <cell r="G360">
            <v>2</v>
          </cell>
          <cell r="H360">
            <v>14</v>
          </cell>
          <cell r="I360">
            <v>16</v>
          </cell>
        </row>
        <row r="361">
          <cell r="A361" t="str">
            <v>393093</v>
          </cell>
          <cell r="B361" t="str">
            <v>Locker Room, Coatroom, and Dressing Room Attendants</v>
          </cell>
          <cell r="C361">
            <v>405</v>
          </cell>
          <cell r="D361">
            <v>487</v>
          </cell>
          <cell r="E361">
            <v>82</v>
          </cell>
          <cell r="F361">
            <v>0.20246913580246906</v>
          </cell>
          <cell r="G361">
            <v>82</v>
          </cell>
          <cell r="H361">
            <v>256</v>
          </cell>
          <cell r="I361">
            <v>338</v>
          </cell>
        </row>
        <row r="362">
          <cell r="A362">
            <v>393099</v>
          </cell>
          <cell r="B362" t="str">
            <v>Entertainment Attendants and Related Workers, All Other</v>
          </cell>
          <cell r="C362">
            <v>1048</v>
          </cell>
          <cell r="D362">
            <v>1214</v>
          </cell>
          <cell r="E362">
            <v>166</v>
          </cell>
          <cell r="F362">
            <v>0.15839694656488557</v>
          </cell>
          <cell r="G362">
            <v>166</v>
          </cell>
          <cell r="H362">
            <v>649</v>
          </cell>
          <cell r="I362">
            <v>815</v>
          </cell>
        </row>
        <row r="363">
          <cell r="A363">
            <v>394011</v>
          </cell>
          <cell r="B363" t="str">
            <v>Embalmers</v>
          </cell>
          <cell r="C363">
            <v>43</v>
          </cell>
          <cell r="D363">
            <v>51</v>
          </cell>
          <cell r="E363">
            <v>8</v>
          </cell>
          <cell r="F363">
            <v>0.18604651162790709</v>
          </cell>
          <cell r="G363">
            <v>8</v>
          </cell>
          <cell r="H363">
            <v>22</v>
          </cell>
          <cell r="I363">
            <v>30</v>
          </cell>
        </row>
        <row r="364">
          <cell r="A364">
            <v>394021</v>
          </cell>
          <cell r="B364" t="str">
            <v>Funeral Attendants</v>
          </cell>
          <cell r="C364">
            <v>139</v>
          </cell>
          <cell r="D364">
            <v>165</v>
          </cell>
          <cell r="E364">
            <v>26</v>
          </cell>
          <cell r="F364">
            <v>0.18705035971223016</v>
          </cell>
          <cell r="G364">
            <v>26</v>
          </cell>
          <cell r="H364">
            <v>72</v>
          </cell>
          <cell r="I364">
            <v>98</v>
          </cell>
        </row>
        <row r="365">
          <cell r="A365">
            <v>395011</v>
          </cell>
          <cell r="B365" t="str">
            <v>Barbers</v>
          </cell>
          <cell r="C365">
            <v>146</v>
          </cell>
          <cell r="D365">
            <v>173</v>
          </cell>
          <cell r="E365">
            <v>27</v>
          </cell>
          <cell r="F365">
            <v>0.18493150684931514</v>
          </cell>
          <cell r="G365">
            <v>27</v>
          </cell>
          <cell r="H365">
            <v>29</v>
          </cell>
          <cell r="I365">
            <v>56</v>
          </cell>
        </row>
        <row r="366">
          <cell r="A366">
            <v>395012</v>
          </cell>
          <cell r="B366" t="str">
            <v>Hairdressers, Hairstylists, and Cosmetologists</v>
          </cell>
          <cell r="C366">
            <v>3541</v>
          </cell>
          <cell r="D366">
            <v>4201</v>
          </cell>
          <cell r="E366">
            <v>660</v>
          </cell>
          <cell r="F366">
            <v>0.18638802598136128</v>
          </cell>
          <cell r="G366">
            <v>660</v>
          </cell>
          <cell r="H366">
            <v>738</v>
          </cell>
          <cell r="I366">
            <v>1398</v>
          </cell>
        </row>
        <row r="367">
          <cell r="A367">
            <v>395092</v>
          </cell>
          <cell r="B367" t="str">
            <v>Manicurists and Pedicurists</v>
          </cell>
          <cell r="C367">
            <v>208</v>
          </cell>
          <cell r="D367">
            <v>246</v>
          </cell>
          <cell r="E367">
            <v>38</v>
          </cell>
          <cell r="F367">
            <v>0.18269230769230771</v>
          </cell>
          <cell r="G367">
            <v>38</v>
          </cell>
          <cell r="H367">
            <v>41</v>
          </cell>
          <cell r="I367">
            <v>79</v>
          </cell>
        </row>
        <row r="368">
          <cell r="A368">
            <v>395094</v>
          </cell>
          <cell r="B368" t="str">
            <v>Skin Care Specialists</v>
          </cell>
          <cell r="C368">
            <v>247</v>
          </cell>
          <cell r="D368">
            <v>301</v>
          </cell>
          <cell r="E368">
            <v>54</v>
          </cell>
          <cell r="F368">
            <v>0.21862348178137658</v>
          </cell>
          <cell r="G368">
            <v>54</v>
          </cell>
          <cell r="H368">
            <v>50</v>
          </cell>
          <cell r="I368">
            <v>104</v>
          </cell>
        </row>
        <row r="369">
          <cell r="A369">
            <v>396011</v>
          </cell>
          <cell r="B369" t="str">
            <v>Baggage Porters and Bellhops</v>
          </cell>
          <cell r="C369">
            <v>318</v>
          </cell>
          <cell r="D369">
            <v>375</v>
          </cell>
          <cell r="E369">
            <v>57</v>
          </cell>
          <cell r="F369">
            <v>0.179245283018868</v>
          </cell>
          <cell r="G369">
            <v>57</v>
          </cell>
          <cell r="H369">
            <v>86</v>
          </cell>
          <cell r="I369">
            <v>143</v>
          </cell>
        </row>
        <row r="370">
          <cell r="A370">
            <v>396012</v>
          </cell>
          <cell r="B370" t="str">
            <v>Concierges</v>
          </cell>
          <cell r="C370">
            <v>184</v>
          </cell>
          <cell r="D370">
            <v>207</v>
          </cell>
          <cell r="E370">
            <v>23</v>
          </cell>
          <cell r="F370">
            <v>0.125</v>
          </cell>
          <cell r="G370">
            <v>23</v>
          </cell>
          <cell r="H370">
            <v>48</v>
          </cell>
          <cell r="I370">
            <v>71</v>
          </cell>
        </row>
        <row r="371">
          <cell r="A371">
            <v>396021</v>
          </cell>
          <cell r="B371" t="str">
            <v>Tour Guides and Escorts</v>
          </cell>
          <cell r="C371">
            <v>628</v>
          </cell>
          <cell r="D371">
            <v>722</v>
          </cell>
          <cell r="E371">
            <v>94</v>
          </cell>
          <cell r="F371">
            <v>0.14968152866242046</v>
          </cell>
          <cell r="G371">
            <v>94</v>
          </cell>
          <cell r="H371">
            <v>258</v>
          </cell>
          <cell r="I371">
            <v>352</v>
          </cell>
        </row>
        <row r="372">
          <cell r="A372">
            <v>396022</v>
          </cell>
          <cell r="B372" t="str">
            <v>Travel Guides</v>
          </cell>
          <cell r="C372">
            <v>82</v>
          </cell>
          <cell r="D372">
            <v>94</v>
          </cell>
          <cell r="E372">
            <v>12</v>
          </cell>
          <cell r="F372">
            <v>0.14634146341463405</v>
          </cell>
          <cell r="G372">
            <v>12</v>
          </cell>
          <cell r="H372">
            <v>34</v>
          </cell>
          <cell r="I372">
            <v>46</v>
          </cell>
        </row>
        <row r="373">
          <cell r="A373">
            <v>396031</v>
          </cell>
          <cell r="B373" t="str">
            <v>Flight Attendants</v>
          </cell>
          <cell r="C373">
            <v>692</v>
          </cell>
          <cell r="D373">
            <v>804</v>
          </cell>
          <cell r="E373">
            <v>112</v>
          </cell>
          <cell r="F373">
            <v>0.16184971098265888</v>
          </cell>
          <cell r="G373">
            <v>112</v>
          </cell>
          <cell r="H373">
            <v>143</v>
          </cell>
          <cell r="I373">
            <v>255</v>
          </cell>
        </row>
        <row r="374">
          <cell r="A374">
            <v>396032</v>
          </cell>
          <cell r="B374" t="str">
            <v>Transportation Attendants, Except Flight Attendants and Baggage Porters</v>
          </cell>
          <cell r="C374">
            <v>136</v>
          </cell>
          <cell r="D374">
            <v>167</v>
          </cell>
          <cell r="E374">
            <v>31</v>
          </cell>
          <cell r="F374">
            <v>0.22794117647058831</v>
          </cell>
          <cell r="G374">
            <v>31</v>
          </cell>
          <cell r="H374">
            <v>29</v>
          </cell>
          <cell r="I374">
            <v>60</v>
          </cell>
        </row>
        <row r="375">
          <cell r="A375">
            <v>399011</v>
          </cell>
          <cell r="B375" t="str">
            <v>Child Care Workers</v>
          </cell>
          <cell r="C375">
            <v>5030</v>
          </cell>
          <cell r="D375">
            <v>5995</v>
          </cell>
          <cell r="E375">
            <v>965</v>
          </cell>
          <cell r="F375">
            <v>0.19184890656063613</v>
          </cell>
          <cell r="G375">
            <v>965</v>
          </cell>
          <cell r="H375">
            <v>1736</v>
          </cell>
          <cell r="I375">
            <v>2701</v>
          </cell>
        </row>
        <row r="376">
          <cell r="A376">
            <v>399021</v>
          </cell>
          <cell r="B376" t="str">
            <v>Personal and Home Care Aides</v>
          </cell>
          <cell r="C376">
            <v>8359</v>
          </cell>
          <cell r="D376">
            <v>10755</v>
          </cell>
          <cell r="E376">
            <v>2396</v>
          </cell>
          <cell r="F376">
            <v>0.28663715755473151</v>
          </cell>
          <cell r="G376">
            <v>2396</v>
          </cell>
          <cell r="H376">
            <v>757</v>
          </cell>
          <cell r="I376">
            <v>3153</v>
          </cell>
        </row>
        <row r="377">
          <cell r="A377">
            <v>399031</v>
          </cell>
          <cell r="B377" t="str">
            <v>Fitness Trainers and Aerobics Instructors</v>
          </cell>
          <cell r="C377">
            <v>3091</v>
          </cell>
          <cell r="D377">
            <v>3956</v>
          </cell>
          <cell r="E377">
            <v>865</v>
          </cell>
          <cell r="F377">
            <v>0.27984471044969261</v>
          </cell>
          <cell r="G377">
            <v>865</v>
          </cell>
          <cell r="H377">
            <v>564</v>
          </cell>
          <cell r="I377">
            <v>1429</v>
          </cell>
        </row>
        <row r="378">
          <cell r="A378">
            <v>399032</v>
          </cell>
          <cell r="B378" t="str">
            <v>Recreation Workers</v>
          </cell>
          <cell r="C378">
            <v>4302</v>
          </cell>
          <cell r="D378">
            <v>5138</v>
          </cell>
          <cell r="E378">
            <v>836</v>
          </cell>
          <cell r="F378">
            <v>0.19432821943282197</v>
          </cell>
          <cell r="G378">
            <v>836</v>
          </cell>
          <cell r="H378">
            <v>755</v>
          </cell>
          <cell r="I378">
            <v>1591</v>
          </cell>
        </row>
        <row r="379">
          <cell r="A379">
            <v>399041</v>
          </cell>
          <cell r="B379" t="str">
            <v>Residential Advisors</v>
          </cell>
          <cell r="C379">
            <v>677</v>
          </cell>
          <cell r="D379">
            <v>803</v>
          </cell>
          <cell r="E379">
            <v>126</v>
          </cell>
          <cell r="F379">
            <v>0.18611521418020671</v>
          </cell>
          <cell r="G379">
            <v>126</v>
          </cell>
          <cell r="H379">
            <v>281</v>
          </cell>
          <cell r="I379">
            <v>407</v>
          </cell>
        </row>
        <row r="380">
          <cell r="A380">
            <v>399099</v>
          </cell>
          <cell r="B380" t="str">
            <v>Personal Care and Service Workers, All Other</v>
          </cell>
          <cell r="C380">
            <v>1210</v>
          </cell>
          <cell r="D380">
            <v>1413</v>
          </cell>
          <cell r="E380">
            <v>203</v>
          </cell>
          <cell r="F380">
            <v>0.16776859504132235</v>
          </cell>
          <cell r="G380">
            <v>203</v>
          </cell>
          <cell r="H380">
            <v>283</v>
          </cell>
          <cell r="I380">
            <v>486</v>
          </cell>
        </row>
        <row r="381">
          <cell r="A381">
            <v>411011</v>
          </cell>
          <cell r="B381" t="str">
            <v>Supervisors and Managers of Retail Sales Workers</v>
          </cell>
          <cell r="C381">
            <v>15079</v>
          </cell>
          <cell r="D381">
            <v>17325</v>
          </cell>
          <cell r="E381">
            <v>2246</v>
          </cell>
          <cell r="F381">
            <v>0.14894886928841444</v>
          </cell>
          <cell r="G381">
            <v>2246</v>
          </cell>
          <cell r="H381">
            <v>3779</v>
          </cell>
          <cell r="I381">
            <v>6025</v>
          </cell>
        </row>
        <row r="382">
          <cell r="A382">
            <v>411012</v>
          </cell>
          <cell r="B382" t="str">
            <v>Supervisors and Managers of Non-Retail Sales Workers</v>
          </cell>
          <cell r="C382">
            <v>3857</v>
          </cell>
          <cell r="D382">
            <v>4459</v>
          </cell>
          <cell r="E382">
            <v>602</v>
          </cell>
          <cell r="F382">
            <v>0.15607985480943731</v>
          </cell>
          <cell r="G382">
            <v>602</v>
          </cell>
          <cell r="H382">
            <v>1046</v>
          </cell>
          <cell r="I382">
            <v>1648</v>
          </cell>
        </row>
        <row r="383">
          <cell r="A383">
            <v>412011</v>
          </cell>
          <cell r="B383" t="str">
            <v>Cashiers</v>
          </cell>
          <cell r="C383">
            <v>33427</v>
          </cell>
          <cell r="D383">
            <v>37999</v>
          </cell>
          <cell r="E383">
            <v>4572</v>
          </cell>
          <cell r="F383">
            <v>0.13677566039429201</v>
          </cell>
          <cell r="G383">
            <v>4572</v>
          </cell>
          <cell r="H383">
            <v>16204</v>
          </cell>
          <cell r="I383">
            <v>20776</v>
          </cell>
        </row>
        <row r="384">
          <cell r="A384">
            <v>412012</v>
          </cell>
          <cell r="B384" t="str">
            <v>Gaming Change Persons and Booth Cashiers</v>
          </cell>
          <cell r="C384">
            <v>256</v>
          </cell>
          <cell r="D384">
            <v>262</v>
          </cell>
          <cell r="E384">
            <v>6</v>
          </cell>
          <cell r="F384">
            <v>2.34375E-2</v>
          </cell>
          <cell r="G384">
            <v>6</v>
          </cell>
          <cell r="H384">
            <v>118</v>
          </cell>
          <cell r="I384">
            <v>124</v>
          </cell>
        </row>
        <row r="385">
          <cell r="A385">
            <v>412021</v>
          </cell>
          <cell r="B385" t="str">
            <v>Counter and Rental Clerks</v>
          </cell>
          <cell r="C385">
            <v>4660</v>
          </cell>
          <cell r="D385">
            <v>5356</v>
          </cell>
          <cell r="E385">
            <v>696</v>
          </cell>
          <cell r="F385">
            <v>0.14935622317596575</v>
          </cell>
          <cell r="G385">
            <v>696</v>
          </cell>
          <cell r="H385">
            <v>1141</v>
          </cell>
          <cell r="I385">
            <v>1837</v>
          </cell>
        </row>
        <row r="386">
          <cell r="A386">
            <v>412022</v>
          </cell>
          <cell r="B386" t="str">
            <v>Parts Salespersons</v>
          </cell>
          <cell r="C386">
            <v>3495</v>
          </cell>
          <cell r="D386">
            <v>4195</v>
          </cell>
          <cell r="E386">
            <v>700</v>
          </cell>
          <cell r="F386">
            <v>0.20028612303290405</v>
          </cell>
          <cell r="G386">
            <v>700</v>
          </cell>
          <cell r="H386">
            <v>1406</v>
          </cell>
          <cell r="I386">
            <v>2106</v>
          </cell>
        </row>
        <row r="387">
          <cell r="A387">
            <v>412031</v>
          </cell>
          <cell r="B387" t="str">
            <v>Retail Salespersons</v>
          </cell>
          <cell r="C387">
            <v>54587</v>
          </cell>
          <cell r="D387">
            <v>62913</v>
          </cell>
          <cell r="E387">
            <v>8326</v>
          </cell>
          <cell r="F387">
            <v>0.1525271584809571</v>
          </cell>
          <cell r="G387">
            <v>8326</v>
          </cell>
          <cell r="H387">
            <v>17259</v>
          </cell>
          <cell r="I387">
            <v>25585</v>
          </cell>
        </row>
        <row r="388">
          <cell r="A388">
            <v>413011</v>
          </cell>
          <cell r="B388" t="str">
            <v>Advertising Sales Agents</v>
          </cell>
          <cell r="C388">
            <v>1491</v>
          </cell>
          <cell r="D388">
            <v>1460</v>
          </cell>
          <cell r="E388">
            <v>-31</v>
          </cell>
          <cell r="F388">
            <v>-2.0791415157612292E-2</v>
          </cell>
          <cell r="G388">
            <v>0</v>
          </cell>
          <cell r="H388">
            <v>451</v>
          </cell>
          <cell r="I388">
            <v>451</v>
          </cell>
        </row>
        <row r="389">
          <cell r="A389">
            <v>413021</v>
          </cell>
          <cell r="B389" t="str">
            <v>Insurance Sales Agents</v>
          </cell>
          <cell r="C389">
            <v>3211</v>
          </cell>
          <cell r="D389">
            <v>3554</v>
          </cell>
          <cell r="E389">
            <v>343</v>
          </cell>
          <cell r="F389">
            <v>0.10682030520087205</v>
          </cell>
          <cell r="G389">
            <v>343</v>
          </cell>
          <cell r="H389">
            <v>775</v>
          </cell>
          <cell r="I389">
            <v>1118</v>
          </cell>
        </row>
        <row r="390">
          <cell r="A390">
            <v>413031</v>
          </cell>
          <cell r="B390" t="str">
            <v>Securities, Commodities, and Financial Services Sales Agents</v>
          </cell>
          <cell r="C390">
            <v>2669</v>
          </cell>
          <cell r="D390">
            <v>3138</v>
          </cell>
          <cell r="E390">
            <v>469</v>
          </cell>
          <cell r="F390">
            <v>0.1757212439115774</v>
          </cell>
          <cell r="G390">
            <v>469</v>
          </cell>
          <cell r="H390">
            <v>802</v>
          </cell>
          <cell r="I390">
            <v>1271</v>
          </cell>
        </row>
        <row r="391">
          <cell r="A391">
            <v>413041</v>
          </cell>
          <cell r="B391" t="str">
            <v>Travel Agents</v>
          </cell>
          <cell r="C391">
            <v>905</v>
          </cell>
          <cell r="D391">
            <v>753</v>
          </cell>
          <cell r="E391">
            <v>-152</v>
          </cell>
          <cell r="F391">
            <v>-0.16795580110497232</v>
          </cell>
          <cell r="G391">
            <v>0</v>
          </cell>
          <cell r="H391">
            <v>90</v>
          </cell>
          <cell r="I391">
            <v>90</v>
          </cell>
        </row>
        <row r="392">
          <cell r="A392">
            <v>413099</v>
          </cell>
          <cell r="B392" t="str">
            <v>Sales Representatives, Services, All Other</v>
          </cell>
          <cell r="C392">
            <v>5815</v>
          </cell>
          <cell r="D392">
            <v>6892</v>
          </cell>
          <cell r="E392">
            <v>1077</v>
          </cell>
          <cell r="F392">
            <v>0.18521066208082537</v>
          </cell>
          <cell r="G392">
            <v>1077</v>
          </cell>
          <cell r="H392">
            <v>1866</v>
          </cell>
          <cell r="I392">
            <v>2943</v>
          </cell>
        </row>
        <row r="393">
          <cell r="A393">
            <v>414011</v>
          </cell>
          <cell r="B393" t="str">
            <v>Wholesale and Manufacturing Sales Representatives, Technical and Scientific Products</v>
          </cell>
          <cell r="C393">
            <v>4904</v>
          </cell>
          <cell r="D393">
            <v>5982</v>
          </cell>
          <cell r="E393">
            <v>1078</v>
          </cell>
          <cell r="F393">
            <v>0.21982055464926598</v>
          </cell>
          <cell r="G393">
            <v>1078</v>
          </cell>
          <cell r="H393">
            <v>1281</v>
          </cell>
          <cell r="I393">
            <v>2359</v>
          </cell>
        </row>
        <row r="394">
          <cell r="A394">
            <v>414012</v>
          </cell>
          <cell r="B394" t="str">
            <v>Wholesale and Manufacturing Sales Representatives, Except Technical and Scientific Products</v>
          </cell>
          <cell r="C394">
            <v>15581</v>
          </cell>
          <cell r="D394">
            <v>18626</v>
          </cell>
          <cell r="E394">
            <v>3045</v>
          </cell>
          <cell r="F394">
            <v>0.19543033181438929</v>
          </cell>
          <cell r="G394">
            <v>3045</v>
          </cell>
          <cell r="H394">
            <v>4025</v>
          </cell>
          <cell r="I394">
            <v>7070</v>
          </cell>
        </row>
        <row r="395">
          <cell r="A395">
            <v>419011</v>
          </cell>
          <cell r="B395" t="str">
            <v>Demonstrators and Product Promoters</v>
          </cell>
          <cell r="C395">
            <v>1448</v>
          </cell>
          <cell r="D395">
            <v>1760</v>
          </cell>
          <cell r="E395">
            <v>312</v>
          </cell>
          <cell r="F395">
            <v>0.21546961325966851</v>
          </cell>
          <cell r="G395">
            <v>312</v>
          </cell>
          <cell r="H395">
            <v>468</v>
          </cell>
          <cell r="I395">
            <v>780</v>
          </cell>
        </row>
        <row r="396">
          <cell r="A396">
            <v>419012</v>
          </cell>
          <cell r="B396" t="str">
            <v>Models</v>
          </cell>
          <cell r="C396">
            <v>36</v>
          </cell>
          <cell r="D396">
            <v>43</v>
          </cell>
          <cell r="E396">
            <v>7</v>
          </cell>
          <cell r="F396">
            <v>0.19444444444444442</v>
          </cell>
          <cell r="G396">
            <v>7</v>
          </cell>
          <cell r="H396">
            <v>12</v>
          </cell>
          <cell r="I396">
            <v>19</v>
          </cell>
        </row>
        <row r="397">
          <cell r="A397">
            <v>419021</v>
          </cell>
          <cell r="B397" t="str">
            <v>Real Estate Brokers</v>
          </cell>
          <cell r="C397">
            <v>5637</v>
          </cell>
          <cell r="D397">
            <v>6219</v>
          </cell>
          <cell r="E397">
            <v>582</v>
          </cell>
          <cell r="F397">
            <v>0.10324640766365079</v>
          </cell>
          <cell r="G397">
            <v>582</v>
          </cell>
          <cell r="H397">
            <v>1333</v>
          </cell>
          <cell r="I397">
            <v>1915</v>
          </cell>
        </row>
        <row r="398">
          <cell r="A398">
            <v>419022</v>
          </cell>
          <cell r="B398" t="str">
            <v>Real Estate Sales Agents</v>
          </cell>
          <cell r="C398">
            <v>8316</v>
          </cell>
          <cell r="D398">
            <v>9170</v>
          </cell>
          <cell r="E398">
            <v>854</v>
          </cell>
          <cell r="F398">
            <v>0.10269360269360273</v>
          </cell>
          <cell r="G398">
            <v>854</v>
          </cell>
          <cell r="H398">
            <v>1966</v>
          </cell>
          <cell r="I398">
            <v>2820</v>
          </cell>
        </row>
        <row r="399">
          <cell r="A399">
            <v>419031</v>
          </cell>
          <cell r="B399" t="str">
            <v>Sales Engineers</v>
          </cell>
          <cell r="C399">
            <v>691</v>
          </cell>
          <cell r="D399">
            <v>838</v>
          </cell>
          <cell r="E399">
            <v>147</v>
          </cell>
          <cell r="F399">
            <v>0.21273516642547041</v>
          </cell>
          <cell r="G399">
            <v>147</v>
          </cell>
          <cell r="H399">
            <v>260</v>
          </cell>
          <cell r="I399">
            <v>407</v>
          </cell>
        </row>
        <row r="400">
          <cell r="A400">
            <v>419041</v>
          </cell>
          <cell r="B400" t="str">
            <v>Telemarketers</v>
          </cell>
          <cell r="C400">
            <v>2451</v>
          </cell>
          <cell r="D400">
            <v>3196</v>
          </cell>
          <cell r="E400">
            <v>745</v>
          </cell>
          <cell r="F400">
            <v>0.30395756833945331</v>
          </cell>
          <cell r="G400">
            <v>745</v>
          </cell>
          <cell r="H400">
            <v>603</v>
          </cell>
          <cell r="I400">
            <v>1348</v>
          </cell>
        </row>
        <row r="401">
          <cell r="A401">
            <v>419091</v>
          </cell>
          <cell r="B401" t="str">
            <v>Door-To-Door Sales Workers, News and Street Vendors, and Related Workers</v>
          </cell>
          <cell r="C401">
            <v>238</v>
          </cell>
          <cell r="D401">
            <v>271</v>
          </cell>
          <cell r="E401">
            <v>33</v>
          </cell>
          <cell r="F401">
            <v>0.1386554621848739</v>
          </cell>
          <cell r="G401">
            <v>33</v>
          </cell>
          <cell r="H401">
            <v>57</v>
          </cell>
          <cell r="I401">
            <v>90</v>
          </cell>
        </row>
        <row r="402">
          <cell r="A402">
            <v>419099</v>
          </cell>
          <cell r="B402" t="str">
            <v>Sales and Related Workers, All Other</v>
          </cell>
          <cell r="C402">
            <v>2804</v>
          </cell>
          <cell r="D402">
            <v>3346</v>
          </cell>
          <cell r="E402">
            <v>542</v>
          </cell>
          <cell r="F402">
            <v>0.19329529243937227</v>
          </cell>
          <cell r="G402">
            <v>542</v>
          </cell>
          <cell r="H402">
            <v>777</v>
          </cell>
          <cell r="I402">
            <v>1319</v>
          </cell>
        </row>
        <row r="403">
          <cell r="A403">
            <v>431011</v>
          </cell>
          <cell r="B403" t="str">
            <v>Supervisors and Managers of Office and Administrative Support Workers</v>
          </cell>
          <cell r="C403">
            <v>14859</v>
          </cell>
          <cell r="D403">
            <v>17584</v>
          </cell>
          <cell r="E403">
            <v>2725</v>
          </cell>
          <cell r="F403">
            <v>0.18339053772124636</v>
          </cell>
          <cell r="G403">
            <v>2725</v>
          </cell>
          <cell r="H403">
            <v>4339</v>
          </cell>
          <cell r="I403">
            <v>7064</v>
          </cell>
        </row>
        <row r="404">
          <cell r="A404">
            <v>432011</v>
          </cell>
          <cell r="B404" t="str">
            <v>Switchboard Operators, Including Answering Service</v>
          </cell>
          <cell r="C404">
            <v>1683</v>
          </cell>
          <cell r="D404">
            <v>2011</v>
          </cell>
          <cell r="E404">
            <v>328</v>
          </cell>
          <cell r="F404">
            <v>0.19489007724301843</v>
          </cell>
          <cell r="G404">
            <v>328</v>
          </cell>
          <cell r="H404">
            <v>358</v>
          </cell>
          <cell r="I404">
            <v>686</v>
          </cell>
        </row>
        <row r="405">
          <cell r="A405">
            <v>433011</v>
          </cell>
          <cell r="B405" t="str">
            <v>Bill and Account Collectors</v>
          </cell>
          <cell r="C405">
            <v>3897</v>
          </cell>
          <cell r="D405">
            <v>4720</v>
          </cell>
          <cell r="E405">
            <v>823</v>
          </cell>
          <cell r="F405">
            <v>0.21118809340518352</v>
          </cell>
          <cell r="G405">
            <v>823</v>
          </cell>
          <cell r="H405">
            <v>839</v>
          </cell>
          <cell r="I405">
            <v>1662</v>
          </cell>
        </row>
        <row r="406">
          <cell r="A406">
            <v>433021</v>
          </cell>
          <cell r="B406" t="str">
            <v>Billing and Posting Clerks</v>
          </cell>
          <cell r="C406">
            <v>5823</v>
          </cell>
          <cell r="D406">
            <v>7182</v>
          </cell>
          <cell r="E406">
            <v>1359</v>
          </cell>
          <cell r="F406">
            <v>0.23338485316846991</v>
          </cell>
          <cell r="G406">
            <v>1359</v>
          </cell>
          <cell r="H406">
            <v>1134</v>
          </cell>
          <cell r="I406">
            <v>2493</v>
          </cell>
        </row>
        <row r="407">
          <cell r="A407">
            <v>433031</v>
          </cell>
          <cell r="B407" t="str">
            <v>Bookkeeping, Accounting, and Auditing Clerks</v>
          </cell>
          <cell r="C407">
            <v>25606</v>
          </cell>
          <cell r="D407">
            <v>30443</v>
          </cell>
          <cell r="E407">
            <v>4837</v>
          </cell>
          <cell r="F407">
            <v>0.18890103881902687</v>
          </cell>
          <cell r="G407">
            <v>4837</v>
          </cell>
          <cell r="H407">
            <v>3082</v>
          </cell>
          <cell r="I407">
            <v>7919</v>
          </cell>
        </row>
        <row r="408">
          <cell r="A408">
            <v>433041</v>
          </cell>
          <cell r="B408" t="str">
            <v>Gaming Cage Workers</v>
          </cell>
          <cell r="C408">
            <v>231</v>
          </cell>
          <cell r="D408">
            <v>249</v>
          </cell>
          <cell r="E408">
            <v>18</v>
          </cell>
          <cell r="F408">
            <v>7.7922077922077948E-2</v>
          </cell>
          <cell r="G408">
            <v>18</v>
          </cell>
          <cell r="H408">
            <v>47</v>
          </cell>
          <cell r="I408">
            <v>65</v>
          </cell>
        </row>
        <row r="409">
          <cell r="A409">
            <v>433051</v>
          </cell>
          <cell r="B409" t="str">
            <v>Payroll and Timekeeping Clerks</v>
          </cell>
          <cell r="C409">
            <v>2375</v>
          </cell>
          <cell r="D409">
            <v>2846</v>
          </cell>
          <cell r="E409">
            <v>471</v>
          </cell>
          <cell r="F409">
            <v>0.19831578947368422</v>
          </cell>
          <cell r="G409">
            <v>471</v>
          </cell>
          <cell r="H409">
            <v>536</v>
          </cell>
          <cell r="I409">
            <v>1007</v>
          </cell>
        </row>
        <row r="410">
          <cell r="A410">
            <v>433061</v>
          </cell>
          <cell r="B410" t="str">
            <v>Purchasing and Procurement Clerks</v>
          </cell>
          <cell r="C410">
            <v>687</v>
          </cell>
          <cell r="D410">
            <v>760</v>
          </cell>
          <cell r="E410">
            <v>73</v>
          </cell>
          <cell r="F410">
            <v>0.10625909752547313</v>
          </cell>
          <cell r="G410">
            <v>73</v>
          </cell>
          <cell r="H410">
            <v>293</v>
          </cell>
          <cell r="I410">
            <v>366</v>
          </cell>
        </row>
        <row r="411">
          <cell r="A411">
            <v>433071</v>
          </cell>
          <cell r="B411" t="str">
            <v>Tellers</v>
          </cell>
          <cell r="C411">
            <v>6690</v>
          </cell>
          <cell r="D411">
            <v>8004</v>
          </cell>
          <cell r="E411">
            <v>1314</v>
          </cell>
          <cell r="F411">
            <v>0.19641255605381169</v>
          </cell>
          <cell r="G411">
            <v>1314</v>
          </cell>
          <cell r="H411">
            <v>3021</v>
          </cell>
          <cell r="I411">
            <v>4335</v>
          </cell>
        </row>
        <row r="412">
          <cell r="A412">
            <v>434011</v>
          </cell>
          <cell r="B412" t="str">
            <v>Brokerage Clerks</v>
          </cell>
          <cell r="C412">
            <v>548</v>
          </cell>
          <cell r="D412">
            <v>637</v>
          </cell>
          <cell r="E412">
            <v>89</v>
          </cell>
          <cell r="F412">
            <v>0.1624087591240877</v>
          </cell>
          <cell r="G412">
            <v>89</v>
          </cell>
          <cell r="H412">
            <v>166</v>
          </cell>
          <cell r="I412">
            <v>255</v>
          </cell>
        </row>
        <row r="413">
          <cell r="A413">
            <v>434021</v>
          </cell>
          <cell r="B413" t="str">
            <v>Correspondence Clerks</v>
          </cell>
          <cell r="C413">
            <v>617</v>
          </cell>
          <cell r="D413">
            <v>755</v>
          </cell>
          <cell r="E413">
            <v>138</v>
          </cell>
          <cell r="F413">
            <v>0.22366288492706654</v>
          </cell>
          <cell r="G413">
            <v>138</v>
          </cell>
          <cell r="H413">
            <v>192</v>
          </cell>
          <cell r="I413">
            <v>330</v>
          </cell>
        </row>
        <row r="414">
          <cell r="A414">
            <v>434031</v>
          </cell>
          <cell r="B414" t="str">
            <v>Court, Municipal, and License Clerks</v>
          </cell>
          <cell r="C414">
            <v>2022</v>
          </cell>
          <cell r="D414">
            <v>2176</v>
          </cell>
          <cell r="E414">
            <v>154</v>
          </cell>
          <cell r="F414">
            <v>7.6162215628091001E-2</v>
          </cell>
          <cell r="G414">
            <v>154</v>
          </cell>
          <cell r="H414">
            <v>588</v>
          </cell>
          <cell r="I414">
            <v>742</v>
          </cell>
        </row>
        <row r="415">
          <cell r="A415">
            <v>434041</v>
          </cell>
          <cell r="B415" t="str">
            <v>Credit Authorizers, Checkers, and Clerks</v>
          </cell>
          <cell r="C415">
            <v>353</v>
          </cell>
          <cell r="D415">
            <v>420</v>
          </cell>
          <cell r="E415">
            <v>67</v>
          </cell>
          <cell r="F415">
            <v>0.18980169971671379</v>
          </cell>
          <cell r="G415">
            <v>67</v>
          </cell>
          <cell r="H415">
            <v>108</v>
          </cell>
          <cell r="I415">
            <v>175</v>
          </cell>
        </row>
        <row r="416">
          <cell r="A416">
            <v>434051</v>
          </cell>
          <cell r="B416" t="str">
            <v>Customer Service Representatives</v>
          </cell>
          <cell r="C416">
            <v>21432</v>
          </cell>
          <cell r="D416">
            <v>26193</v>
          </cell>
          <cell r="E416">
            <v>4761</v>
          </cell>
          <cell r="F416">
            <v>0.22214445688689799</v>
          </cell>
          <cell r="G416">
            <v>4761</v>
          </cell>
          <cell r="H416">
            <v>6763</v>
          </cell>
          <cell r="I416">
            <v>11524</v>
          </cell>
        </row>
        <row r="417">
          <cell r="A417">
            <v>434061</v>
          </cell>
          <cell r="B417" t="str">
            <v>Eligibility Interviewers, Government Programs</v>
          </cell>
          <cell r="C417">
            <v>1570</v>
          </cell>
          <cell r="D417">
            <v>1668</v>
          </cell>
          <cell r="E417">
            <v>98</v>
          </cell>
          <cell r="F417">
            <v>6.2420382165605082E-2</v>
          </cell>
          <cell r="G417">
            <v>98</v>
          </cell>
          <cell r="H417">
            <v>432</v>
          </cell>
          <cell r="I417">
            <v>530</v>
          </cell>
        </row>
        <row r="418">
          <cell r="A418">
            <v>434071</v>
          </cell>
          <cell r="B418" t="str">
            <v>File Clerks</v>
          </cell>
          <cell r="C418">
            <v>2375</v>
          </cell>
          <cell r="D418">
            <v>2901</v>
          </cell>
          <cell r="E418">
            <v>526</v>
          </cell>
          <cell r="F418">
            <v>0.22147368421052627</v>
          </cell>
          <cell r="G418">
            <v>526</v>
          </cell>
          <cell r="H418">
            <v>695</v>
          </cell>
          <cell r="I418">
            <v>1221</v>
          </cell>
        </row>
        <row r="419">
          <cell r="A419">
            <v>434081</v>
          </cell>
          <cell r="B419" t="str">
            <v>Hotel, Motel, and Resort Desk Clerks</v>
          </cell>
          <cell r="C419">
            <v>3503</v>
          </cell>
          <cell r="D419">
            <v>3938</v>
          </cell>
          <cell r="E419">
            <v>435</v>
          </cell>
          <cell r="F419">
            <v>0.12417927490722236</v>
          </cell>
          <cell r="G419">
            <v>435</v>
          </cell>
          <cell r="H419">
            <v>1484</v>
          </cell>
          <cell r="I419">
            <v>1919</v>
          </cell>
        </row>
        <row r="420">
          <cell r="A420">
            <v>434111</v>
          </cell>
          <cell r="B420" t="str">
            <v>Interviewers, Except Eligibility and Loan</v>
          </cell>
          <cell r="C420">
            <v>3227</v>
          </cell>
          <cell r="D420">
            <v>4150</v>
          </cell>
          <cell r="E420">
            <v>923</v>
          </cell>
          <cell r="F420">
            <v>0.28602417105670908</v>
          </cell>
          <cell r="G420">
            <v>923</v>
          </cell>
          <cell r="H420">
            <v>736</v>
          </cell>
          <cell r="I420">
            <v>1659</v>
          </cell>
        </row>
        <row r="421">
          <cell r="A421">
            <v>434121</v>
          </cell>
          <cell r="B421" t="str">
            <v>Library Assistants, Clerical</v>
          </cell>
          <cell r="C421">
            <v>1720</v>
          </cell>
          <cell r="D421">
            <v>1865</v>
          </cell>
          <cell r="E421">
            <v>145</v>
          </cell>
          <cell r="F421">
            <v>8.4302325581395277E-2</v>
          </cell>
          <cell r="G421">
            <v>145</v>
          </cell>
          <cell r="H421">
            <v>806</v>
          </cell>
          <cell r="I421">
            <v>951</v>
          </cell>
        </row>
        <row r="422">
          <cell r="A422">
            <v>434131</v>
          </cell>
          <cell r="B422" t="str">
            <v>Loan Interviewers and Clerks</v>
          </cell>
          <cell r="C422">
            <v>2331</v>
          </cell>
          <cell r="D422">
            <v>2769</v>
          </cell>
          <cell r="E422">
            <v>438</v>
          </cell>
          <cell r="F422">
            <v>0.18790218790218782</v>
          </cell>
          <cell r="G422">
            <v>438</v>
          </cell>
          <cell r="H422">
            <v>473</v>
          </cell>
          <cell r="I422">
            <v>911</v>
          </cell>
        </row>
        <row r="423">
          <cell r="A423">
            <v>434141</v>
          </cell>
          <cell r="B423" t="str">
            <v>New Accounts Clerks</v>
          </cell>
          <cell r="C423">
            <v>1253</v>
          </cell>
          <cell r="D423">
            <v>1500</v>
          </cell>
          <cell r="E423">
            <v>247</v>
          </cell>
          <cell r="F423">
            <v>0.19712689545091777</v>
          </cell>
          <cell r="G423">
            <v>247</v>
          </cell>
          <cell r="H423">
            <v>386</v>
          </cell>
          <cell r="I423">
            <v>633</v>
          </cell>
        </row>
        <row r="424">
          <cell r="A424">
            <v>434151</v>
          </cell>
          <cell r="B424" t="str">
            <v>Order Clerks</v>
          </cell>
          <cell r="C424">
            <v>3077</v>
          </cell>
          <cell r="D424">
            <v>3599</v>
          </cell>
          <cell r="E424">
            <v>522</v>
          </cell>
          <cell r="F424">
            <v>0.16964575885602851</v>
          </cell>
          <cell r="G424">
            <v>522</v>
          </cell>
          <cell r="H424">
            <v>935</v>
          </cell>
          <cell r="I424">
            <v>1457</v>
          </cell>
        </row>
        <row r="425">
          <cell r="A425">
            <v>434161</v>
          </cell>
          <cell r="B425" t="str">
            <v>Human Resources Assistants, Except Payroll and Timekeeping</v>
          </cell>
          <cell r="C425">
            <v>1487</v>
          </cell>
          <cell r="D425">
            <v>1744</v>
          </cell>
          <cell r="E425">
            <v>257</v>
          </cell>
          <cell r="F425">
            <v>0.17283120376597183</v>
          </cell>
          <cell r="G425">
            <v>257</v>
          </cell>
          <cell r="H425">
            <v>453</v>
          </cell>
          <cell r="I425">
            <v>710</v>
          </cell>
        </row>
        <row r="426">
          <cell r="A426">
            <v>434171</v>
          </cell>
          <cell r="B426" t="str">
            <v>Receptionists and Information Clerks</v>
          </cell>
          <cell r="C426">
            <v>12312</v>
          </cell>
          <cell r="D426">
            <v>15262</v>
          </cell>
          <cell r="E426">
            <v>2950</v>
          </cell>
          <cell r="F426">
            <v>0.23960363872644574</v>
          </cell>
          <cell r="G426">
            <v>2950</v>
          </cell>
          <cell r="H426">
            <v>4169</v>
          </cell>
          <cell r="I426">
            <v>7119</v>
          </cell>
        </row>
        <row r="427">
          <cell r="A427">
            <v>434181</v>
          </cell>
          <cell r="B427" t="str">
            <v>Reservation and Transportation Ticket Agents and Travel Clerks</v>
          </cell>
          <cell r="C427">
            <v>1083</v>
          </cell>
          <cell r="D427">
            <v>1202</v>
          </cell>
          <cell r="E427">
            <v>119</v>
          </cell>
          <cell r="F427">
            <v>0.10987996306555869</v>
          </cell>
          <cell r="G427">
            <v>119</v>
          </cell>
          <cell r="H427">
            <v>217</v>
          </cell>
          <cell r="I427">
            <v>336</v>
          </cell>
        </row>
        <row r="428">
          <cell r="A428">
            <v>434199</v>
          </cell>
          <cell r="B428" t="str">
            <v>Information and Record Clerks, All Other</v>
          </cell>
          <cell r="C428">
            <v>5447</v>
          </cell>
          <cell r="D428">
            <v>6000</v>
          </cell>
          <cell r="E428">
            <v>553</v>
          </cell>
          <cell r="F428">
            <v>0.10152377455480077</v>
          </cell>
          <cell r="G428">
            <v>553</v>
          </cell>
          <cell r="H428">
            <v>1604</v>
          </cell>
          <cell r="I428">
            <v>2157</v>
          </cell>
        </row>
        <row r="429">
          <cell r="A429">
            <v>435011</v>
          </cell>
          <cell r="B429" t="str">
            <v>Cargo and Freight Agents</v>
          </cell>
          <cell r="C429">
            <v>884</v>
          </cell>
          <cell r="D429">
            <v>1086</v>
          </cell>
          <cell r="E429">
            <v>202</v>
          </cell>
          <cell r="F429">
            <v>0.22850678733031682</v>
          </cell>
          <cell r="G429">
            <v>202</v>
          </cell>
          <cell r="H429">
            <v>241</v>
          </cell>
          <cell r="I429">
            <v>443</v>
          </cell>
        </row>
        <row r="430">
          <cell r="A430">
            <v>435021</v>
          </cell>
          <cell r="B430" t="str">
            <v>Couriers and Messengers</v>
          </cell>
          <cell r="C430">
            <v>1318</v>
          </cell>
          <cell r="D430">
            <v>1628</v>
          </cell>
          <cell r="E430">
            <v>310</v>
          </cell>
          <cell r="F430">
            <v>0.23520485584218509</v>
          </cell>
          <cell r="G430">
            <v>310</v>
          </cell>
          <cell r="H430">
            <v>360</v>
          </cell>
          <cell r="I430">
            <v>670</v>
          </cell>
        </row>
        <row r="431">
          <cell r="A431">
            <v>435031</v>
          </cell>
          <cell r="B431" t="str">
            <v>Police, Fire, and Ambulance Dispatchers</v>
          </cell>
          <cell r="C431">
            <v>972</v>
          </cell>
          <cell r="D431">
            <v>1059</v>
          </cell>
          <cell r="E431">
            <v>87</v>
          </cell>
          <cell r="F431">
            <v>8.9506172839506126E-2</v>
          </cell>
          <cell r="G431">
            <v>87</v>
          </cell>
          <cell r="H431">
            <v>192</v>
          </cell>
          <cell r="I431">
            <v>279</v>
          </cell>
        </row>
        <row r="432">
          <cell r="A432">
            <v>435032</v>
          </cell>
          <cell r="B432" t="str">
            <v>Dispatchers, Except Police, Fire, and Ambulance</v>
          </cell>
          <cell r="C432">
            <v>2511</v>
          </cell>
          <cell r="D432">
            <v>2923</v>
          </cell>
          <cell r="E432">
            <v>412</v>
          </cell>
          <cell r="F432">
            <v>0.1640780565511748</v>
          </cell>
          <cell r="G432">
            <v>412</v>
          </cell>
          <cell r="H432">
            <v>514</v>
          </cell>
          <cell r="I432">
            <v>926</v>
          </cell>
        </row>
        <row r="433">
          <cell r="A433">
            <v>435041</v>
          </cell>
          <cell r="B433" t="str">
            <v>Meter Readers, Utilities</v>
          </cell>
          <cell r="C433">
            <v>503</v>
          </cell>
          <cell r="D433">
            <v>553</v>
          </cell>
          <cell r="E433">
            <v>50</v>
          </cell>
          <cell r="F433">
            <v>9.9403578528826975E-2</v>
          </cell>
          <cell r="G433">
            <v>50</v>
          </cell>
          <cell r="H433">
            <v>159</v>
          </cell>
          <cell r="I433">
            <v>209</v>
          </cell>
        </row>
        <row r="434">
          <cell r="A434">
            <v>435051</v>
          </cell>
          <cell r="B434" t="str">
            <v>Postal Service Clerks</v>
          </cell>
          <cell r="C434">
            <v>820</v>
          </cell>
          <cell r="D434">
            <v>656</v>
          </cell>
          <cell r="E434">
            <v>-164</v>
          </cell>
          <cell r="F434">
            <v>-0.19999999999999996</v>
          </cell>
          <cell r="G434">
            <v>0</v>
          </cell>
          <cell r="H434">
            <v>174</v>
          </cell>
          <cell r="I434">
            <v>174</v>
          </cell>
        </row>
        <row r="435">
          <cell r="A435">
            <v>435052</v>
          </cell>
          <cell r="B435" t="str">
            <v>Postal Service Mail Carriers</v>
          </cell>
          <cell r="C435">
            <v>3341</v>
          </cell>
          <cell r="D435">
            <v>2673</v>
          </cell>
          <cell r="E435">
            <v>-668</v>
          </cell>
          <cell r="F435">
            <v>-0.1999401376833283</v>
          </cell>
          <cell r="G435">
            <v>0</v>
          </cell>
          <cell r="H435">
            <v>982</v>
          </cell>
          <cell r="I435">
            <v>982</v>
          </cell>
        </row>
        <row r="436">
          <cell r="A436">
            <v>435053</v>
          </cell>
          <cell r="B436" t="str">
            <v>Postal Service Mail Sorters, Processors, and Processing Machine Operators</v>
          </cell>
          <cell r="C436">
            <v>1651</v>
          </cell>
          <cell r="D436">
            <v>1346</v>
          </cell>
          <cell r="E436">
            <v>-305</v>
          </cell>
          <cell r="F436">
            <v>-0.18473652331920043</v>
          </cell>
          <cell r="G436">
            <v>0</v>
          </cell>
          <cell r="H436">
            <v>79</v>
          </cell>
          <cell r="I436">
            <v>79</v>
          </cell>
        </row>
        <row r="437">
          <cell r="A437">
            <v>435061</v>
          </cell>
          <cell r="B437" t="str">
            <v>Production, Planning, and Expediting Clerks</v>
          </cell>
          <cell r="C437">
            <v>3292</v>
          </cell>
          <cell r="D437">
            <v>3883</v>
          </cell>
          <cell r="E437">
            <v>591</v>
          </cell>
          <cell r="F437">
            <v>0.17952612393681644</v>
          </cell>
          <cell r="G437">
            <v>591</v>
          </cell>
          <cell r="H437">
            <v>940</v>
          </cell>
          <cell r="I437">
            <v>1531</v>
          </cell>
        </row>
        <row r="438">
          <cell r="A438">
            <v>435071</v>
          </cell>
          <cell r="B438" t="str">
            <v>Shipping, Receiving, and Traffic Clerks</v>
          </cell>
          <cell r="C438">
            <v>8015</v>
          </cell>
          <cell r="D438">
            <v>9354</v>
          </cell>
          <cell r="E438">
            <v>1339</v>
          </cell>
          <cell r="F438">
            <v>0.16706175920149713</v>
          </cell>
          <cell r="G438">
            <v>1339</v>
          </cell>
          <cell r="H438">
            <v>2215</v>
          </cell>
          <cell r="I438">
            <v>3554</v>
          </cell>
        </row>
        <row r="439">
          <cell r="A439">
            <v>435081</v>
          </cell>
          <cell r="B439" t="str">
            <v>Stock Clerks and Order Fillers</v>
          </cell>
          <cell r="C439">
            <v>13842</v>
          </cell>
          <cell r="D439">
            <v>16227</v>
          </cell>
          <cell r="E439">
            <v>2385</v>
          </cell>
          <cell r="F439">
            <v>0.17230169050715216</v>
          </cell>
          <cell r="G439">
            <v>2385</v>
          </cell>
          <cell r="H439">
            <v>3736</v>
          </cell>
          <cell r="I439">
            <v>6121</v>
          </cell>
        </row>
        <row r="440">
          <cell r="A440">
            <v>435111</v>
          </cell>
          <cell r="B440" t="str">
            <v>Weighers, Measurers, Checkers, and Samplers, Recordkeeping</v>
          </cell>
          <cell r="C440">
            <v>1124</v>
          </cell>
          <cell r="D440">
            <v>1404</v>
          </cell>
          <cell r="E440">
            <v>280</v>
          </cell>
          <cell r="F440">
            <v>0.2491103202846976</v>
          </cell>
          <cell r="G440">
            <v>280</v>
          </cell>
          <cell r="H440">
            <v>496</v>
          </cell>
          <cell r="I440">
            <v>776</v>
          </cell>
        </row>
        <row r="441">
          <cell r="A441">
            <v>436011</v>
          </cell>
          <cell r="B441" t="str">
            <v>Executive Secretaries and Administrative Assistants</v>
          </cell>
          <cell r="C441">
            <v>11302</v>
          </cell>
          <cell r="D441">
            <v>13438</v>
          </cell>
          <cell r="E441">
            <v>2136</v>
          </cell>
          <cell r="F441">
            <v>0.18899309856662527</v>
          </cell>
          <cell r="G441">
            <v>2136</v>
          </cell>
          <cell r="H441">
            <v>1659</v>
          </cell>
          <cell r="I441">
            <v>3795</v>
          </cell>
        </row>
        <row r="442">
          <cell r="A442">
            <v>436012</v>
          </cell>
          <cell r="B442" t="str">
            <v>Legal Secretaries</v>
          </cell>
          <cell r="C442">
            <v>3313</v>
          </cell>
          <cell r="D442">
            <v>3883</v>
          </cell>
          <cell r="E442">
            <v>570</v>
          </cell>
          <cell r="F442">
            <v>0.17204950196196811</v>
          </cell>
          <cell r="G442">
            <v>570</v>
          </cell>
          <cell r="H442">
            <v>482</v>
          </cell>
          <cell r="I442">
            <v>1052</v>
          </cell>
        </row>
        <row r="443">
          <cell r="A443">
            <v>436013</v>
          </cell>
          <cell r="B443" t="str">
            <v>Medical Secretaries</v>
          </cell>
          <cell r="C443">
            <v>10638</v>
          </cell>
          <cell r="D443">
            <v>13777</v>
          </cell>
          <cell r="E443">
            <v>3139</v>
          </cell>
          <cell r="F443">
            <v>0.29507426207933829</v>
          </cell>
          <cell r="G443">
            <v>3139</v>
          </cell>
          <cell r="H443">
            <v>1637</v>
          </cell>
          <cell r="I443">
            <v>4776</v>
          </cell>
        </row>
        <row r="444">
          <cell r="A444">
            <v>436014</v>
          </cell>
          <cell r="B444" t="str">
            <v>Secretaries, Except Legal, Medical, and Executive</v>
          </cell>
          <cell r="C444">
            <v>20631</v>
          </cell>
          <cell r="D444">
            <v>24155</v>
          </cell>
          <cell r="E444">
            <v>3524</v>
          </cell>
          <cell r="F444">
            <v>0.170810915612428</v>
          </cell>
          <cell r="G444">
            <v>3524</v>
          </cell>
          <cell r="H444">
            <v>3002</v>
          </cell>
          <cell r="I444">
            <v>6526</v>
          </cell>
        </row>
        <row r="445">
          <cell r="A445">
            <v>439011</v>
          </cell>
          <cell r="B445" t="str">
            <v>Computer Operators</v>
          </cell>
          <cell r="C445">
            <v>754</v>
          </cell>
          <cell r="D445">
            <v>884</v>
          </cell>
          <cell r="E445">
            <v>130</v>
          </cell>
          <cell r="F445">
            <v>0.17241379310344818</v>
          </cell>
          <cell r="G445">
            <v>130</v>
          </cell>
          <cell r="H445">
            <v>78</v>
          </cell>
          <cell r="I445">
            <v>208</v>
          </cell>
        </row>
        <row r="446">
          <cell r="A446">
            <v>439021</v>
          </cell>
          <cell r="B446" t="str">
            <v>Data Entry Keyers</v>
          </cell>
          <cell r="C446">
            <v>1942</v>
          </cell>
          <cell r="D446">
            <v>2363</v>
          </cell>
          <cell r="E446">
            <v>421</v>
          </cell>
          <cell r="F446">
            <v>0.21678681771369712</v>
          </cell>
          <cell r="G446">
            <v>421</v>
          </cell>
          <cell r="H446">
            <v>377</v>
          </cell>
          <cell r="I446">
            <v>798</v>
          </cell>
        </row>
        <row r="447">
          <cell r="A447">
            <v>439022</v>
          </cell>
          <cell r="B447" t="str">
            <v>Word Processors and Typists</v>
          </cell>
          <cell r="C447">
            <v>452</v>
          </cell>
          <cell r="D447">
            <v>486</v>
          </cell>
          <cell r="E447">
            <v>34</v>
          </cell>
          <cell r="F447">
            <v>7.5221238938053103E-2</v>
          </cell>
          <cell r="G447">
            <v>34</v>
          </cell>
          <cell r="H447">
            <v>27</v>
          </cell>
          <cell r="I447">
            <v>61</v>
          </cell>
        </row>
        <row r="448">
          <cell r="A448">
            <v>439031</v>
          </cell>
          <cell r="B448" t="str">
            <v>Desktop Publishers</v>
          </cell>
          <cell r="C448">
            <v>443</v>
          </cell>
          <cell r="D448">
            <v>466</v>
          </cell>
          <cell r="E448">
            <v>23</v>
          </cell>
          <cell r="F448">
            <v>5.1918735891647749E-2</v>
          </cell>
          <cell r="G448">
            <v>23</v>
          </cell>
          <cell r="H448">
            <v>85</v>
          </cell>
          <cell r="I448">
            <v>108</v>
          </cell>
        </row>
        <row r="449">
          <cell r="A449">
            <v>439041</v>
          </cell>
          <cell r="B449" t="str">
            <v>Insurance Claims and Policy Processing Clerks</v>
          </cell>
          <cell r="C449">
            <v>3270</v>
          </cell>
          <cell r="D449">
            <v>3640</v>
          </cell>
          <cell r="E449">
            <v>370</v>
          </cell>
          <cell r="F449">
            <v>0.11314984709480114</v>
          </cell>
          <cell r="G449">
            <v>370</v>
          </cell>
          <cell r="H449">
            <v>1035</v>
          </cell>
          <cell r="I449">
            <v>1405</v>
          </cell>
        </row>
        <row r="450">
          <cell r="A450">
            <v>439051</v>
          </cell>
          <cell r="B450" t="str">
            <v>Mail Clerks and Mail Machine Operators, Except Postal Service</v>
          </cell>
          <cell r="C450">
            <v>1118</v>
          </cell>
          <cell r="D450">
            <v>1325</v>
          </cell>
          <cell r="E450">
            <v>207</v>
          </cell>
          <cell r="F450">
            <v>0.18515205724508044</v>
          </cell>
          <cell r="G450">
            <v>207</v>
          </cell>
          <cell r="H450">
            <v>236</v>
          </cell>
          <cell r="I450">
            <v>443</v>
          </cell>
        </row>
        <row r="451">
          <cell r="A451">
            <v>439061</v>
          </cell>
          <cell r="B451" t="str">
            <v>Office Clerks, General</v>
          </cell>
          <cell r="C451">
            <v>32482</v>
          </cell>
          <cell r="D451">
            <v>38666</v>
          </cell>
          <cell r="E451">
            <v>6184</v>
          </cell>
          <cell r="F451">
            <v>0.19038236561788069</v>
          </cell>
          <cell r="G451">
            <v>6184</v>
          </cell>
          <cell r="H451">
            <v>6293</v>
          </cell>
          <cell r="I451">
            <v>12477</v>
          </cell>
        </row>
        <row r="452">
          <cell r="A452">
            <v>439071</v>
          </cell>
          <cell r="B452" t="str">
            <v>Office Machine Operators, Except Computer</v>
          </cell>
          <cell r="C452">
            <v>1005</v>
          </cell>
          <cell r="D452">
            <v>1104</v>
          </cell>
          <cell r="E452">
            <v>99</v>
          </cell>
          <cell r="F452">
            <v>9.8507462686567182E-2</v>
          </cell>
          <cell r="G452">
            <v>99</v>
          </cell>
          <cell r="H452">
            <v>296</v>
          </cell>
          <cell r="I452">
            <v>395</v>
          </cell>
        </row>
        <row r="453">
          <cell r="A453">
            <v>439081</v>
          </cell>
          <cell r="B453" t="str">
            <v>Proofreaders and Copy Markers</v>
          </cell>
          <cell r="C453">
            <v>112</v>
          </cell>
          <cell r="D453">
            <v>133</v>
          </cell>
          <cell r="E453">
            <v>21</v>
          </cell>
          <cell r="F453">
            <v>0.1875</v>
          </cell>
          <cell r="G453">
            <v>21</v>
          </cell>
          <cell r="H453">
            <v>23</v>
          </cell>
          <cell r="I453">
            <v>44</v>
          </cell>
        </row>
        <row r="454">
          <cell r="A454">
            <v>439111</v>
          </cell>
          <cell r="B454" t="str">
            <v>Statistical Assistants</v>
          </cell>
          <cell r="C454">
            <v>271</v>
          </cell>
          <cell r="D454">
            <v>308</v>
          </cell>
          <cell r="E454">
            <v>37</v>
          </cell>
          <cell r="F454">
            <v>0.13653136531365306</v>
          </cell>
          <cell r="G454">
            <v>37</v>
          </cell>
          <cell r="H454">
            <v>54</v>
          </cell>
          <cell r="I454">
            <v>91</v>
          </cell>
        </row>
        <row r="455">
          <cell r="A455">
            <v>439199</v>
          </cell>
          <cell r="B455" t="str">
            <v>Office and Administrative Support Workers, All Other</v>
          </cell>
          <cell r="C455">
            <v>10134</v>
          </cell>
          <cell r="D455">
            <v>11949</v>
          </cell>
          <cell r="E455">
            <v>1815</v>
          </cell>
          <cell r="F455">
            <v>0.17910005920663119</v>
          </cell>
          <cell r="G455">
            <v>1815</v>
          </cell>
          <cell r="H455">
            <v>2334</v>
          </cell>
          <cell r="I455">
            <v>4149</v>
          </cell>
        </row>
        <row r="456">
          <cell r="A456">
            <v>451011</v>
          </cell>
          <cell r="B456" t="str">
            <v>Supervisors and Managers of Farming, Fishing, and Forestry Workers</v>
          </cell>
          <cell r="C456">
            <v>1796</v>
          </cell>
          <cell r="D456">
            <v>2077</v>
          </cell>
          <cell r="E456">
            <v>281</v>
          </cell>
          <cell r="F456">
            <v>0.15645879732739432</v>
          </cell>
          <cell r="G456">
            <v>281</v>
          </cell>
          <cell r="H456">
            <v>560</v>
          </cell>
          <cell r="I456">
            <v>841</v>
          </cell>
        </row>
        <row r="457">
          <cell r="A457">
            <v>451012</v>
          </cell>
          <cell r="B457" t="str">
            <v>Farm Labor Contractors</v>
          </cell>
          <cell r="C457">
            <v>139</v>
          </cell>
          <cell r="D457">
            <v>169</v>
          </cell>
          <cell r="E457">
            <v>30</v>
          </cell>
          <cell r="F457">
            <v>0.21582733812949639</v>
          </cell>
          <cell r="G457">
            <v>30</v>
          </cell>
          <cell r="H457">
            <v>45</v>
          </cell>
          <cell r="I457">
            <v>75</v>
          </cell>
        </row>
        <row r="458">
          <cell r="A458">
            <v>452011</v>
          </cell>
          <cell r="B458" t="str">
            <v>Agricultural Inspectors</v>
          </cell>
          <cell r="C458">
            <v>179</v>
          </cell>
          <cell r="D458">
            <v>193</v>
          </cell>
          <cell r="E458">
            <v>14</v>
          </cell>
          <cell r="F458">
            <v>7.8212290502793325E-2</v>
          </cell>
          <cell r="G458">
            <v>14</v>
          </cell>
          <cell r="H458">
            <v>55</v>
          </cell>
          <cell r="I458">
            <v>69</v>
          </cell>
        </row>
        <row r="459">
          <cell r="A459">
            <v>452021</v>
          </cell>
          <cell r="B459" t="str">
            <v>Animal Breeders</v>
          </cell>
          <cell r="C459">
            <v>83</v>
          </cell>
          <cell r="D459">
            <v>104</v>
          </cell>
          <cell r="E459">
            <v>21</v>
          </cell>
          <cell r="F459">
            <v>0.25301204819277112</v>
          </cell>
          <cell r="G459">
            <v>21</v>
          </cell>
          <cell r="H459">
            <v>29</v>
          </cell>
          <cell r="I459">
            <v>50</v>
          </cell>
        </row>
        <row r="460">
          <cell r="A460">
            <v>452041</v>
          </cell>
          <cell r="B460" t="str">
            <v>Graders and Sorters, Agricultural Products</v>
          </cell>
          <cell r="C460">
            <v>2660</v>
          </cell>
          <cell r="D460">
            <v>3052</v>
          </cell>
          <cell r="E460">
            <v>392</v>
          </cell>
          <cell r="F460">
            <v>0.14736842105263159</v>
          </cell>
          <cell r="G460">
            <v>392</v>
          </cell>
          <cell r="H460">
            <v>689</v>
          </cell>
          <cell r="I460">
            <v>1081</v>
          </cell>
        </row>
        <row r="461">
          <cell r="A461">
            <v>452091</v>
          </cell>
          <cell r="B461" t="str">
            <v>Agricultural Equipment Operators</v>
          </cell>
          <cell r="C461">
            <v>2244</v>
          </cell>
          <cell r="D461">
            <v>2532</v>
          </cell>
          <cell r="E461">
            <v>288</v>
          </cell>
          <cell r="F461">
            <v>0.12834224598930488</v>
          </cell>
          <cell r="G461">
            <v>288</v>
          </cell>
          <cell r="H461">
            <v>728</v>
          </cell>
          <cell r="I461">
            <v>1016</v>
          </cell>
        </row>
        <row r="462">
          <cell r="A462">
            <v>452092</v>
          </cell>
          <cell r="B462" t="str">
            <v>Farmworkers and Laborers for Crops, Nurseries, and Greenhouses</v>
          </cell>
          <cell r="C462">
            <v>19631</v>
          </cell>
          <cell r="D462">
            <v>22562</v>
          </cell>
          <cell r="E462">
            <v>2931</v>
          </cell>
          <cell r="F462">
            <v>0.14930467118333257</v>
          </cell>
          <cell r="G462">
            <v>2931</v>
          </cell>
          <cell r="H462">
            <v>6428</v>
          </cell>
          <cell r="I462">
            <v>9359</v>
          </cell>
        </row>
        <row r="463">
          <cell r="A463">
            <v>452093</v>
          </cell>
          <cell r="B463" t="str">
            <v>Farmworkers, Farm and Ranch Animals</v>
          </cell>
          <cell r="C463">
            <v>3248</v>
          </cell>
          <cell r="D463">
            <v>3984</v>
          </cell>
          <cell r="E463">
            <v>736</v>
          </cell>
          <cell r="F463">
            <v>0.22660098522167482</v>
          </cell>
          <cell r="G463">
            <v>736</v>
          </cell>
          <cell r="H463">
            <v>1102</v>
          </cell>
          <cell r="I463">
            <v>1838</v>
          </cell>
        </row>
        <row r="464">
          <cell r="A464">
            <v>452099</v>
          </cell>
          <cell r="B464" t="str">
            <v>Agricultural Workers, All Other</v>
          </cell>
          <cell r="C464">
            <v>2131</v>
          </cell>
          <cell r="D464">
            <v>2474</v>
          </cell>
          <cell r="E464">
            <v>343</v>
          </cell>
          <cell r="F464">
            <v>0.16095729704364148</v>
          </cell>
          <cell r="G464">
            <v>343</v>
          </cell>
          <cell r="H464">
            <v>702</v>
          </cell>
          <cell r="I464">
            <v>1045</v>
          </cell>
        </row>
        <row r="465">
          <cell r="A465">
            <v>453011</v>
          </cell>
          <cell r="B465" t="str">
            <v>Fishers and Related Fishing Workers</v>
          </cell>
          <cell r="C465">
            <v>765</v>
          </cell>
          <cell r="D465">
            <v>810</v>
          </cell>
          <cell r="E465">
            <v>45</v>
          </cell>
          <cell r="F465">
            <v>5.8823529411764719E-2</v>
          </cell>
          <cell r="G465">
            <v>45</v>
          </cell>
          <cell r="H465">
            <v>228</v>
          </cell>
          <cell r="I465">
            <v>273</v>
          </cell>
        </row>
        <row r="466">
          <cell r="A466">
            <v>453021</v>
          </cell>
          <cell r="B466" t="str">
            <v>Hunters and Trappers</v>
          </cell>
          <cell r="C466">
            <v>25</v>
          </cell>
          <cell r="D466">
            <v>29</v>
          </cell>
          <cell r="E466">
            <v>4</v>
          </cell>
          <cell r="F466">
            <v>0.15999999999999992</v>
          </cell>
          <cell r="G466">
            <v>4</v>
          </cell>
          <cell r="H466">
            <v>8</v>
          </cell>
          <cell r="I466">
            <v>12</v>
          </cell>
        </row>
        <row r="467">
          <cell r="A467">
            <v>454011</v>
          </cell>
          <cell r="B467" t="str">
            <v>Forest and Conservation Workers</v>
          </cell>
          <cell r="C467">
            <v>2195</v>
          </cell>
          <cell r="D467">
            <v>2719</v>
          </cell>
          <cell r="E467">
            <v>524</v>
          </cell>
          <cell r="F467">
            <v>0.23872437357630982</v>
          </cell>
          <cell r="G467">
            <v>524</v>
          </cell>
          <cell r="H467">
            <v>603</v>
          </cell>
          <cell r="I467">
            <v>1127</v>
          </cell>
        </row>
        <row r="468">
          <cell r="A468">
            <v>454021</v>
          </cell>
          <cell r="B468" t="str">
            <v>Fallers and Buckers</v>
          </cell>
          <cell r="C468">
            <v>692</v>
          </cell>
          <cell r="D468">
            <v>810</v>
          </cell>
          <cell r="E468">
            <v>118</v>
          </cell>
          <cell r="F468">
            <v>0.17052023121387294</v>
          </cell>
          <cell r="G468">
            <v>118</v>
          </cell>
          <cell r="H468">
            <v>181</v>
          </cell>
          <cell r="I468">
            <v>299</v>
          </cell>
        </row>
        <row r="469">
          <cell r="A469">
            <v>454022</v>
          </cell>
          <cell r="B469" t="str">
            <v>Logging Equipment Operators</v>
          </cell>
          <cell r="C469">
            <v>1936</v>
          </cell>
          <cell r="D469">
            <v>2251</v>
          </cell>
          <cell r="E469">
            <v>315</v>
          </cell>
          <cell r="F469">
            <v>0.16270661157024802</v>
          </cell>
          <cell r="G469">
            <v>315</v>
          </cell>
          <cell r="H469">
            <v>504</v>
          </cell>
          <cell r="I469">
            <v>819</v>
          </cell>
        </row>
        <row r="470">
          <cell r="A470">
            <v>454023</v>
          </cell>
          <cell r="B470" t="str">
            <v>Log Graders and Scalers</v>
          </cell>
          <cell r="C470">
            <v>203</v>
          </cell>
          <cell r="D470">
            <v>273</v>
          </cell>
          <cell r="E470">
            <v>70</v>
          </cell>
          <cell r="F470">
            <v>0.34482758620689657</v>
          </cell>
          <cell r="G470">
            <v>70</v>
          </cell>
          <cell r="H470">
            <v>57</v>
          </cell>
          <cell r="I470">
            <v>127</v>
          </cell>
        </row>
        <row r="471">
          <cell r="A471">
            <v>454029</v>
          </cell>
          <cell r="B471" t="str">
            <v>Logging Workers, All Other</v>
          </cell>
          <cell r="C471">
            <v>975</v>
          </cell>
          <cell r="D471">
            <v>1138</v>
          </cell>
          <cell r="E471">
            <v>163</v>
          </cell>
          <cell r="F471">
            <v>0.16717948717948716</v>
          </cell>
          <cell r="G471">
            <v>163</v>
          </cell>
          <cell r="H471">
            <v>254</v>
          </cell>
          <cell r="I471">
            <v>417</v>
          </cell>
        </row>
        <row r="472">
          <cell r="A472">
            <v>471011</v>
          </cell>
          <cell r="B472" t="str">
            <v>Supervisors and Managers of Construction Trades and Extraction Workers</v>
          </cell>
          <cell r="C472">
            <v>4394</v>
          </cell>
          <cell r="D472">
            <v>5416</v>
          </cell>
          <cell r="E472">
            <v>1022</v>
          </cell>
          <cell r="F472">
            <v>0.23258989531178886</v>
          </cell>
          <cell r="G472">
            <v>1022</v>
          </cell>
          <cell r="H472">
            <v>1130</v>
          </cell>
          <cell r="I472">
            <v>2152</v>
          </cell>
        </row>
        <row r="473">
          <cell r="A473">
            <v>472011</v>
          </cell>
          <cell r="B473" t="str">
            <v>Boilermakers</v>
          </cell>
          <cell r="C473">
            <v>177</v>
          </cell>
          <cell r="D473">
            <v>221</v>
          </cell>
          <cell r="E473">
            <v>44</v>
          </cell>
          <cell r="F473">
            <v>0.24858757062146886</v>
          </cell>
          <cell r="G473">
            <v>44</v>
          </cell>
          <cell r="H473">
            <v>76</v>
          </cell>
          <cell r="I473">
            <v>120</v>
          </cell>
        </row>
        <row r="474">
          <cell r="A474">
            <v>472021</v>
          </cell>
          <cell r="B474" t="str">
            <v>Brickmasons and Blockmasons</v>
          </cell>
          <cell r="C474">
            <v>518</v>
          </cell>
          <cell r="D474">
            <v>692</v>
          </cell>
          <cell r="E474">
            <v>174</v>
          </cell>
          <cell r="F474">
            <v>0.3359073359073359</v>
          </cell>
          <cell r="G474">
            <v>174</v>
          </cell>
          <cell r="H474">
            <v>125</v>
          </cell>
          <cell r="I474">
            <v>299</v>
          </cell>
        </row>
        <row r="475">
          <cell r="A475">
            <v>472022</v>
          </cell>
          <cell r="B475" t="str">
            <v>Stonemasons</v>
          </cell>
          <cell r="C475">
            <v>92</v>
          </cell>
          <cell r="D475">
            <v>120</v>
          </cell>
          <cell r="E475">
            <v>28</v>
          </cell>
          <cell r="F475">
            <v>0.30434782608695654</v>
          </cell>
          <cell r="G475">
            <v>28</v>
          </cell>
          <cell r="H475">
            <v>22</v>
          </cell>
          <cell r="I475">
            <v>50</v>
          </cell>
        </row>
        <row r="476">
          <cell r="A476">
            <v>472031</v>
          </cell>
          <cell r="B476" t="str">
            <v>Carpenters</v>
          </cell>
          <cell r="C476">
            <v>9080</v>
          </cell>
          <cell r="D476">
            <v>11287</v>
          </cell>
          <cell r="E476">
            <v>2207</v>
          </cell>
          <cell r="F476">
            <v>0.24306167400881051</v>
          </cell>
          <cell r="G476">
            <v>2207</v>
          </cell>
          <cell r="H476">
            <v>2158</v>
          </cell>
          <cell r="I476">
            <v>4365</v>
          </cell>
        </row>
        <row r="477">
          <cell r="A477">
            <v>472041</v>
          </cell>
          <cell r="B477" t="str">
            <v>Carpet Installers</v>
          </cell>
          <cell r="C477">
            <v>477</v>
          </cell>
          <cell r="D477">
            <v>627</v>
          </cell>
          <cell r="E477">
            <v>150</v>
          </cell>
          <cell r="F477">
            <v>0.31446540880503138</v>
          </cell>
          <cell r="G477">
            <v>150</v>
          </cell>
          <cell r="H477">
            <v>120</v>
          </cell>
          <cell r="I477">
            <v>270</v>
          </cell>
        </row>
        <row r="478">
          <cell r="A478">
            <v>472042</v>
          </cell>
          <cell r="B478" t="str">
            <v>Floor Layers, Except Carpet, Wood, and Hard Tiles</v>
          </cell>
          <cell r="C478">
            <v>194</v>
          </cell>
          <cell r="D478">
            <v>255</v>
          </cell>
          <cell r="E478">
            <v>61</v>
          </cell>
          <cell r="F478">
            <v>0.31443298969072164</v>
          </cell>
          <cell r="G478">
            <v>61</v>
          </cell>
          <cell r="H478">
            <v>49</v>
          </cell>
          <cell r="I478">
            <v>110</v>
          </cell>
        </row>
        <row r="479">
          <cell r="A479">
            <v>472043</v>
          </cell>
          <cell r="B479" t="str">
            <v>Floor Sanders and Finishers</v>
          </cell>
          <cell r="C479">
            <v>121</v>
          </cell>
          <cell r="D479">
            <v>152</v>
          </cell>
          <cell r="E479">
            <v>31</v>
          </cell>
          <cell r="F479">
            <v>0.25619834710743805</v>
          </cell>
          <cell r="G479">
            <v>31</v>
          </cell>
          <cell r="H479">
            <v>30</v>
          </cell>
          <cell r="I479">
            <v>61</v>
          </cell>
        </row>
        <row r="480">
          <cell r="A480">
            <v>472044</v>
          </cell>
          <cell r="B480" t="str">
            <v>Tile and Marble Setters</v>
          </cell>
          <cell r="C480">
            <v>381</v>
          </cell>
          <cell r="D480">
            <v>500</v>
          </cell>
          <cell r="E480">
            <v>119</v>
          </cell>
          <cell r="F480">
            <v>0.31233595800524938</v>
          </cell>
          <cell r="G480">
            <v>119</v>
          </cell>
          <cell r="H480">
            <v>95</v>
          </cell>
          <cell r="I480">
            <v>214</v>
          </cell>
        </row>
        <row r="481">
          <cell r="A481">
            <v>472051</v>
          </cell>
          <cell r="B481" t="str">
            <v>Cement Masons and Concrete Finishers</v>
          </cell>
          <cell r="C481">
            <v>1600</v>
          </cell>
          <cell r="D481">
            <v>2052</v>
          </cell>
          <cell r="E481">
            <v>452</v>
          </cell>
          <cell r="F481">
            <v>0.28249999999999997</v>
          </cell>
          <cell r="G481">
            <v>452</v>
          </cell>
          <cell r="H481">
            <v>288</v>
          </cell>
          <cell r="I481">
            <v>740</v>
          </cell>
        </row>
        <row r="482">
          <cell r="A482">
            <v>472053</v>
          </cell>
          <cell r="B482" t="str">
            <v>Terrazzo Workers and Finishers</v>
          </cell>
          <cell r="C482">
            <v>30</v>
          </cell>
          <cell r="D482">
            <v>39</v>
          </cell>
          <cell r="E482">
            <v>9</v>
          </cell>
          <cell r="F482">
            <v>0.30000000000000004</v>
          </cell>
          <cell r="G482">
            <v>9</v>
          </cell>
          <cell r="H482">
            <v>5</v>
          </cell>
          <cell r="I482">
            <v>14</v>
          </cell>
        </row>
        <row r="483">
          <cell r="A483">
            <v>472061</v>
          </cell>
          <cell r="B483" t="str">
            <v>Construction Laborers</v>
          </cell>
          <cell r="C483">
            <v>7850</v>
          </cell>
          <cell r="D483">
            <v>9760</v>
          </cell>
          <cell r="E483">
            <v>1910</v>
          </cell>
          <cell r="F483">
            <v>0.24331210191082797</v>
          </cell>
          <cell r="G483">
            <v>1910</v>
          </cell>
          <cell r="H483">
            <v>705</v>
          </cell>
          <cell r="I483">
            <v>2615</v>
          </cell>
        </row>
        <row r="484">
          <cell r="A484">
            <v>472071</v>
          </cell>
          <cell r="B484" t="str">
            <v>Paving, Surfacing, and Tamping Equipment Operators</v>
          </cell>
          <cell r="C484">
            <v>575</v>
          </cell>
          <cell r="D484">
            <v>694</v>
          </cell>
          <cell r="E484">
            <v>119</v>
          </cell>
          <cell r="F484">
            <v>0.20695652173913048</v>
          </cell>
          <cell r="G484">
            <v>119</v>
          </cell>
          <cell r="H484">
            <v>131</v>
          </cell>
          <cell r="I484">
            <v>250</v>
          </cell>
        </row>
        <row r="485">
          <cell r="A485">
            <v>472072</v>
          </cell>
          <cell r="B485" t="str">
            <v>Pile-Driver Operators</v>
          </cell>
          <cell r="C485">
            <v>115</v>
          </cell>
          <cell r="D485">
            <v>140</v>
          </cell>
          <cell r="E485">
            <v>25</v>
          </cell>
          <cell r="F485">
            <v>0.21739130434782616</v>
          </cell>
          <cell r="G485">
            <v>25</v>
          </cell>
          <cell r="H485">
            <v>26</v>
          </cell>
          <cell r="I485">
            <v>51</v>
          </cell>
        </row>
        <row r="486">
          <cell r="A486">
            <v>472073</v>
          </cell>
          <cell r="B486" t="str">
            <v>Operating Engineers and Other Construction Equipment Operators</v>
          </cell>
          <cell r="C486">
            <v>3268</v>
          </cell>
          <cell r="D486">
            <v>3985</v>
          </cell>
          <cell r="E486">
            <v>717</v>
          </cell>
          <cell r="F486">
            <v>0.21940024479804165</v>
          </cell>
          <cell r="G486">
            <v>717</v>
          </cell>
          <cell r="H486">
            <v>840</v>
          </cell>
          <cell r="I486">
            <v>1557</v>
          </cell>
        </row>
        <row r="487">
          <cell r="A487">
            <v>472081</v>
          </cell>
          <cell r="B487" t="str">
            <v>Drywall and Ceiling Tile Installers</v>
          </cell>
          <cell r="C487">
            <v>1173</v>
          </cell>
          <cell r="D487">
            <v>1562</v>
          </cell>
          <cell r="E487">
            <v>389</v>
          </cell>
          <cell r="F487">
            <v>0.33162830349531114</v>
          </cell>
          <cell r="G487">
            <v>389</v>
          </cell>
          <cell r="H487">
            <v>376</v>
          </cell>
          <cell r="I487">
            <v>765</v>
          </cell>
        </row>
        <row r="488">
          <cell r="A488">
            <v>472082</v>
          </cell>
          <cell r="B488" t="str">
            <v>Tapers</v>
          </cell>
          <cell r="C488">
            <v>480</v>
          </cell>
          <cell r="D488">
            <v>634</v>
          </cell>
          <cell r="E488">
            <v>154</v>
          </cell>
          <cell r="F488">
            <v>0.3208333333333333</v>
          </cell>
          <cell r="G488">
            <v>154</v>
          </cell>
          <cell r="H488">
            <v>153</v>
          </cell>
          <cell r="I488">
            <v>307</v>
          </cell>
        </row>
        <row r="489">
          <cell r="A489">
            <v>472111</v>
          </cell>
          <cell r="B489" t="str">
            <v>Electricians</v>
          </cell>
          <cell r="C489">
            <v>6740</v>
          </cell>
          <cell r="D489">
            <v>8495</v>
          </cell>
          <cell r="E489">
            <v>1755</v>
          </cell>
          <cell r="F489">
            <v>0.26038575667655794</v>
          </cell>
          <cell r="G489">
            <v>1755</v>
          </cell>
          <cell r="H489">
            <v>2053</v>
          </cell>
          <cell r="I489">
            <v>3808</v>
          </cell>
        </row>
        <row r="490">
          <cell r="A490">
            <v>472121</v>
          </cell>
          <cell r="B490" t="str">
            <v>Glaziers</v>
          </cell>
          <cell r="C490">
            <v>620</v>
          </cell>
          <cell r="D490">
            <v>805</v>
          </cell>
          <cell r="E490">
            <v>185</v>
          </cell>
          <cell r="F490">
            <v>0.29838709677419351</v>
          </cell>
          <cell r="G490">
            <v>185</v>
          </cell>
          <cell r="H490">
            <v>267</v>
          </cell>
          <cell r="I490">
            <v>452</v>
          </cell>
        </row>
        <row r="491">
          <cell r="A491">
            <v>472131</v>
          </cell>
          <cell r="B491" t="str">
            <v>Insulation Workers, Floor, Ceiling, and Wall</v>
          </cell>
          <cell r="C491">
            <v>322</v>
          </cell>
          <cell r="D491">
            <v>429</v>
          </cell>
          <cell r="E491">
            <v>107</v>
          </cell>
          <cell r="F491">
            <v>0.33229813664596275</v>
          </cell>
          <cell r="G491">
            <v>107</v>
          </cell>
          <cell r="H491">
            <v>148</v>
          </cell>
          <cell r="I491">
            <v>255</v>
          </cell>
        </row>
        <row r="492">
          <cell r="A492">
            <v>472132</v>
          </cell>
          <cell r="B492" t="str">
            <v>Insulation Workers, Mechanical</v>
          </cell>
          <cell r="C492">
            <v>58</v>
          </cell>
          <cell r="D492">
            <v>75</v>
          </cell>
          <cell r="E492">
            <v>17</v>
          </cell>
          <cell r="F492">
            <v>0.2931034482758621</v>
          </cell>
          <cell r="G492">
            <v>17</v>
          </cell>
          <cell r="H492">
            <v>26</v>
          </cell>
          <cell r="I492">
            <v>43</v>
          </cell>
        </row>
        <row r="493">
          <cell r="A493">
            <v>472141</v>
          </cell>
          <cell r="B493" t="str">
            <v>Painters, Construction and Maintenance</v>
          </cell>
          <cell r="C493">
            <v>3328</v>
          </cell>
          <cell r="D493">
            <v>4323</v>
          </cell>
          <cell r="E493">
            <v>995</v>
          </cell>
          <cell r="F493">
            <v>0.29897836538461542</v>
          </cell>
          <cell r="G493">
            <v>995</v>
          </cell>
          <cell r="H493">
            <v>834</v>
          </cell>
          <cell r="I493">
            <v>1829</v>
          </cell>
        </row>
        <row r="494">
          <cell r="A494">
            <v>472142</v>
          </cell>
          <cell r="B494" t="str">
            <v>Paperhangers</v>
          </cell>
          <cell r="C494">
            <v>46</v>
          </cell>
          <cell r="D494">
            <v>59</v>
          </cell>
          <cell r="E494">
            <v>13</v>
          </cell>
          <cell r="F494">
            <v>0.28260869565217384</v>
          </cell>
          <cell r="G494">
            <v>13</v>
          </cell>
          <cell r="H494">
            <v>5</v>
          </cell>
          <cell r="I494">
            <v>18</v>
          </cell>
        </row>
        <row r="495">
          <cell r="A495">
            <v>472151</v>
          </cell>
          <cell r="B495" t="str">
            <v>Pipelayers</v>
          </cell>
          <cell r="C495">
            <v>469</v>
          </cell>
          <cell r="D495">
            <v>540</v>
          </cell>
          <cell r="E495">
            <v>71</v>
          </cell>
          <cell r="F495">
            <v>0.15138592750533042</v>
          </cell>
          <cell r="G495">
            <v>71</v>
          </cell>
          <cell r="H495">
            <v>146</v>
          </cell>
          <cell r="I495">
            <v>217</v>
          </cell>
        </row>
        <row r="496">
          <cell r="A496">
            <v>472152</v>
          </cell>
          <cell r="B496" t="str">
            <v>Plumbers, Pipefitters, and Steamfitters</v>
          </cell>
          <cell r="C496">
            <v>3547</v>
          </cell>
          <cell r="D496">
            <v>4468</v>
          </cell>
          <cell r="E496">
            <v>921</v>
          </cell>
          <cell r="F496">
            <v>0.25965604736396952</v>
          </cell>
          <cell r="G496">
            <v>921</v>
          </cell>
          <cell r="H496">
            <v>1157</v>
          </cell>
          <cell r="I496">
            <v>2078</v>
          </cell>
        </row>
        <row r="497">
          <cell r="A497">
            <v>472161</v>
          </cell>
          <cell r="B497" t="str">
            <v>Plasterers and Stucco Masons</v>
          </cell>
          <cell r="C497">
            <v>186</v>
          </cell>
          <cell r="D497">
            <v>249</v>
          </cell>
          <cell r="E497">
            <v>63</v>
          </cell>
          <cell r="F497">
            <v>0.33870967741935476</v>
          </cell>
          <cell r="G497">
            <v>63</v>
          </cell>
          <cell r="H497">
            <v>45</v>
          </cell>
          <cell r="I497">
            <v>108</v>
          </cell>
        </row>
        <row r="498">
          <cell r="A498">
            <v>472171</v>
          </cell>
          <cell r="B498" t="str">
            <v>Reinforcing Iron and Rebar Workers</v>
          </cell>
          <cell r="C498">
            <v>246</v>
          </cell>
          <cell r="D498">
            <v>329</v>
          </cell>
          <cell r="E498">
            <v>83</v>
          </cell>
          <cell r="F498">
            <v>0.33739837398373984</v>
          </cell>
          <cell r="G498">
            <v>83</v>
          </cell>
          <cell r="H498">
            <v>59</v>
          </cell>
          <cell r="I498">
            <v>142</v>
          </cell>
        </row>
        <row r="499">
          <cell r="A499">
            <v>472181</v>
          </cell>
          <cell r="B499" t="str">
            <v>Roofers</v>
          </cell>
          <cell r="C499">
            <v>1887</v>
          </cell>
          <cell r="D499">
            <v>2523</v>
          </cell>
          <cell r="E499">
            <v>636</v>
          </cell>
          <cell r="F499">
            <v>0.33704292527821944</v>
          </cell>
          <cell r="G499">
            <v>636</v>
          </cell>
          <cell r="H499">
            <v>454</v>
          </cell>
          <cell r="I499">
            <v>1090</v>
          </cell>
        </row>
        <row r="500">
          <cell r="A500">
            <v>472211</v>
          </cell>
          <cell r="B500" t="str">
            <v>Sheet Metal Workers</v>
          </cell>
          <cell r="C500">
            <v>2455</v>
          </cell>
          <cell r="D500">
            <v>3127</v>
          </cell>
          <cell r="E500">
            <v>672</v>
          </cell>
          <cell r="F500">
            <v>0.27372708757637465</v>
          </cell>
          <cell r="G500">
            <v>672</v>
          </cell>
          <cell r="H500">
            <v>474</v>
          </cell>
          <cell r="I500">
            <v>1146</v>
          </cell>
        </row>
        <row r="501">
          <cell r="A501">
            <v>472221</v>
          </cell>
          <cell r="B501" t="str">
            <v>Structural Iron and Steel Workers</v>
          </cell>
          <cell r="C501">
            <v>470</v>
          </cell>
          <cell r="D501">
            <v>614</v>
          </cell>
          <cell r="E501">
            <v>144</v>
          </cell>
          <cell r="F501">
            <v>0.30638297872340425</v>
          </cell>
          <cell r="G501">
            <v>144</v>
          </cell>
          <cell r="H501">
            <v>111</v>
          </cell>
          <cell r="I501">
            <v>255</v>
          </cell>
        </row>
        <row r="502">
          <cell r="A502">
            <v>473011</v>
          </cell>
          <cell r="B502" t="str">
            <v>Brickmason's, Blockmason's, Stonemason's, and Tile and Marble Setter's Helpers</v>
          </cell>
          <cell r="C502">
            <v>286</v>
          </cell>
          <cell r="D502">
            <v>381</v>
          </cell>
          <cell r="E502">
            <v>95</v>
          </cell>
          <cell r="F502">
            <v>0.33216783216783208</v>
          </cell>
          <cell r="G502">
            <v>95</v>
          </cell>
          <cell r="H502">
            <v>88</v>
          </cell>
          <cell r="I502">
            <v>183</v>
          </cell>
        </row>
        <row r="503">
          <cell r="A503">
            <v>473012</v>
          </cell>
          <cell r="B503" t="str">
            <v>Carpenter's Helpers</v>
          </cell>
          <cell r="C503">
            <v>258</v>
          </cell>
          <cell r="D503">
            <v>326</v>
          </cell>
          <cell r="E503">
            <v>68</v>
          </cell>
          <cell r="F503">
            <v>0.26356589147286824</v>
          </cell>
          <cell r="G503">
            <v>68</v>
          </cell>
          <cell r="H503">
            <v>77</v>
          </cell>
          <cell r="I503">
            <v>145</v>
          </cell>
        </row>
        <row r="504">
          <cell r="A504">
            <v>473013</v>
          </cell>
          <cell r="B504" t="str">
            <v>Electrician's Helpers</v>
          </cell>
          <cell r="C504">
            <v>180</v>
          </cell>
          <cell r="D504">
            <v>233</v>
          </cell>
          <cell r="E504">
            <v>53</v>
          </cell>
          <cell r="F504">
            <v>0.29444444444444451</v>
          </cell>
          <cell r="G504">
            <v>53</v>
          </cell>
          <cell r="H504">
            <v>55</v>
          </cell>
          <cell r="I504">
            <v>108</v>
          </cell>
        </row>
        <row r="505">
          <cell r="A505">
            <v>473014</v>
          </cell>
          <cell r="B505" t="str">
            <v>Painter's, Paperhanger's, Plasterer's, and Stucco Mason's Helpers</v>
          </cell>
          <cell r="C505">
            <v>170</v>
          </cell>
          <cell r="D505">
            <v>228</v>
          </cell>
          <cell r="E505">
            <v>58</v>
          </cell>
          <cell r="F505">
            <v>0.34117647058823519</v>
          </cell>
          <cell r="G505">
            <v>58</v>
          </cell>
          <cell r="H505">
            <v>53</v>
          </cell>
          <cell r="I505">
            <v>111</v>
          </cell>
        </row>
        <row r="506">
          <cell r="A506">
            <v>473015</v>
          </cell>
          <cell r="B506" t="str">
            <v>Pipelayer's, Plumber's, Pipefitter's, and Steamfitter's Helpers</v>
          </cell>
          <cell r="C506">
            <v>159</v>
          </cell>
          <cell r="D506">
            <v>199</v>
          </cell>
          <cell r="E506">
            <v>40</v>
          </cell>
          <cell r="F506">
            <v>0.2515723270440251</v>
          </cell>
          <cell r="G506">
            <v>40</v>
          </cell>
          <cell r="H506">
            <v>47</v>
          </cell>
          <cell r="I506">
            <v>87</v>
          </cell>
        </row>
        <row r="507">
          <cell r="A507">
            <v>473016</v>
          </cell>
          <cell r="B507" t="str">
            <v>Roofer's Helpers</v>
          </cell>
          <cell r="C507">
            <v>188</v>
          </cell>
          <cell r="D507">
            <v>254</v>
          </cell>
          <cell r="E507">
            <v>66</v>
          </cell>
          <cell r="F507">
            <v>0.35106382978723394</v>
          </cell>
          <cell r="G507">
            <v>66</v>
          </cell>
          <cell r="H507">
            <v>59</v>
          </cell>
          <cell r="I507">
            <v>125</v>
          </cell>
        </row>
        <row r="508">
          <cell r="A508">
            <v>473019</v>
          </cell>
          <cell r="B508" t="str">
            <v>Construction Trades' Helpers, All Other</v>
          </cell>
          <cell r="C508">
            <v>204</v>
          </cell>
          <cell r="D508">
            <v>261</v>
          </cell>
          <cell r="E508">
            <v>57</v>
          </cell>
          <cell r="F508">
            <v>0.27941176470588225</v>
          </cell>
          <cell r="G508">
            <v>57</v>
          </cell>
          <cell r="H508">
            <v>62</v>
          </cell>
          <cell r="I508">
            <v>119</v>
          </cell>
        </row>
        <row r="509">
          <cell r="A509">
            <v>474011</v>
          </cell>
          <cell r="B509" t="str">
            <v>Construction and Building Inspectors</v>
          </cell>
          <cell r="C509">
            <v>1320</v>
          </cell>
          <cell r="D509">
            <v>1503</v>
          </cell>
          <cell r="E509">
            <v>183</v>
          </cell>
          <cell r="F509">
            <v>0.13863636363636367</v>
          </cell>
          <cell r="G509">
            <v>183</v>
          </cell>
          <cell r="H509">
            <v>417</v>
          </cell>
          <cell r="I509">
            <v>600</v>
          </cell>
        </row>
        <row r="510">
          <cell r="A510">
            <v>474021</v>
          </cell>
          <cell r="B510" t="str">
            <v>Elevator Installers and Repairers</v>
          </cell>
          <cell r="C510">
            <v>221</v>
          </cell>
          <cell r="D510">
            <v>287</v>
          </cell>
          <cell r="E510">
            <v>66</v>
          </cell>
          <cell r="F510">
            <v>0.29864253393665163</v>
          </cell>
          <cell r="G510">
            <v>66</v>
          </cell>
          <cell r="H510">
            <v>75</v>
          </cell>
          <cell r="I510">
            <v>141</v>
          </cell>
        </row>
        <row r="511">
          <cell r="A511">
            <v>474031</v>
          </cell>
          <cell r="B511" t="str">
            <v>Fence Erectors</v>
          </cell>
          <cell r="C511">
            <v>389</v>
          </cell>
          <cell r="D511">
            <v>493</v>
          </cell>
          <cell r="E511">
            <v>104</v>
          </cell>
          <cell r="F511">
            <v>0.26735218508997427</v>
          </cell>
          <cell r="G511">
            <v>104</v>
          </cell>
          <cell r="H511">
            <v>121</v>
          </cell>
          <cell r="I511">
            <v>225</v>
          </cell>
        </row>
        <row r="512">
          <cell r="A512">
            <v>474041</v>
          </cell>
          <cell r="B512" t="str">
            <v>Hazardous Materials Removal Workers</v>
          </cell>
          <cell r="C512">
            <v>572</v>
          </cell>
          <cell r="D512">
            <v>700</v>
          </cell>
          <cell r="E512">
            <v>128</v>
          </cell>
          <cell r="F512">
            <v>0.22377622377622375</v>
          </cell>
          <cell r="G512">
            <v>128</v>
          </cell>
          <cell r="H512">
            <v>168</v>
          </cell>
          <cell r="I512">
            <v>296</v>
          </cell>
        </row>
        <row r="513">
          <cell r="A513">
            <v>474051</v>
          </cell>
          <cell r="B513" t="str">
            <v>Highway Maintenance Workers</v>
          </cell>
          <cell r="C513">
            <v>2001</v>
          </cell>
          <cell r="D513">
            <v>2133</v>
          </cell>
          <cell r="E513">
            <v>132</v>
          </cell>
          <cell r="F513">
            <v>6.5967016491754071E-2</v>
          </cell>
          <cell r="G513">
            <v>132</v>
          </cell>
          <cell r="H513">
            <v>545</v>
          </cell>
          <cell r="I513">
            <v>677</v>
          </cell>
        </row>
        <row r="514">
          <cell r="A514">
            <v>474061</v>
          </cell>
          <cell r="B514" t="str">
            <v>Rail-Track Laying and Maintenance Equipment Operators</v>
          </cell>
          <cell r="C514">
            <v>131</v>
          </cell>
          <cell r="D514">
            <v>143</v>
          </cell>
          <cell r="E514">
            <v>12</v>
          </cell>
          <cell r="F514">
            <v>9.1603053435114434E-2</v>
          </cell>
          <cell r="G514">
            <v>12</v>
          </cell>
          <cell r="H514">
            <v>36</v>
          </cell>
          <cell r="I514">
            <v>48</v>
          </cell>
        </row>
        <row r="515">
          <cell r="A515">
            <v>474071</v>
          </cell>
          <cell r="B515" t="str">
            <v>Septic Tank Servicers and Sewer Pipe Cleaners</v>
          </cell>
          <cell r="C515">
            <v>270</v>
          </cell>
          <cell r="D515">
            <v>342</v>
          </cell>
          <cell r="E515">
            <v>72</v>
          </cell>
          <cell r="F515">
            <v>0.26666666666666661</v>
          </cell>
          <cell r="G515">
            <v>72</v>
          </cell>
          <cell r="H515">
            <v>81</v>
          </cell>
          <cell r="I515">
            <v>153</v>
          </cell>
        </row>
        <row r="516">
          <cell r="A516">
            <v>474099</v>
          </cell>
          <cell r="B516" t="str">
            <v>Construction and Related Workers, All Other</v>
          </cell>
          <cell r="C516">
            <v>639</v>
          </cell>
          <cell r="D516">
            <v>777</v>
          </cell>
          <cell r="E516">
            <v>138</v>
          </cell>
          <cell r="F516">
            <v>0.215962441314554</v>
          </cell>
          <cell r="G516">
            <v>138</v>
          </cell>
          <cell r="H516">
            <v>235</v>
          </cell>
          <cell r="I516">
            <v>373</v>
          </cell>
        </row>
        <row r="517">
          <cell r="A517">
            <v>475021</v>
          </cell>
          <cell r="B517" t="str">
            <v>Earth Drillers, Water and Construction</v>
          </cell>
          <cell r="C517">
            <v>250</v>
          </cell>
          <cell r="D517">
            <v>295</v>
          </cell>
          <cell r="E517">
            <v>45</v>
          </cell>
          <cell r="F517">
            <v>0.17999999999999994</v>
          </cell>
          <cell r="G517">
            <v>45</v>
          </cell>
          <cell r="H517">
            <v>57</v>
          </cell>
          <cell r="I517">
            <v>102</v>
          </cell>
        </row>
        <row r="518">
          <cell r="A518">
            <v>475031</v>
          </cell>
          <cell r="B518" t="str">
            <v>Blasters, Explosives Workers, and Ordnance Handling Experts</v>
          </cell>
          <cell r="C518">
            <v>40</v>
          </cell>
          <cell r="D518">
            <v>12</v>
          </cell>
          <cell r="E518">
            <v>-28</v>
          </cell>
          <cell r="F518">
            <v>-0.7</v>
          </cell>
          <cell r="G518">
            <v>0</v>
          </cell>
          <cell r="H518">
            <v>5</v>
          </cell>
          <cell r="I518">
            <v>5</v>
          </cell>
        </row>
        <row r="519">
          <cell r="A519">
            <v>475081</v>
          </cell>
          <cell r="B519" t="str">
            <v>Extraction Worker's Helpers</v>
          </cell>
          <cell r="C519">
            <v>85</v>
          </cell>
          <cell r="D519">
            <v>98</v>
          </cell>
          <cell r="E519">
            <v>13</v>
          </cell>
          <cell r="F519">
            <v>0.15294117647058814</v>
          </cell>
          <cell r="G519">
            <v>13</v>
          </cell>
          <cell r="H519">
            <v>19</v>
          </cell>
          <cell r="I519">
            <v>32</v>
          </cell>
        </row>
        <row r="520">
          <cell r="A520">
            <v>475099</v>
          </cell>
          <cell r="B520" t="str">
            <v>Extraction Workers, All Other</v>
          </cell>
          <cell r="C520">
            <v>32</v>
          </cell>
          <cell r="D520">
            <v>36</v>
          </cell>
          <cell r="E520">
            <v>4</v>
          </cell>
          <cell r="F520">
            <v>0.125</v>
          </cell>
          <cell r="G520">
            <v>4</v>
          </cell>
          <cell r="H520">
            <v>7</v>
          </cell>
          <cell r="I520">
            <v>11</v>
          </cell>
        </row>
        <row r="521">
          <cell r="A521">
            <v>491011</v>
          </cell>
          <cell r="B521" t="str">
            <v>Supervisors and Managers of Mechanics, Installers, and Repairers</v>
          </cell>
          <cell r="C521">
            <v>4243</v>
          </cell>
          <cell r="D521">
            <v>4860</v>
          </cell>
          <cell r="E521">
            <v>617</v>
          </cell>
          <cell r="F521">
            <v>0.14541597925995764</v>
          </cell>
          <cell r="G521">
            <v>617</v>
          </cell>
          <cell r="H521">
            <v>1198</v>
          </cell>
          <cell r="I521">
            <v>1815</v>
          </cell>
        </row>
        <row r="522">
          <cell r="A522">
            <v>492011</v>
          </cell>
          <cell r="B522" t="str">
            <v>Computer, Automated Teller, and Office Machine Repairers</v>
          </cell>
          <cell r="C522">
            <v>1621</v>
          </cell>
          <cell r="D522">
            <v>1855</v>
          </cell>
          <cell r="E522">
            <v>234</v>
          </cell>
          <cell r="F522">
            <v>0.14435533621221475</v>
          </cell>
          <cell r="G522">
            <v>234</v>
          </cell>
          <cell r="H522">
            <v>426</v>
          </cell>
          <cell r="I522">
            <v>660</v>
          </cell>
        </row>
        <row r="523">
          <cell r="A523">
            <v>492021</v>
          </cell>
          <cell r="B523" t="str">
            <v>Radio Mechanics</v>
          </cell>
          <cell r="C523">
            <v>238</v>
          </cell>
          <cell r="D523">
            <v>258</v>
          </cell>
          <cell r="E523">
            <v>20</v>
          </cell>
          <cell r="F523">
            <v>8.4033613445378075E-2</v>
          </cell>
          <cell r="G523">
            <v>20</v>
          </cell>
          <cell r="H523">
            <v>39</v>
          </cell>
          <cell r="I523">
            <v>59</v>
          </cell>
        </row>
        <row r="524">
          <cell r="A524">
            <v>492022</v>
          </cell>
          <cell r="B524" t="str">
            <v>Telecommunications Equipment Installers and Repairers, Except Line Installers</v>
          </cell>
          <cell r="C524">
            <v>2646</v>
          </cell>
          <cell r="D524">
            <v>2635</v>
          </cell>
          <cell r="E524">
            <v>-11</v>
          </cell>
          <cell r="F524">
            <v>-4.1572184429327086E-3</v>
          </cell>
          <cell r="G524">
            <v>0</v>
          </cell>
          <cell r="H524">
            <v>419</v>
          </cell>
          <cell r="I524">
            <v>419</v>
          </cell>
        </row>
        <row r="525">
          <cell r="A525">
            <v>492091</v>
          </cell>
          <cell r="B525" t="str">
            <v>Avionics Technicians</v>
          </cell>
          <cell r="C525">
            <v>97</v>
          </cell>
          <cell r="D525">
            <v>115</v>
          </cell>
          <cell r="E525">
            <v>18</v>
          </cell>
          <cell r="F525">
            <v>0.18556701030927836</v>
          </cell>
          <cell r="G525">
            <v>18</v>
          </cell>
          <cell r="H525">
            <v>26</v>
          </cell>
          <cell r="I525">
            <v>44</v>
          </cell>
        </row>
        <row r="526">
          <cell r="A526">
            <v>492092</v>
          </cell>
          <cell r="B526" t="str">
            <v>Electric Motor, Power Tool, and Related Repairers</v>
          </cell>
          <cell r="C526">
            <v>204</v>
          </cell>
          <cell r="D526">
            <v>249</v>
          </cell>
          <cell r="E526">
            <v>45</v>
          </cell>
          <cell r="F526">
            <v>0.22058823529411775</v>
          </cell>
          <cell r="G526">
            <v>45</v>
          </cell>
          <cell r="H526">
            <v>20</v>
          </cell>
          <cell r="I526">
            <v>65</v>
          </cell>
        </row>
        <row r="527">
          <cell r="A527">
            <v>492093</v>
          </cell>
          <cell r="B527" t="str">
            <v>Electrical and Electronics Installers and Repairers, Transportation Equipment</v>
          </cell>
          <cell r="C527">
            <v>228</v>
          </cell>
          <cell r="D527">
            <v>259</v>
          </cell>
          <cell r="E527">
            <v>31</v>
          </cell>
          <cell r="F527">
            <v>0.13596491228070184</v>
          </cell>
          <cell r="G527">
            <v>31</v>
          </cell>
          <cell r="H527">
            <v>60</v>
          </cell>
          <cell r="I527">
            <v>91</v>
          </cell>
        </row>
        <row r="528">
          <cell r="A528">
            <v>492094</v>
          </cell>
          <cell r="B528" t="str">
            <v>Electrical and Electronics Repairers, Commercial and Industrial Equipment</v>
          </cell>
          <cell r="C528">
            <v>765</v>
          </cell>
          <cell r="D528">
            <v>844</v>
          </cell>
          <cell r="E528">
            <v>79</v>
          </cell>
          <cell r="F528">
            <v>0.10326797385620923</v>
          </cell>
          <cell r="G528">
            <v>79</v>
          </cell>
          <cell r="H528">
            <v>197</v>
          </cell>
          <cell r="I528">
            <v>276</v>
          </cell>
        </row>
        <row r="529">
          <cell r="A529">
            <v>492095</v>
          </cell>
          <cell r="B529" t="str">
            <v>Electrical and Electronics Repairers, Powerhouse, Substation, and Relay</v>
          </cell>
          <cell r="C529">
            <v>232</v>
          </cell>
          <cell r="D529">
            <v>239</v>
          </cell>
          <cell r="E529">
            <v>7</v>
          </cell>
          <cell r="F529">
            <v>3.0172413793103425E-2</v>
          </cell>
          <cell r="G529">
            <v>7</v>
          </cell>
          <cell r="H529">
            <v>58</v>
          </cell>
          <cell r="I529">
            <v>65</v>
          </cell>
        </row>
        <row r="530">
          <cell r="A530">
            <v>492096</v>
          </cell>
          <cell r="B530" t="str">
            <v>Electronic Equipment Installers and Repairers, Motor Vehicles</v>
          </cell>
          <cell r="C530">
            <v>294</v>
          </cell>
          <cell r="D530">
            <v>331</v>
          </cell>
          <cell r="E530">
            <v>37</v>
          </cell>
          <cell r="F530">
            <v>0.12585034013605445</v>
          </cell>
          <cell r="G530">
            <v>37</v>
          </cell>
          <cell r="H530">
            <v>77</v>
          </cell>
          <cell r="I530">
            <v>114</v>
          </cell>
        </row>
        <row r="531">
          <cell r="A531">
            <v>492097</v>
          </cell>
          <cell r="B531" t="str">
            <v>Electronic Home Entertainment Equipment Installers and Repairers</v>
          </cell>
          <cell r="C531">
            <v>267</v>
          </cell>
          <cell r="D531">
            <v>285</v>
          </cell>
          <cell r="E531">
            <v>18</v>
          </cell>
          <cell r="F531">
            <v>6.7415730337078594E-2</v>
          </cell>
          <cell r="G531">
            <v>18</v>
          </cell>
          <cell r="H531">
            <v>68</v>
          </cell>
          <cell r="I531">
            <v>86</v>
          </cell>
        </row>
        <row r="532">
          <cell r="A532">
            <v>492098</v>
          </cell>
          <cell r="B532" t="str">
            <v>Security and Fire Alarm Systems Installers</v>
          </cell>
          <cell r="C532">
            <v>655</v>
          </cell>
          <cell r="D532">
            <v>771</v>
          </cell>
          <cell r="E532">
            <v>116</v>
          </cell>
          <cell r="F532">
            <v>0.1770992366412214</v>
          </cell>
          <cell r="G532">
            <v>116</v>
          </cell>
          <cell r="H532">
            <v>175</v>
          </cell>
          <cell r="I532">
            <v>291</v>
          </cell>
        </row>
        <row r="533">
          <cell r="A533">
            <v>493011</v>
          </cell>
          <cell r="B533" t="str">
            <v>Aircraft Mechanics and Service Technicians</v>
          </cell>
          <cell r="C533">
            <v>1130</v>
          </cell>
          <cell r="D533">
            <v>1322</v>
          </cell>
          <cell r="E533">
            <v>192</v>
          </cell>
          <cell r="F533">
            <v>0.16991150442477876</v>
          </cell>
          <cell r="G533">
            <v>192</v>
          </cell>
          <cell r="H533">
            <v>370</v>
          </cell>
          <cell r="I533">
            <v>562</v>
          </cell>
        </row>
        <row r="534">
          <cell r="A534">
            <v>493021</v>
          </cell>
          <cell r="B534" t="str">
            <v>Automotive Body and Related Repairers</v>
          </cell>
          <cell r="C534">
            <v>1657</v>
          </cell>
          <cell r="D534">
            <v>1968</v>
          </cell>
          <cell r="E534">
            <v>311</v>
          </cell>
          <cell r="F534">
            <v>0.18768859384429692</v>
          </cell>
          <cell r="G534">
            <v>311</v>
          </cell>
          <cell r="H534">
            <v>439</v>
          </cell>
          <cell r="I534">
            <v>750</v>
          </cell>
        </row>
        <row r="535">
          <cell r="A535">
            <v>493022</v>
          </cell>
          <cell r="B535" t="str">
            <v>Automotive Glass Installers and Repairers</v>
          </cell>
          <cell r="C535">
            <v>310</v>
          </cell>
          <cell r="D535">
            <v>370</v>
          </cell>
          <cell r="E535">
            <v>60</v>
          </cell>
          <cell r="F535">
            <v>0.19354838709677424</v>
          </cell>
          <cell r="G535">
            <v>60</v>
          </cell>
          <cell r="H535">
            <v>88</v>
          </cell>
          <cell r="I535">
            <v>148</v>
          </cell>
        </row>
        <row r="536">
          <cell r="A536" t="str">
            <v>493023</v>
          </cell>
          <cell r="B536" t="str">
            <v>Automotive Service Technicians and Mechanics</v>
          </cell>
          <cell r="C536">
            <v>4258</v>
          </cell>
          <cell r="D536">
            <v>5057</v>
          </cell>
          <cell r="E536">
            <v>799</v>
          </cell>
          <cell r="F536">
            <v>0.18764678252700806</v>
          </cell>
          <cell r="G536">
            <v>799</v>
          </cell>
          <cell r="H536">
            <v>1204</v>
          </cell>
          <cell r="I536">
            <v>2003</v>
          </cell>
        </row>
        <row r="537">
          <cell r="A537">
            <v>493031</v>
          </cell>
          <cell r="B537" t="str">
            <v>Bus and Truck Mechanics and Diesel Engine Specialists</v>
          </cell>
          <cell r="C537">
            <v>3776</v>
          </cell>
          <cell r="D537">
            <v>4468</v>
          </cell>
          <cell r="E537">
            <v>692</v>
          </cell>
          <cell r="F537">
            <v>0.18326271186440679</v>
          </cell>
          <cell r="G537">
            <v>692</v>
          </cell>
          <cell r="H537">
            <v>895</v>
          </cell>
          <cell r="I537">
            <v>1587</v>
          </cell>
        </row>
        <row r="538">
          <cell r="A538">
            <v>493041</v>
          </cell>
          <cell r="B538" t="str">
            <v>Farm Equipment Mechanics</v>
          </cell>
          <cell r="C538">
            <v>1002</v>
          </cell>
          <cell r="D538">
            <v>1183</v>
          </cell>
          <cell r="E538">
            <v>181</v>
          </cell>
          <cell r="F538">
            <v>0.18063872255489022</v>
          </cell>
          <cell r="G538">
            <v>181</v>
          </cell>
          <cell r="H538">
            <v>284</v>
          </cell>
          <cell r="I538">
            <v>465</v>
          </cell>
        </row>
        <row r="539">
          <cell r="A539">
            <v>493042</v>
          </cell>
          <cell r="B539" t="str">
            <v>Mobile Heavy Equipment Mechanics, Except Engines</v>
          </cell>
          <cell r="C539">
            <v>1718</v>
          </cell>
          <cell r="D539">
            <v>2043</v>
          </cell>
          <cell r="E539">
            <v>325</v>
          </cell>
          <cell r="F539">
            <v>0.18917345750873116</v>
          </cell>
          <cell r="G539">
            <v>325</v>
          </cell>
          <cell r="H539">
            <v>488</v>
          </cell>
          <cell r="I539">
            <v>813</v>
          </cell>
        </row>
        <row r="540">
          <cell r="A540">
            <v>493043</v>
          </cell>
          <cell r="B540" t="str">
            <v>Rail Car Repairers</v>
          </cell>
          <cell r="C540">
            <v>297</v>
          </cell>
          <cell r="D540">
            <v>326</v>
          </cell>
          <cell r="E540">
            <v>29</v>
          </cell>
          <cell r="F540">
            <v>9.7643097643097754E-2</v>
          </cell>
          <cell r="G540">
            <v>29</v>
          </cell>
          <cell r="H540">
            <v>81</v>
          </cell>
          <cell r="I540">
            <v>110</v>
          </cell>
        </row>
        <row r="541">
          <cell r="A541">
            <v>493051</v>
          </cell>
          <cell r="B541" t="str">
            <v>Motorboat Mechanics</v>
          </cell>
          <cell r="C541">
            <v>146</v>
          </cell>
          <cell r="D541">
            <v>176</v>
          </cell>
          <cell r="E541">
            <v>30</v>
          </cell>
          <cell r="F541">
            <v>0.20547945205479445</v>
          </cell>
          <cell r="G541">
            <v>30</v>
          </cell>
          <cell r="H541">
            <v>42</v>
          </cell>
          <cell r="I541">
            <v>72</v>
          </cell>
        </row>
        <row r="542">
          <cell r="A542">
            <v>493052</v>
          </cell>
          <cell r="B542" t="str">
            <v>Motorcycle Mechanics</v>
          </cell>
          <cell r="C542">
            <v>262</v>
          </cell>
          <cell r="D542">
            <v>318</v>
          </cell>
          <cell r="E542">
            <v>56</v>
          </cell>
          <cell r="F542">
            <v>0.21374045801526709</v>
          </cell>
          <cell r="G542">
            <v>56</v>
          </cell>
          <cell r="H542">
            <v>75</v>
          </cell>
          <cell r="I542">
            <v>131</v>
          </cell>
        </row>
        <row r="543">
          <cell r="A543">
            <v>493053</v>
          </cell>
          <cell r="B543" t="str">
            <v>Outdoor Power Equipment and Other Small Engine Mechanics</v>
          </cell>
          <cell r="C543">
            <v>336</v>
          </cell>
          <cell r="D543">
            <v>397</v>
          </cell>
          <cell r="E543">
            <v>61</v>
          </cell>
          <cell r="F543">
            <v>0.18154761904761907</v>
          </cell>
          <cell r="G543">
            <v>61</v>
          </cell>
          <cell r="H543">
            <v>95</v>
          </cell>
          <cell r="I543">
            <v>156</v>
          </cell>
        </row>
        <row r="544">
          <cell r="A544">
            <v>493091</v>
          </cell>
          <cell r="B544" t="str">
            <v>Bicycle Repairers</v>
          </cell>
          <cell r="C544">
            <v>230</v>
          </cell>
          <cell r="D544">
            <v>253</v>
          </cell>
          <cell r="E544">
            <v>23</v>
          </cell>
          <cell r="F544">
            <v>0.10000000000000009</v>
          </cell>
          <cell r="G544">
            <v>23</v>
          </cell>
          <cell r="H544">
            <v>62</v>
          </cell>
          <cell r="I544">
            <v>85</v>
          </cell>
        </row>
        <row r="545">
          <cell r="A545">
            <v>493092</v>
          </cell>
          <cell r="B545" t="str">
            <v>Recreational Vehicle Service Technicians</v>
          </cell>
          <cell r="C545">
            <v>305</v>
          </cell>
          <cell r="D545">
            <v>372</v>
          </cell>
          <cell r="E545">
            <v>67</v>
          </cell>
          <cell r="F545">
            <v>0.21967213114754092</v>
          </cell>
          <cell r="G545">
            <v>67</v>
          </cell>
          <cell r="H545">
            <v>87</v>
          </cell>
          <cell r="I545">
            <v>154</v>
          </cell>
        </row>
        <row r="546">
          <cell r="A546">
            <v>493093</v>
          </cell>
          <cell r="B546" t="str">
            <v>Tire Repairers and Changers</v>
          </cell>
          <cell r="C546">
            <v>1476</v>
          </cell>
          <cell r="D546">
            <v>1754</v>
          </cell>
          <cell r="E546">
            <v>278</v>
          </cell>
          <cell r="F546">
            <v>0.18834688346883466</v>
          </cell>
          <cell r="G546">
            <v>278</v>
          </cell>
          <cell r="H546">
            <v>417</v>
          </cell>
          <cell r="I546">
            <v>695</v>
          </cell>
        </row>
        <row r="547">
          <cell r="A547">
            <v>499011</v>
          </cell>
          <cell r="B547" t="str">
            <v>Mechanical Door Repairers</v>
          </cell>
          <cell r="C547">
            <v>169</v>
          </cell>
          <cell r="D547">
            <v>217</v>
          </cell>
          <cell r="E547">
            <v>48</v>
          </cell>
          <cell r="F547">
            <v>0.28402366863905315</v>
          </cell>
          <cell r="G547">
            <v>48</v>
          </cell>
          <cell r="H547">
            <v>35</v>
          </cell>
          <cell r="I547">
            <v>83</v>
          </cell>
        </row>
        <row r="548">
          <cell r="A548">
            <v>499012</v>
          </cell>
          <cell r="B548" t="str">
            <v>Control and Valve Installers and Repairers, Except Mechanical Door</v>
          </cell>
          <cell r="C548">
            <v>443</v>
          </cell>
          <cell r="D548">
            <v>492</v>
          </cell>
          <cell r="E548">
            <v>49</v>
          </cell>
          <cell r="F548">
            <v>0.11060948081264099</v>
          </cell>
          <cell r="G548">
            <v>49</v>
          </cell>
          <cell r="H548">
            <v>86</v>
          </cell>
          <cell r="I548">
            <v>135</v>
          </cell>
        </row>
        <row r="549">
          <cell r="A549">
            <v>499021</v>
          </cell>
          <cell r="B549" t="str">
            <v>Heating, Air Conditioning, and Refrigeration Mechanics and Installers</v>
          </cell>
          <cell r="C549">
            <v>2479</v>
          </cell>
          <cell r="D549">
            <v>3119</v>
          </cell>
          <cell r="E549">
            <v>640</v>
          </cell>
          <cell r="F549">
            <v>0.2581686163775716</v>
          </cell>
          <cell r="G549">
            <v>640</v>
          </cell>
          <cell r="H549">
            <v>495</v>
          </cell>
          <cell r="I549">
            <v>1135</v>
          </cell>
        </row>
        <row r="550">
          <cell r="A550">
            <v>499031</v>
          </cell>
          <cell r="B550" t="str">
            <v>Home Appliance Repairers</v>
          </cell>
          <cell r="C550">
            <v>568</v>
          </cell>
          <cell r="D550">
            <v>649</v>
          </cell>
          <cell r="E550">
            <v>81</v>
          </cell>
          <cell r="F550">
            <v>0.14260563380281699</v>
          </cell>
          <cell r="G550">
            <v>81</v>
          </cell>
          <cell r="H550">
            <v>112</v>
          </cell>
          <cell r="I550">
            <v>193</v>
          </cell>
        </row>
        <row r="551">
          <cell r="A551">
            <v>499041</v>
          </cell>
          <cell r="B551" t="str">
            <v>Industrial Machinery Mechanics</v>
          </cell>
          <cell r="C551">
            <v>3643</v>
          </cell>
          <cell r="D551">
            <v>4102</v>
          </cell>
          <cell r="E551">
            <v>459</v>
          </cell>
          <cell r="F551">
            <v>0.12599505901729335</v>
          </cell>
          <cell r="G551">
            <v>459</v>
          </cell>
          <cell r="H551">
            <v>744</v>
          </cell>
          <cell r="I551">
            <v>1203</v>
          </cell>
        </row>
        <row r="552">
          <cell r="A552">
            <v>499042</v>
          </cell>
          <cell r="B552" t="str">
            <v>Maintenance and Repair Workers, General</v>
          </cell>
          <cell r="C552">
            <v>11891</v>
          </cell>
          <cell r="D552">
            <v>13657</v>
          </cell>
          <cell r="E552">
            <v>1766</v>
          </cell>
          <cell r="F552">
            <v>0.14851568413085525</v>
          </cell>
          <cell r="G552">
            <v>1766</v>
          </cell>
          <cell r="H552">
            <v>2349</v>
          </cell>
          <cell r="I552">
            <v>4115</v>
          </cell>
        </row>
        <row r="553">
          <cell r="A553">
            <v>499043</v>
          </cell>
          <cell r="B553" t="str">
            <v>Maintenance Workers, Machinery</v>
          </cell>
          <cell r="C553">
            <v>615</v>
          </cell>
          <cell r="D553">
            <v>710</v>
          </cell>
          <cell r="E553">
            <v>95</v>
          </cell>
          <cell r="F553">
            <v>0.15447154471544722</v>
          </cell>
          <cell r="G553">
            <v>95</v>
          </cell>
          <cell r="H553">
            <v>122</v>
          </cell>
          <cell r="I553">
            <v>217</v>
          </cell>
        </row>
        <row r="554">
          <cell r="A554">
            <v>499044</v>
          </cell>
          <cell r="B554" t="str">
            <v>Millwrights</v>
          </cell>
          <cell r="C554">
            <v>666</v>
          </cell>
          <cell r="D554">
            <v>832</v>
          </cell>
          <cell r="E554">
            <v>166</v>
          </cell>
          <cell r="F554">
            <v>0.24924924924924929</v>
          </cell>
          <cell r="G554">
            <v>166</v>
          </cell>
          <cell r="H554">
            <v>156</v>
          </cell>
          <cell r="I554">
            <v>322</v>
          </cell>
        </row>
        <row r="555">
          <cell r="A555">
            <v>499045</v>
          </cell>
          <cell r="B555" t="str">
            <v>Refractory Materials Repairers,  except Brickmasons</v>
          </cell>
          <cell r="C555">
            <v>27</v>
          </cell>
          <cell r="D555">
            <v>31</v>
          </cell>
          <cell r="E555">
            <v>4</v>
          </cell>
          <cell r="F555">
            <v>0.14814814814814814</v>
          </cell>
          <cell r="G555">
            <v>4</v>
          </cell>
          <cell r="H555">
            <v>6</v>
          </cell>
          <cell r="I555">
            <v>10</v>
          </cell>
        </row>
        <row r="556">
          <cell r="A556">
            <v>499051</v>
          </cell>
          <cell r="B556" t="str">
            <v>Electrical Power-Line Installers and Repairers</v>
          </cell>
          <cell r="C556">
            <v>1439</v>
          </cell>
          <cell r="D556">
            <v>1490</v>
          </cell>
          <cell r="E556">
            <v>51</v>
          </cell>
          <cell r="F556">
            <v>3.5441278665740095E-2</v>
          </cell>
          <cell r="G556">
            <v>51</v>
          </cell>
          <cell r="H556">
            <v>518</v>
          </cell>
          <cell r="I556">
            <v>569</v>
          </cell>
        </row>
        <row r="557">
          <cell r="A557">
            <v>499052</v>
          </cell>
          <cell r="B557" t="str">
            <v>Telecommunications Line Installers and Repairers</v>
          </cell>
          <cell r="C557">
            <v>1432</v>
          </cell>
          <cell r="D557">
            <v>1426</v>
          </cell>
          <cell r="E557">
            <v>-6</v>
          </cell>
          <cell r="F557">
            <v>-4.1899441340782495E-3</v>
          </cell>
          <cell r="G557">
            <v>0</v>
          </cell>
          <cell r="H557">
            <v>263</v>
          </cell>
          <cell r="I557">
            <v>263</v>
          </cell>
        </row>
        <row r="558">
          <cell r="A558">
            <v>499061</v>
          </cell>
          <cell r="B558" t="str">
            <v>Camera and Photographic Equipment Repairers</v>
          </cell>
          <cell r="C558">
            <v>61</v>
          </cell>
          <cell r="D558">
            <v>66</v>
          </cell>
          <cell r="E558">
            <v>5</v>
          </cell>
          <cell r="F558">
            <v>8.1967213114754189E-2</v>
          </cell>
          <cell r="G558">
            <v>5</v>
          </cell>
          <cell r="H558">
            <v>17</v>
          </cell>
          <cell r="I558">
            <v>22</v>
          </cell>
        </row>
        <row r="559">
          <cell r="A559">
            <v>499062</v>
          </cell>
          <cell r="B559" t="str">
            <v>Medical Equipment Repairers</v>
          </cell>
          <cell r="C559">
            <v>610</v>
          </cell>
          <cell r="D559">
            <v>741</v>
          </cell>
          <cell r="E559">
            <v>131</v>
          </cell>
          <cell r="F559">
            <v>0.21475409836065573</v>
          </cell>
          <cell r="G559">
            <v>131</v>
          </cell>
          <cell r="H559">
            <v>185</v>
          </cell>
          <cell r="I559">
            <v>316</v>
          </cell>
        </row>
        <row r="560">
          <cell r="A560">
            <v>499063</v>
          </cell>
          <cell r="B560" t="str">
            <v>Musical Instrument Repairers and Tuners</v>
          </cell>
          <cell r="C560">
            <v>100</v>
          </cell>
          <cell r="D560">
            <v>112</v>
          </cell>
          <cell r="E560">
            <v>12</v>
          </cell>
          <cell r="F560">
            <v>0.12000000000000011</v>
          </cell>
          <cell r="G560">
            <v>12</v>
          </cell>
          <cell r="H560">
            <v>29</v>
          </cell>
          <cell r="I560">
            <v>41</v>
          </cell>
        </row>
        <row r="561">
          <cell r="A561">
            <v>499064</v>
          </cell>
          <cell r="B561" t="str">
            <v>Watch Repairers</v>
          </cell>
          <cell r="C561">
            <v>33</v>
          </cell>
          <cell r="D561">
            <v>39</v>
          </cell>
          <cell r="E561">
            <v>6</v>
          </cell>
          <cell r="F561">
            <v>0.18181818181818188</v>
          </cell>
          <cell r="G561">
            <v>6</v>
          </cell>
          <cell r="H561">
            <v>10</v>
          </cell>
          <cell r="I561">
            <v>16</v>
          </cell>
        </row>
        <row r="562">
          <cell r="A562">
            <v>499069</v>
          </cell>
          <cell r="B562" t="str">
            <v>Precision Instrument and Equipment Repairers, All Other</v>
          </cell>
          <cell r="C562">
            <v>418</v>
          </cell>
          <cell r="D562">
            <v>459</v>
          </cell>
          <cell r="E562">
            <v>41</v>
          </cell>
          <cell r="F562">
            <v>9.8086124401913777E-2</v>
          </cell>
          <cell r="G562">
            <v>41</v>
          </cell>
          <cell r="H562">
            <v>120</v>
          </cell>
          <cell r="I562">
            <v>161</v>
          </cell>
        </row>
        <row r="563">
          <cell r="A563">
            <v>499091</v>
          </cell>
          <cell r="B563" t="str">
            <v>Coin, Vending, and Amusement Machine Servicers and Repairers</v>
          </cell>
          <cell r="C563">
            <v>422</v>
          </cell>
          <cell r="D563">
            <v>471</v>
          </cell>
          <cell r="E563">
            <v>49</v>
          </cell>
          <cell r="F563">
            <v>0.11611374407582931</v>
          </cell>
          <cell r="G563">
            <v>49</v>
          </cell>
          <cell r="H563">
            <v>88</v>
          </cell>
          <cell r="I563">
            <v>137</v>
          </cell>
        </row>
        <row r="564">
          <cell r="A564">
            <v>499094</v>
          </cell>
          <cell r="B564" t="str">
            <v>Locksmiths and Safe Repairers</v>
          </cell>
          <cell r="C564">
            <v>391</v>
          </cell>
          <cell r="D564">
            <v>433</v>
          </cell>
          <cell r="E564">
            <v>42</v>
          </cell>
          <cell r="F564">
            <v>0.10741687979539649</v>
          </cell>
          <cell r="G564">
            <v>42</v>
          </cell>
          <cell r="H564">
            <v>76</v>
          </cell>
          <cell r="I564">
            <v>118</v>
          </cell>
        </row>
        <row r="565">
          <cell r="A565">
            <v>499095</v>
          </cell>
          <cell r="B565" t="str">
            <v>Manufactured Building and Mobile Home Installers</v>
          </cell>
          <cell r="C565">
            <v>157</v>
          </cell>
          <cell r="D565">
            <v>185</v>
          </cell>
          <cell r="E565">
            <v>28</v>
          </cell>
          <cell r="F565">
            <v>0.17834394904458595</v>
          </cell>
          <cell r="G565">
            <v>28</v>
          </cell>
          <cell r="H565">
            <v>19</v>
          </cell>
          <cell r="I565">
            <v>47</v>
          </cell>
        </row>
        <row r="566">
          <cell r="A566">
            <v>499096</v>
          </cell>
          <cell r="B566" t="str">
            <v>Riggers</v>
          </cell>
          <cell r="C566">
            <v>235</v>
          </cell>
          <cell r="D566">
            <v>272</v>
          </cell>
          <cell r="E566">
            <v>37</v>
          </cell>
          <cell r="F566">
            <v>0.15744680851063819</v>
          </cell>
          <cell r="G566">
            <v>37</v>
          </cell>
          <cell r="H566">
            <v>47</v>
          </cell>
          <cell r="I566">
            <v>84</v>
          </cell>
        </row>
        <row r="567">
          <cell r="A567">
            <v>499097</v>
          </cell>
          <cell r="B567" t="str">
            <v>Signal and Track Switch Repairers</v>
          </cell>
          <cell r="C567">
            <v>100</v>
          </cell>
          <cell r="D567">
            <v>101</v>
          </cell>
          <cell r="E567">
            <v>1</v>
          </cell>
          <cell r="F567">
            <v>1.0000000000000009E-2</v>
          </cell>
          <cell r="G567">
            <v>1</v>
          </cell>
          <cell r="H567">
            <v>18</v>
          </cell>
          <cell r="I567">
            <v>19</v>
          </cell>
        </row>
        <row r="568">
          <cell r="A568">
            <v>499098</v>
          </cell>
          <cell r="B568" t="str">
            <v>Installation, Maintenance, and Repair Worker's Helpers</v>
          </cell>
          <cell r="C568">
            <v>1340</v>
          </cell>
          <cell r="D568">
            <v>1631</v>
          </cell>
          <cell r="E568">
            <v>291</v>
          </cell>
          <cell r="F568">
            <v>0.21716417910447761</v>
          </cell>
          <cell r="G568">
            <v>291</v>
          </cell>
          <cell r="H568">
            <v>681</v>
          </cell>
          <cell r="I568">
            <v>972</v>
          </cell>
        </row>
        <row r="569">
          <cell r="A569">
            <v>499099</v>
          </cell>
          <cell r="B569" t="str">
            <v>Installation, Maintenance, and Repair Workers, All Other</v>
          </cell>
          <cell r="C569">
            <v>2541</v>
          </cell>
          <cell r="D569">
            <v>2972</v>
          </cell>
          <cell r="E569">
            <v>431</v>
          </cell>
          <cell r="F569">
            <v>0.16961826052735152</v>
          </cell>
          <cell r="G569">
            <v>431</v>
          </cell>
          <cell r="H569">
            <v>507</v>
          </cell>
          <cell r="I569">
            <v>938</v>
          </cell>
        </row>
        <row r="570">
          <cell r="A570">
            <v>511011</v>
          </cell>
          <cell r="B570" t="str">
            <v>Supervisors and Managers of Production and Operating Workers</v>
          </cell>
          <cell r="C570">
            <v>7163</v>
          </cell>
          <cell r="D570">
            <v>8250</v>
          </cell>
          <cell r="E570">
            <v>1087</v>
          </cell>
          <cell r="F570">
            <v>0.15175205919307544</v>
          </cell>
          <cell r="G570">
            <v>1087</v>
          </cell>
          <cell r="H570">
            <v>1008</v>
          </cell>
          <cell r="I570">
            <v>2095</v>
          </cell>
        </row>
        <row r="571">
          <cell r="A571">
            <v>512011</v>
          </cell>
          <cell r="B571" t="str">
            <v>Aircraft Structure, Surfaces, Rigging, and Systems Assemblers</v>
          </cell>
          <cell r="C571">
            <v>222</v>
          </cell>
          <cell r="D571">
            <v>259</v>
          </cell>
          <cell r="E571">
            <v>37</v>
          </cell>
          <cell r="F571">
            <v>0.16666666666666674</v>
          </cell>
          <cell r="G571">
            <v>37</v>
          </cell>
          <cell r="H571">
            <v>46</v>
          </cell>
          <cell r="I571">
            <v>83</v>
          </cell>
        </row>
        <row r="572">
          <cell r="A572">
            <v>512021</v>
          </cell>
          <cell r="B572" t="str">
            <v>Coil Winders, Tapers, and Finishers</v>
          </cell>
          <cell r="C572">
            <v>194</v>
          </cell>
          <cell r="D572">
            <v>234</v>
          </cell>
          <cell r="E572">
            <v>40</v>
          </cell>
          <cell r="F572">
            <v>0.20618556701030921</v>
          </cell>
          <cell r="G572">
            <v>40</v>
          </cell>
          <cell r="H572">
            <v>31</v>
          </cell>
          <cell r="I572">
            <v>71</v>
          </cell>
        </row>
        <row r="573">
          <cell r="A573">
            <v>512022</v>
          </cell>
          <cell r="B573" t="str">
            <v>Electrical and Electronic Equipment Assemblers</v>
          </cell>
          <cell r="C573">
            <v>6487</v>
          </cell>
          <cell r="D573">
            <v>7553</v>
          </cell>
          <cell r="E573">
            <v>1066</v>
          </cell>
          <cell r="F573">
            <v>0.1643286573146292</v>
          </cell>
          <cell r="G573">
            <v>1066</v>
          </cell>
          <cell r="H573">
            <v>1014</v>
          </cell>
          <cell r="I573">
            <v>2080</v>
          </cell>
        </row>
        <row r="574">
          <cell r="A574">
            <v>512023</v>
          </cell>
          <cell r="B574" t="str">
            <v>Electromechanical Equipment Assemblers</v>
          </cell>
          <cell r="C574">
            <v>290</v>
          </cell>
          <cell r="D574">
            <v>351</v>
          </cell>
          <cell r="E574">
            <v>61</v>
          </cell>
          <cell r="F574">
            <v>0.21034482758620698</v>
          </cell>
          <cell r="G574">
            <v>61</v>
          </cell>
          <cell r="H574">
            <v>46</v>
          </cell>
          <cell r="I574">
            <v>107</v>
          </cell>
        </row>
        <row r="575">
          <cell r="A575">
            <v>512031</v>
          </cell>
          <cell r="B575" t="str">
            <v>Engine and Other Machine Assemblers</v>
          </cell>
          <cell r="C575">
            <v>272</v>
          </cell>
          <cell r="D575">
            <v>339</v>
          </cell>
          <cell r="E575">
            <v>67</v>
          </cell>
          <cell r="F575">
            <v>0.24632352941176472</v>
          </cell>
          <cell r="G575">
            <v>67</v>
          </cell>
          <cell r="H575">
            <v>59</v>
          </cell>
          <cell r="I575">
            <v>126</v>
          </cell>
        </row>
        <row r="576">
          <cell r="A576">
            <v>512041</v>
          </cell>
          <cell r="B576" t="str">
            <v>Structural Metal Fabricators and Fitters</v>
          </cell>
          <cell r="C576">
            <v>1486</v>
          </cell>
          <cell r="D576">
            <v>1806</v>
          </cell>
          <cell r="E576">
            <v>320</v>
          </cell>
          <cell r="F576">
            <v>0.21534320323014811</v>
          </cell>
          <cell r="G576">
            <v>320</v>
          </cell>
          <cell r="H576">
            <v>316</v>
          </cell>
          <cell r="I576">
            <v>636</v>
          </cell>
        </row>
        <row r="577">
          <cell r="A577">
            <v>512091</v>
          </cell>
          <cell r="B577" t="str">
            <v>Fiberglass Laminators and Fabricators</v>
          </cell>
          <cell r="C577">
            <v>272</v>
          </cell>
          <cell r="D577">
            <v>337</v>
          </cell>
          <cell r="E577">
            <v>65</v>
          </cell>
          <cell r="F577">
            <v>0.23897058823529416</v>
          </cell>
          <cell r="G577">
            <v>65</v>
          </cell>
          <cell r="H577">
            <v>60</v>
          </cell>
          <cell r="I577">
            <v>125</v>
          </cell>
        </row>
        <row r="578">
          <cell r="A578">
            <v>512092</v>
          </cell>
          <cell r="B578" t="str">
            <v>Assemblers, Multi-task or Team</v>
          </cell>
          <cell r="C578">
            <v>6323</v>
          </cell>
          <cell r="D578">
            <v>7703</v>
          </cell>
          <cell r="E578">
            <v>1380</v>
          </cell>
          <cell r="F578">
            <v>0.21825083030207182</v>
          </cell>
          <cell r="G578">
            <v>1380</v>
          </cell>
          <cell r="H578">
            <v>1389</v>
          </cell>
          <cell r="I578">
            <v>2769</v>
          </cell>
        </row>
        <row r="579">
          <cell r="A579">
            <v>512099</v>
          </cell>
          <cell r="B579" t="str">
            <v>Assemblers and Fabricators, All Other</v>
          </cell>
          <cell r="C579">
            <v>3943</v>
          </cell>
          <cell r="D579">
            <v>4901</v>
          </cell>
          <cell r="E579">
            <v>958</v>
          </cell>
          <cell r="F579">
            <v>0.24296221151407549</v>
          </cell>
          <cell r="G579">
            <v>958</v>
          </cell>
          <cell r="H579">
            <v>876</v>
          </cell>
          <cell r="I579">
            <v>1834</v>
          </cell>
        </row>
        <row r="580">
          <cell r="A580">
            <v>513011</v>
          </cell>
          <cell r="B580" t="str">
            <v>Bakers</v>
          </cell>
          <cell r="C580">
            <v>2533</v>
          </cell>
          <cell r="D580">
            <v>2894</v>
          </cell>
          <cell r="E580">
            <v>361</v>
          </cell>
          <cell r="F580">
            <v>0.14251875246742984</v>
          </cell>
          <cell r="G580">
            <v>361</v>
          </cell>
          <cell r="H580">
            <v>784</v>
          </cell>
          <cell r="I580">
            <v>1145</v>
          </cell>
        </row>
        <row r="581">
          <cell r="A581">
            <v>513021</v>
          </cell>
          <cell r="B581" t="str">
            <v>Butchers and Meat Cutters</v>
          </cell>
          <cell r="C581">
            <v>1469</v>
          </cell>
          <cell r="D581">
            <v>1701</v>
          </cell>
          <cell r="E581">
            <v>232</v>
          </cell>
          <cell r="F581">
            <v>0.15793056501021097</v>
          </cell>
          <cell r="G581">
            <v>232</v>
          </cell>
          <cell r="H581">
            <v>460</v>
          </cell>
          <cell r="I581">
            <v>692</v>
          </cell>
        </row>
        <row r="582">
          <cell r="A582">
            <v>513022</v>
          </cell>
          <cell r="B582" t="str">
            <v>Meat, Poultry, and Fish Cutters and Trimmers</v>
          </cell>
          <cell r="C582">
            <v>833</v>
          </cell>
          <cell r="D582">
            <v>949</v>
          </cell>
          <cell r="E582">
            <v>116</v>
          </cell>
          <cell r="F582">
            <v>0.13925570228091244</v>
          </cell>
          <cell r="G582">
            <v>116</v>
          </cell>
          <cell r="H582">
            <v>258</v>
          </cell>
          <cell r="I582">
            <v>374</v>
          </cell>
        </row>
        <row r="583">
          <cell r="A583">
            <v>513023</v>
          </cell>
          <cell r="B583" t="str">
            <v>Slaughterers and Meat Packers</v>
          </cell>
          <cell r="C583">
            <v>302</v>
          </cell>
          <cell r="D583">
            <v>336</v>
          </cell>
          <cell r="E583">
            <v>34</v>
          </cell>
          <cell r="F583">
            <v>0.11258278145695355</v>
          </cell>
          <cell r="G583">
            <v>34</v>
          </cell>
          <cell r="H583">
            <v>93</v>
          </cell>
          <cell r="I583">
            <v>127</v>
          </cell>
        </row>
        <row r="584">
          <cell r="A584">
            <v>513091</v>
          </cell>
          <cell r="B584" t="str">
            <v>Food Roasting, Baking, and Drying Machine Operators and Tenders</v>
          </cell>
          <cell r="C584">
            <v>309</v>
          </cell>
          <cell r="D584">
            <v>352</v>
          </cell>
          <cell r="E584">
            <v>43</v>
          </cell>
          <cell r="F584">
            <v>0.13915857605177995</v>
          </cell>
          <cell r="G584">
            <v>43</v>
          </cell>
          <cell r="H584">
            <v>94</v>
          </cell>
          <cell r="I584">
            <v>137</v>
          </cell>
        </row>
        <row r="585">
          <cell r="A585">
            <v>513092</v>
          </cell>
          <cell r="B585" t="str">
            <v>Food Mixing and Blending Machine Operators and Tenders</v>
          </cell>
          <cell r="C585">
            <v>1001</v>
          </cell>
          <cell r="D585">
            <v>1122</v>
          </cell>
          <cell r="E585">
            <v>121</v>
          </cell>
          <cell r="F585">
            <v>0.12087912087912089</v>
          </cell>
          <cell r="G585">
            <v>121</v>
          </cell>
          <cell r="H585">
            <v>296</v>
          </cell>
          <cell r="I585">
            <v>417</v>
          </cell>
        </row>
        <row r="586">
          <cell r="A586">
            <v>513093</v>
          </cell>
          <cell r="B586" t="str">
            <v>Food Cooking Machine Operators and Tenders</v>
          </cell>
          <cell r="C586">
            <v>581</v>
          </cell>
          <cell r="D586">
            <v>649</v>
          </cell>
          <cell r="E586">
            <v>68</v>
          </cell>
          <cell r="F586">
            <v>0.11703958691910499</v>
          </cell>
          <cell r="G586">
            <v>68</v>
          </cell>
          <cell r="H586">
            <v>176</v>
          </cell>
          <cell r="I586">
            <v>244</v>
          </cell>
        </row>
        <row r="587">
          <cell r="A587">
            <v>514011</v>
          </cell>
          <cell r="B587" t="str">
            <v>Computer-Controlled Machine Tool Operators, Metal and Plastic</v>
          </cell>
          <cell r="C587">
            <v>1939</v>
          </cell>
          <cell r="D587">
            <v>2375</v>
          </cell>
          <cell r="E587">
            <v>436</v>
          </cell>
          <cell r="F587">
            <v>0.224858174316658</v>
          </cell>
          <cell r="G587">
            <v>436</v>
          </cell>
          <cell r="H587">
            <v>411</v>
          </cell>
          <cell r="I587">
            <v>847</v>
          </cell>
        </row>
        <row r="588">
          <cell r="A588">
            <v>514012</v>
          </cell>
          <cell r="B588" t="str">
            <v>Numerical Tool and Process Control Programmers</v>
          </cell>
          <cell r="C588">
            <v>356</v>
          </cell>
          <cell r="D588">
            <v>433</v>
          </cell>
          <cell r="E588">
            <v>77</v>
          </cell>
          <cell r="F588">
            <v>0.21629213483146059</v>
          </cell>
          <cell r="G588">
            <v>77</v>
          </cell>
          <cell r="H588">
            <v>75</v>
          </cell>
          <cell r="I588">
            <v>152</v>
          </cell>
        </row>
        <row r="589">
          <cell r="A589">
            <v>514021</v>
          </cell>
          <cell r="B589" t="str">
            <v>Extruding and Drawing Machine Setters, Operators, and Tenders, Metal and Plastic</v>
          </cell>
          <cell r="C589">
            <v>595</v>
          </cell>
          <cell r="D589">
            <v>715</v>
          </cell>
          <cell r="E589">
            <v>120</v>
          </cell>
          <cell r="F589">
            <v>0.20168067226890751</v>
          </cell>
          <cell r="G589">
            <v>120</v>
          </cell>
          <cell r="H589">
            <v>125</v>
          </cell>
          <cell r="I589">
            <v>245</v>
          </cell>
        </row>
        <row r="590">
          <cell r="A590">
            <v>514022</v>
          </cell>
          <cell r="B590" t="str">
            <v>Forging Machine Setters, Operators, and Tenders, Metal and Plastic</v>
          </cell>
          <cell r="C590">
            <v>91</v>
          </cell>
          <cell r="D590">
            <v>110</v>
          </cell>
          <cell r="E590">
            <v>19</v>
          </cell>
          <cell r="F590">
            <v>0.20879120879120872</v>
          </cell>
          <cell r="G590">
            <v>19</v>
          </cell>
          <cell r="H590">
            <v>19</v>
          </cell>
          <cell r="I590">
            <v>38</v>
          </cell>
        </row>
        <row r="591">
          <cell r="A591">
            <v>514023</v>
          </cell>
          <cell r="B591" t="str">
            <v>Rolling Machine Setters, Operators, and Tenders, Metal and Plastic</v>
          </cell>
          <cell r="C591">
            <v>132</v>
          </cell>
          <cell r="D591">
            <v>159</v>
          </cell>
          <cell r="E591">
            <v>27</v>
          </cell>
          <cell r="F591">
            <v>0.20454545454545459</v>
          </cell>
          <cell r="G591">
            <v>27</v>
          </cell>
          <cell r="H591">
            <v>28</v>
          </cell>
          <cell r="I591">
            <v>55</v>
          </cell>
        </row>
        <row r="592">
          <cell r="A592">
            <v>514031</v>
          </cell>
          <cell r="B592" t="str">
            <v>Cutting, Punching, and Press Machine Setters, Operators, and Tenders, Metal and Plastic</v>
          </cell>
          <cell r="C592">
            <v>1860</v>
          </cell>
          <cell r="D592">
            <v>2269</v>
          </cell>
          <cell r="E592">
            <v>409</v>
          </cell>
          <cell r="F592">
            <v>0.21989247311827964</v>
          </cell>
          <cell r="G592">
            <v>409</v>
          </cell>
          <cell r="H592">
            <v>153</v>
          </cell>
          <cell r="I592">
            <v>562</v>
          </cell>
        </row>
        <row r="593">
          <cell r="A593">
            <v>514032</v>
          </cell>
          <cell r="B593" t="str">
            <v>Drilling and Boring Machine Tool Setters, Operators, and Tenders, Metal and Plastic</v>
          </cell>
          <cell r="C593">
            <v>234</v>
          </cell>
          <cell r="D593">
            <v>282</v>
          </cell>
          <cell r="E593">
            <v>48</v>
          </cell>
          <cell r="F593">
            <v>0.20512820512820507</v>
          </cell>
          <cell r="G593">
            <v>48</v>
          </cell>
          <cell r="H593">
            <v>15</v>
          </cell>
          <cell r="I593">
            <v>63</v>
          </cell>
        </row>
        <row r="594">
          <cell r="A594">
            <v>514033</v>
          </cell>
          <cell r="B594" t="str">
            <v>Grinding, Lapping, Polishing, and Buffing Machine Tool Setters, Operators, and Tenders, Metal and Plastic</v>
          </cell>
          <cell r="C594">
            <v>857</v>
          </cell>
          <cell r="D594">
            <v>1054</v>
          </cell>
          <cell r="E594">
            <v>197</v>
          </cell>
          <cell r="F594">
            <v>0.22987164527421244</v>
          </cell>
          <cell r="G594">
            <v>197</v>
          </cell>
          <cell r="H594">
            <v>150</v>
          </cell>
          <cell r="I594">
            <v>347</v>
          </cell>
        </row>
        <row r="595">
          <cell r="A595">
            <v>514034</v>
          </cell>
          <cell r="B595" t="str">
            <v>Lathe and Turning Machine Tool Setters, Operators, and Tenders, Metal and Plastic</v>
          </cell>
          <cell r="C595">
            <v>287</v>
          </cell>
          <cell r="D595">
            <v>358</v>
          </cell>
          <cell r="E595">
            <v>71</v>
          </cell>
          <cell r="F595">
            <v>0.2473867595818815</v>
          </cell>
          <cell r="G595">
            <v>71</v>
          </cell>
          <cell r="H595">
            <v>117</v>
          </cell>
          <cell r="I595">
            <v>188</v>
          </cell>
        </row>
        <row r="596">
          <cell r="A596">
            <v>514035</v>
          </cell>
          <cell r="B596" t="str">
            <v>Milling and Planing Machine Setters, Operators, and Tenders, Metal and Plastic</v>
          </cell>
          <cell r="C596">
            <v>392</v>
          </cell>
          <cell r="D596">
            <v>470</v>
          </cell>
          <cell r="E596">
            <v>78</v>
          </cell>
          <cell r="F596">
            <v>0.19897959183673475</v>
          </cell>
          <cell r="G596">
            <v>78</v>
          </cell>
          <cell r="H596">
            <v>82</v>
          </cell>
          <cell r="I596">
            <v>160</v>
          </cell>
        </row>
        <row r="597">
          <cell r="A597">
            <v>514041</v>
          </cell>
          <cell r="B597" t="str">
            <v>Machinists</v>
          </cell>
          <cell r="C597">
            <v>2884</v>
          </cell>
          <cell r="D597">
            <v>3550</v>
          </cell>
          <cell r="E597">
            <v>666</v>
          </cell>
          <cell r="F597">
            <v>0.23092926490984733</v>
          </cell>
          <cell r="G597">
            <v>666</v>
          </cell>
          <cell r="H597">
            <v>591</v>
          </cell>
          <cell r="I597">
            <v>1257</v>
          </cell>
        </row>
        <row r="598">
          <cell r="A598">
            <v>514051</v>
          </cell>
          <cell r="B598" t="str">
            <v>Metal-Refining Furnace Operators and Tenders</v>
          </cell>
          <cell r="C598">
            <v>219</v>
          </cell>
          <cell r="D598">
            <v>276</v>
          </cell>
          <cell r="E598">
            <v>57</v>
          </cell>
          <cell r="F598">
            <v>0.26027397260273966</v>
          </cell>
          <cell r="G598">
            <v>57</v>
          </cell>
          <cell r="H598">
            <v>47</v>
          </cell>
          <cell r="I598">
            <v>104</v>
          </cell>
        </row>
        <row r="599">
          <cell r="A599">
            <v>514052</v>
          </cell>
          <cell r="B599" t="str">
            <v>Pourers and Casters, Metal</v>
          </cell>
          <cell r="C599">
            <v>143</v>
          </cell>
          <cell r="D599">
            <v>179</v>
          </cell>
          <cell r="E599">
            <v>36</v>
          </cell>
          <cell r="F599">
            <v>0.25174825174825166</v>
          </cell>
          <cell r="G599">
            <v>36</v>
          </cell>
          <cell r="H599">
            <v>31</v>
          </cell>
          <cell r="I599">
            <v>67</v>
          </cell>
        </row>
        <row r="600">
          <cell r="A600">
            <v>514061</v>
          </cell>
          <cell r="B600" t="str">
            <v>Model Makers, Metal and Plastic</v>
          </cell>
          <cell r="C600">
            <v>24</v>
          </cell>
          <cell r="D600">
            <v>29</v>
          </cell>
          <cell r="E600">
            <v>5</v>
          </cell>
          <cell r="F600">
            <v>0.20833333333333326</v>
          </cell>
          <cell r="G600">
            <v>5</v>
          </cell>
          <cell r="H600">
            <v>1</v>
          </cell>
          <cell r="I600">
            <v>6</v>
          </cell>
        </row>
        <row r="601">
          <cell r="A601">
            <v>514062</v>
          </cell>
          <cell r="B601" t="str">
            <v>Patternmakers, Metal and Plastic</v>
          </cell>
          <cell r="C601">
            <v>45</v>
          </cell>
          <cell r="D601">
            <v>54</v>
          </cell>
          <cell r="E601">
            <v>9</v>
          </cell>
          <cell r="F601">
            <v>0.19999999999999996</v>
          </cell>
          <cell r="G601">
            <v>9</v>
          </cell>
          <cell r="H601">
            <v>3</v>
          </cell>
          <cell r="I601">
            <v>12</v>
          </cell>
        </row>
        <row r="602">
          <cell r="A602">
            <v>514071</v>
          </cell>
          <cell r="B602" t="str">
            <v>Foundry Mold Makers and Coremakers</v>
          </cell>
          <cell r="C602">
            <v>286</v>
          </cell>
          <cell r="D602">
            <v>360</v>
          </cell>
          <cell r="E602">
            <v>74</v>
          </cell>
          <cell r="F602">
            <v>0.25874125874125875</v>
          </cell>
          <cell r="G602">
            <v>74</v>
          </cell>
          <cell r="H602">
            <v>54</v>
          </cell>
          <cell r="I602">
            <v>128</v>
          </cell>
        </row>
        <row r="603">
          <cell r="A603">
            <v>514072</v>
          </cell>
          <cell r="B603" t="str">
            <v>Molding, Coremaking, and Casting Machine Setters, Operators, and Tenders, Metal and Plastic</v>
          </cell>
          <cell r="C603">
            <v>1093</v>
          </cell>
          <cell r="D603">
            <v>1369</v>
          </cell>
          <cell r="E603">
            <v>276</v>
          </cell>
          <cell r="F603">
            <v>0.25251601097895704</v>
          </cell>
          <cell r="G603">
            <v>276</v>
          </cell>
          <cell r="H603">
            <v>206</v>
          </cell>
          <cell r="I603">
            <v>482</v>
          </cell>
        </row>
        <row r="604">
          <cell r="A604">
            <v>514081</v>
          </cell>
          <cell r="B604" t="str">
            <v>Multiple Machine Tool Setters, Operators, and Tenders, Metal and Plastic</v>
          </cell>
          <cell r="C604">
            <v>643</v>
          </cell>
          <cell r="D604">
            <v>794</v>
          </cell>
          <cell r="E604">
            <v>151</v>
          </cell>
          <cell r="F604">
            <v>0.234836702954899</v>
          </cell>
          <cell r="G604">
            <v>151</v>
          </cell>
          <cell r="H604">
            <v>137</v>
          </cell>
          <cell r="I604">
            <v>288</v>
          </cell>
        </row>
        <row r="605">
          <cell r="A605">
            <v>514111</v>
          </cell>
          <cell r="B605" t="str">
            <v>Tool and Die Makers</v>
          </cell>
          <cell r="C605">
            <v>328</v>
          </cell>
          <cell r="D605">
            <v>399</v>
          </cell>
          <cell r="E605">
            <v>71</v>
          </cell>
          <cell r="F605">
            <v>0.21646341463414642</v>
          </cell>
          <cell r="G605">
            <v>71</v>
          </cell>
          <cell r="H605">
            <v>19</v>
          </cell>
          <cell r="I605">
            <v>90</v>
          </cell>
        </row>
        <row r="606">
          <cell r="A606">
            <v>514121</v>
          </cell>
          <cell r="B606" t="str">
            <v>Welders, Cutters, Solderers, and Brazers</v>
          </cell>
          <cell r="C606">
            <v>4282</v>
          </cell>
          <cell r="D606">
            <v>5215</v>
          </cell>
          <cell r="E606">
            <v>933</v>
          </cell>
          <cell r="F606">
            <v>0.21788883699205974</v>
          </cell>
          <cell r="G606">
            <v>933</v>
          </cell>
          <cell r="H606">
            <v>1267</v>
          </cell>
          <cell r="I606">
            <v>2200</v>
          </cell>
        </row>
        <row r="607">
          <cell r="A607">
            <v>514122</v>
          </cell>
          <cell r="B607" t="str">
            <v>Welding, Soldering, and Brazing Machine Setters, Operators, and Tenders</v>
          </cell>
          <cell r="C607">
            <v>279</v>
          </cell>
          <cell r="D607">
            <v>346</v>
          </cell>
          <cell r="E607">
            <v>67</v>
          </cell>
          <cell r="F607">
            <v>0.24014336917562717</v>
          </cell>
          <cell r="G607">
            <v>67</v>
          </cell>
          <cell r="H607">
            <v>83</v>
          </cell>
          <cell r="I607">
            <v>150</v>
          </cell>
        </row>
        <row r="608">
          <cell r="A608">
            <v>514191</v>
          </cell>
          <cell r="B608" t="str">
            <v>Heat Treating Equipment Setters, Operators, and Tenders, Metal and Plastic</v>
          </cell>
          <cell r="C608">
            <v>226</v>
          </cell>
          <cell r="D608">
            <v>273</v>
          </cell>
          <cell r="E608">
            <v>47</v>
          </cell>
          <cell r="F608">
            <v>0.20796460176991149</v>
          </cell>
          <cell r="G608">
            <v>47</v>
          </cell>
          <cell r="H608">
            <v>196</v>
          </cell>
          <cell r="I608">
            <v>243</v>
          </cell>
        </row>
        <row r="609">
          <cell r="A609">
            <v>514192</v>
          </cell>
          <cell r="B609" t="str">
            <v>Lay-Out Workers, Metal and Plastic</v>
          </cell>
          <cell r="C609">
            <v>48</v>
          </cell>
          <cell r="D609">
            <v>61</v>
          </cell>
          <cell r="E609">
            <v>13</v>
          </cell>
          <cell r="F609">
            <v>0.27083333333333326</v>
          </cell>
          <cell r="G609">
            <v>13</v>
          </cell>
          <cell r="H609">
            <v>10</v>
          </cell>
          <cell r="I609">
            <v>23</v>
          </cell>
        </row>
        <row r="610">
          <cell r="A610">
            <v>514193</v>
          </cell>
          <cell r="B610" t="str">
            <v>Plating and Coating Machine Setters, Operators, and Tenders, Metal and Plastic</v>
          </cell>
          <cell r="C610">
            <v>461</v>
          </cell>
          <cell r="D610">
            <v>547</v>
          </cell>
          <cell r="E610">
            <v>86</v>
          </cell>
          <cell r="F610">
            <v>0.18655097613882865</v>
          </cell>
          <cell r="G610">
            <v>86</v>
          </cell>
          <cell r="H610">
            <v>108</v>
          </cell>
          <cell r="I610">
            <v>194</v>
          </cell>
        </row>
        <row r="611">
          <cell r="A611">
            <v>514194</v>
          </cell>
          <cell r="B611" t="str">
            <v>Tool Grinders, Filers, and Sharpeners</v>
          </cell>
          <cell r="C611">
            <v>702</v>
          </cell>
          <cell r="D611">
            <v>835</v>
          </cell>
          <cell r="E611">
            <v>133</v>
          </cell>
          <cell r="F611">
            <v>0.18945868945868938</v>
          </cell>
          <cell r="G611">
            <v>133</v>
          </cell>
          <cell r="H611">
            <v>73</v>
          </cell>
          <cell r="I611">
            <v>206</v>
          </cell>
        </row>
        <row r="612">
          <cell r="A612">
            <v>514199</v>
          </cell>
          <cell r="B612" t="str">
            <v>Metal Workers and Plastic Workers, All Other</v>
          </cell>
          <cell r="C612">
            <v>529</v>
          </cell>
          <cell r="D612">
            <v>645</v>
          </cell>
          <cell r="E612">
            <v>116</v>
          </cell>
          <cell r="F612">
            <v>0.21928166351606815</v>
          </cell>
          <cell r="G612">
            <v>116</v>
          </cell>
          <cell r="H612">
            <v>60</v>
          </cell>
          <cell r="I612">
            <v>176</v>
          </cell>
        </row>
        <row r="613">
          <cell r="A613">
            <v>515011</v>
          </cell>
          <cell r="B613" t="str">
            <v>Bindery Workers</v>
          </cell>
          <cell r="C613">
            <v>640</v>
          </cell>
          <cell r="D613">
            <v>612</v>
          </cell>
          <cell r="E613">
            <v>-28</v>
          </cell>
          <cell r="F613">
            <v>-4.3749999999999956E-2</v>
          </cell>
          <cell r="G613">
            <v>0</v>
          </cell>
          <cell r="H613">
            <v>211</v>
          </cell>
          <cell r="I613">
            <v>211</v>
          </cell>
        </row>
        <row r="614">
          <cell r="A614">
            <v>515012</v>
          </cell>
          <cell r="B614" t="str">
            <v>Bookbinders</v>
          </cell>
          <cell r="C614">
            <v>51</v>
          </cell>
          <cell r="D614">
            <v>48</v>
          </cell>
          <cell r="E614">
            <v>-3</v>
          </cell>
          <cell r="F614">
            <v>-5.8823529411764719E-2</v>
          </cell>
          <cell r="G614">
            <v>0</v>
          </cell>
          <cell r="H614">
            <v>17</v>
          </cell>
          <cell r="I614">
            <v>17</v>
          </cell>
        </row>
        <row r="615">
          <cell r="A615">
            <v>515021</v>
          </cell>
          <cell r="B615" t="str">
            <v>Job Printers</v>
          </cell>
          <cell r="C615">
            <v>330</v>
          </cell>
          <cell r="D615">
            <v>326</v>
          </cell>
          <cell r="E615">
            <v>-4</v>
          </cell>
          <cell r="F615">
            <v>-1.2121212121212088E-2</v>
          </cell>
          <cell r="G615">
            <v>0</v>
          </cell>
          <cell r="H615">
            <v>64</v>
          </cell>
          <cell r="I615">
            <v>64</v>
          </cell>
        </row>
        <row r="616">
          <cell r="A616">
            <v>515022</v>
          </cell>
          <cell r="B616" t="str">
            <v>Prepress Technicians and Workers</v>
          </cell>
          <cell r="C616">
            <v>690</v>
          </cell>
          <cell r="D616">
            <v>654</v>
          </cell>
          <cell r="E616">
            <v>-36</v>
          </cell>
          <cell r="F616">
            <v>-5.2173913043478293E-2</v>
          </cell>
          <cell r="G616">
            <v>0</v>
          </cell>
          <cell r="H616">
            <v>157</v>
          </cell>
          <cell r="I616">
            <v>157</v>
          </cell>
        </row>
        <row r="617">
          <cell r="A617">
            <v>515023</v>
          </cell>
          <cell r="B617" t="str">
            <v>Printing Press Machine Operators</v>
          </cell>
          <cell r="C617">
            <v>1709</v>
          </cell>
          <cell r="D617">
            <v>1659</v>
          </cell>
          <cell r="E617">
            <v>-50</v>
          </cell>
          <cell r="F617">
            <v>-2.9256875365710977E-2</v>
          </cell>
          <cell r="G617">
            <v>0</v>
          </cell>
          <cell r="H617">
            <v>330</v>
          </cell>
          <cell r="I617">
            <v>330</v>
          </cell>
        </row>
        <row r="618">
          <cell r="A618">
            <v>516011</v>
          </cell>
          <cell r="B618" t="str">
            <v>Laundry and Dry-Cleaning Workers</v>
          </cell>
          <cell r="C618">
            <v>1881</v>
          </cell>
          <cell r="D618">
            <v>2202</v>
          </cell>
          <cell r="E618">
            <v>321</v>
          </cell>
          <cell r="F618">
            <v>0.17065390749601272</v>
          </cell>
          <cell r="G618">
            <v>321</v>
          </cell>
          <cell r="H618">
            <v>387</v>
          </cell>
          <cell r="I618">
            <v>708</v>
          </cell>
        </row>
        <row r="619">
          <cell r="A619">
            <v>516021</v>
          </cell>
          <cell r="B619" t="str">
            <v>Pressers, Textile, Garment, and Related Materials</v>
          </cell>
          <cell r="C619">
            <v>579</v>
          </cell>
          <cell r="D619">
            <v>683</v>
          </cell>
          <cell r="E619">
            <v>104</v>
          </cell>
          <cell r="F619">
            <v>0.17962003454231423</v>
          </cell>
          <cell r="G619">
            <v>104</v>
          </cell>
          <cell r="H619">
            <v>43</v>
          </cell>
          <cell r="I619">
            <v>147</v>
          </cell>
        </row>
        <row r="620">
          <cell r="A620">
            <v>516031</v>
          </cell>
          <cell r="B620" t="str">
            <v>Sewing Machine Operators</v>
          </cell>
          <cell r="C620">
            <v>1468</v>
          </cell>
          <cell r="D620">
            <v>1619</v>
          </cell>
          <cell r="E620">
            <v>151</v>
          </cell>
          <cell r="F620">
            <v>0.10286103542234337</v>
          </cell>
          <cell r="G620">
            <v>151</v>
          </cell>
          <cell r="H620">
            <v>83</v>
          </cell>
          <cell r="I620">
            <v>234</v>
          </cell>
        </row>
        <row r="621">
          <cell r="A621">
            <v>516041</v>
          </cell>
          <cell r="B621" t="str">
            <v>Shoe and Leather Workers and Repairers</v>
          </cell>
          <cell r="C621">
            <v>207</v>
          </cell>
          <cell r="D621">
            <v>248</v>
          </cell>
          <cell r="E621">
            <v>41</v>
          </cell>
          <cell r="F621">
            <v>0.19806763285024154</v>
          </cell>
          <cell r="G621">
            <v>41</v>
          </cell>
          <cell r="H621">
            <v>76</v>
          </cell>
          <cell r="I621">
            <v>117</v>
          </cell>
        </row>
        <row r="622">
          <cell r="A622">
            <v>516042</v>
          </cell>
          <cell r="B622" t="str">
            <v>Shoe Machine Operators and Tenders</v>
          </cell>
          <cell r="C622">
            <v>496</v>
          </cell>
          <cell r="D622">
            <v>629</v>
          </cell>
          <cell r="E622">
            <v>133</v>
          </cell>
          <cell r="F622">
            <v>0.26814516129032251</v>
          </cell>
          <cell r="G622">
            <v>133</v>
          </cell>
          <cell r="H622">
            <v>75</v>
          </cell>
          <cell r="I622">
            <v>208</v>
          </cell>
        </row>
        <row r="623">
          <cell r="A623">
            <v>516051</v>
          </cell>
          <cell r="B623" t="str">
            <v>Sewers, Hand</v>
          </cell>
          <cell r="C623">
            <v>52</v>
          </cell>
          <cell r="D623">
            <v>58</v>
          </cell>
          <cell r="E623">
            <v>6</v>
          </cell>
          <cell r="F623">
            <v>0.11538461538461542</v>
          </cell>
          <cell r="G623">
            <v>6</v>
          </cell>
          <cell r="H623">
            <v>7</v>
          </cell>
          <cell r="I623">
            <v>13</v>
          </cell>
        </row>
        <row r="624">
          <cell r="A624">
            <v>516052</v>
          </cell>
          <cell r="B624" t="str">
            <v>Tailors, Dressmakers, and Custom Sewers</v>
          </cell>
          <cell r="C624">
            <v>249</v>
          </cell>
          <cell r="D624">
            <v>291</v>
          </cell>
          <cell r="E624">
            <v>42</v>
          </cell>
          <cell r="F624">
            <v>0.16867469879518082</v>
          </cell>
          <cell r="G624">
            <v>42</v>
          </cell>
          <cell r="H624">
            <v>36</v>
          </cell>
          <cell r="I624">
            <v>78</v>
          </cell>
        </row>
        <row r="625">
          <cell r="A625">
            <v>516062</v>
          </cell>
          <cell r="B625" t="str">
            <v>Textile Cutting Machine Setters, Operators, and Tenders</v>
          </cell>
          <cell r="C625">
            <v>69</v>
          </cell>
          <cell r="D625">
            <v>75</v>
          </cell>
          <cell r="E625">
            <v>6</v>
          </cell>
          <cell r="F625">
            <v>8.6956521739130377E-2</v>
          </cell>
          <cell r="G625">
            <v>6</v>
          </cell>
          <cell r="H625">
            <v>17</v>
          </cell>
          <cell r="I625">
            <v>23</v>
          </cell>
        </row>
        <row r="626">
          <cell r="A626">
            <v>516092</v>
          </cell>
          <cell r="B626" t="str">
            <v>Fabric and Apparel Patternmakers</v>
          </cell>
          <cell r="C626">
            <v>136</v>
          </cell>
          <cell r="D626">
            <v>166</v>
          </cell>
          <cell r="E626">
            <v>30</v>
          </cell>
          <cell r="F626">
            <v>0.22058823529411775</v>
          </cell>
          <cell r="G626">
            <v>30</v>
          </cell>
          <cell r="H626">
            <v>20</v>
          </cell>
          <cell r="I626">
            <v>50</v>
          </cell>
        </row>
        <row r="627">
          <cell r="A627">
            <v>516093</v>
          </cell>
          <cell r="B627" t="str">
            <v>Upholsterers</v>
          </cell>
          <cell r="C627">
            <v>281</v>
          </cell>
          <cell r="D627">
            <v>347</v>
          </cell>
          <cell r="E627">
            <v>66</v>
          </cell>
          <cell r="F627">
            <v>0.23487544483985756</v>
          </cell>
          <cell r="G627">
            <v>66</v>
          </cell>
          <cell r="H627">
            <v>82</v>
          </cell>
          <cell r="I627">
            <v>148</v>
          </cell>
        </row>
        <row r="628">
          <cell r="A628">
            <v>516099</v>
          </cell>
          <cell r="B628" t="str">
            <v>Textile, Apparel, and Furnishings Workers, All Other</v>
          </cell>
          <cell r="C628">
            <v>257</v>
          </cell>
          <cell r="D628">
            <v>307</v>
          </cell>
          <cell r="E628">
            <v>50</v>
          </cell>
          <cell r="F628">
            <v>0.19455252918287935</v>
          </cell>
          <cell r="G628">
            <v>50</v>
          </cell>
          <cell r="H628">
            <v>19</v>
          </cell>
          <cell r="I628">
            <v>69</v>
          </cell>
        </row>
        <row r="629">
          <cell r="A629">
            <v>517011</v>
          </cell>
          <cell r="B629" t="str">
            <v>Cabinetmakers and Bench Carpenters</v>
          </cell>
          <cell r="C629">
            <v>1634</v>
          </cell>
          <cell r="D629">
            <v>2085</v>
          </cell>
          <cell r="E629">
            <v>451</v>
          </cell>
          <cell r="F629">
            <v>0.27600979192166464</v>
          </cell>
          <cell r="G629">
            <v>451</v>
          </cell>
          <cell r="H629">
            <v>458</v>
          </cell>
          <cell r="I629">
            <v>909</v>
          </cell>
        </row>
        <row r="630">
          <cell r="A630">
            <v>517021</v>
          </cell>
          <cell r="B630" t="str">
            <v>Furniture Finishers</v>
          </cell>
          <cell r="C630">
            <v>270</v>
          </cell>
          <cell r="D630">
            <v>342</v>
          </cell>
          <cell r="E630">
            <v>72</v>
          </cell>
          <cell r="F630">
            <v>0.26666666666666661</v>
          </cell>
          <cell r="G630">
            <v>72</v>
          </cell>
          <cell r="H630">
            <v>75</v>
          </cell>
          <cell r="I630">
            <v>147</v>
          </cell>
        </row>
        <row r="631">
          <cell r="A631">
            <v>517032</v>
          </cell>
          <cell r="B631" t="str">
            <v>Patternmakers, Wood</v>
          </cell>
          <cell r="C631">
            <v>28</v>
          </cell>
          <cell r="D631">
            <v>34</v>
          </cell>
          <cell r="E631">
            <v>6</v>
          </cell>
          <cell r="F631">
            <v>0.21428571428571419</v>
          </cell>
          <cell r="G631">
            <v>6</v>
          </cell>
          <cell r="H631">
            <v>8</v>
          </cell>
          <cell r="I631">
            <v>14</v>
          </cell>
        </row>
        <row r="632">
          <cell r="A632">
            <v>517041</v>
          </cell>
          <cell r="B632" t="str">
            <v>Sawing Machine Setters, Operators, and Tenders, Wood</v>
          </cell>
          <cell r="C632">
            <v>1578</v>
          </cell>
          <cell r="D632">
            <v>1816</v>
          </cell>
          <cell r="E632">
            <v>238</v>
          </cell>
          <cell r="F632">
            <v>0.1508238276299112</v>
          </cell>
          <cell r="G632">
            <v>238</v>
          </cell>
          <cell r="H632">
            <v>368</v>
          </cell>
          <cell r="I632">
            <v>606</v>
          </cell>
        </row>
        <row r="633">
          <cell r="A633">
            <v>517042</v>
          </cell>
          <cell r="B633" t="str">
            <v>Woodworking Machine Setters, Operators, and Tenders, Except Sawing</v>
          </cell>
          <cell r="C633">
            <v>2059</v>
          </cell>
          <cell r="D633">
            <v>2389</v>
          </cell>
          <cell r="E633">
            <v>330</v>
          </cell>
          <cell r="F633">
            <v>0.16027197668771254</v>
          </cell>
          <cell r="G633">
            <v>330</v>
          </cell>
          <cell r="H633">
            <v>189</v>
          </cell>
          <cell r="I633">
            <v>519</v>
          </cell>
        </row>
        <row r="634">
          <cell r="A634">
            <v>517099</v>
          </cell>
          <cell r="B634" t="str">
            <v>Woodworkers, All Other</v>
          </cell>
          <cell r="C634">
            <v>506</v>
          </cell>
          <cell r="D634">
            <v>640</v>
          </cell>
          <cell r="E634">
            <v>134</v>
          </cell>
          <cell r="F634">
            <v>0.2648221343873518</v>
          </cell>
          <cell r="G634">
            <v>134</v>
          </cell>
          <cell r="H634">
            <v>141</v>
          </cell>
          <cell r="I634">
            <v>275</v>
          </cell>
        </row>
        <row r="635">
          <cell r="A635">
            <v>518012</v>
          </cell>
          <cell r="B635" t="str">
            <v>Power Distributors and Dispatchers</v>
          </cell>
          <cell r="C635">
            <v>257</v>
          </cell>
          <cell r="D635">
            <v>252</v>
          </cell>
          <cell r="E635">
            <v>-5</v>
          </cell>
          <cell r="F635">
            <v>-1.945525291828798E-2</v>
          </cell>
          <cell r="G635">
            <v>0</v>
          </cell>
          <cell r="H635">
            <v>90</v>
          </cell>
          <cell r="I635">
            <v>90</v>
          </cell>
        </row>
        <row r="636">
          <cell r="A636">
            <v>518013</v>
          </cell>
          <cell r="B636" t="str">
            <v>Power Plant Operators</v>
          </cell>
          <cell r="C636">
            <v>118</v>
          </cell>
          <cell r="D636">
            <v>126</v>
          </cell>
          <cell r="E636">
            <v>8</v>
          </cell>
          <cell r="F636">
            <v>6.7796610169491567E-2</v>
          </cell>
          <cell r="G636">
            <v>8</v>
          </cell>
          <cell r="H636">
            <v>43</v>
          </cell>
          <cell r="I636">
            <v>51</v>
          </cell>
        </row>
        <row r="637">
          <cell r="A637">
            <v>518021</v>
          </cell>
          <cell r="B637" t="str">
            <v>Stationary Engineers and Boiler Operators</v>
          </cell>
          <cell r="C637">
            <v>445</v>
          </cell>
          <cell r="D637">
            <v>380</v>
          </cell>
          <cell r="E637">
            <v>-65</v>
          </cell>
          <cell r="F637">
            <v>-0.1460674157303371</v>
          </cell>
          <cell r="G637">
            <v>0</v>
          </cell>
          <cell r="H637">
            <v>91</v>
          </cell>
          <cell r="I637">
            <v>91</v>
          </cell>
        </row>
        <row r="638">
          <cell r="A638">
            <v>518031</v>
          </cell>
          <cell r="B638" t="str">
            <v>Water and Liquid Waste Treatment Plant and System Operators</v>
          </cell>
          <cell r="C638">
            <v>1081</v>
          </cell>
          <cell r="D638">
            <v>1138</v>
          </cell>
          <cell r="E638">
            <v>57</v>
          </cell>
          <cell r="F638">
            <v>5.2728954671600325E-2</v>
          </cell>
          <cell r="G638">
            <v>57</v>
          </cell>
          <cell r="H638">
            <v>287</v>
          </cell>
          <cell r="I638">
            <v>344</v>
          </cell>
        </row>
        <row r="639">
          <cell r="A639">
            <v>518091</v>
          </cell>
          <cell r="B639" t="str">
            <v>Chemical Plant and System Operators</v>
          </cell>
          <cell r="C639">
            <v>152</v>
          </cell>
          <cell r="D639">
            <v>153</v>
          </cell>
          <cell r="E639">
            <v>1</v>
          </cell>
          <cell r="F639">
            <v>6.5789473684210176E-3</v>
          </cell>
          <cell r="G639">
            <v>1</v>
          </cell>
          <cell r="H639">
            <v>50</v>
          </cell>
          <cell r="I639">
            <v>51</v>
          </cell>
        </row>
        <row r="640">
          <cell r="A640">
            <v>518093</v>
          </cell>
          <cell r="B640" t="str">
            <v>Petroleum Pump System Operators, Refinery Operators, and Gaugers</v>
          </cell>
          <cell r="C640">
            <v>60</v>
          </cell>
          <cell r="D640">
            <v>66</v>
          </cell>
          <cell r="E640">
            <v>6</v>
          </cell>
          <cell r="F640">
            <v>0.10000000000000009</v>
          </cell>
          <cell r="G640">
            <v>6</v>
          </cell>
          <cell r="H640">
            <v>21</v>
          </cell>
          <cell r="I640">
            <v>27</v>
          </cell>
        </row>
        <row r="641">
          <cell r="A641">
            <v>518099</v>
          </cell>
          <cell r="B641" t="str">
            <v>Plant and System Operators, All Other</v>
          </cell>
          <cell r="C641">
            <v>166</v>
          </cell>
          <cell r="D641">
            <v>178</v>
          </cell>
          <cell r="E641">
            <v>12</v>
          </cell>
          <cell r="F641">
            <v>7.2289156626506035E-2</v>
          </cell>
          <cell r="G641">
            <v>12</v>
          </cell>
          <cell r="H641">
            <v>56</v>
          </cell>
          <cell r="I641">
            <v>68</v>
          </cell>
        </row>
        <row r="642">
          <cell r="A642">
            <v>519011</v>
          </cell>
          <cell r="B642" t="str">
            <v>Chemical Equipment Operators and Tenders</v>
          </cell>
          <cell r="C642">
            <v>294</v>
          </cell>
          <cell r="D642">
            <v>318</v>
          </cell>
          <cell r="E642">
            <v>24</v>
          </cell>
          <cell r="F642">
            <v>8.163265306122458E-2</v>
          </cell>
          <cell r="G642">
            <v>24</v>
          </cell>
          <cell r="H642">
            <v>49</v>
          </cell>
          <cell r="I642">
            <v>73</v>
          </cell>
        </row>
        <row r="643">
          <cell r="A643">
            <v>519012</v>
          </cell>
          <cell r="B643" t="str">
            <v>Separating, Filtering, Clarifying, Precipitating, and Still Machine Setters, Operators, and Tenders</v>
          </cell>
          <cell r="C643">
            <v>912</v>
          </cell>
          <cell r="D643">
            <v>1072</v>
          </cell>
          <cell r="E643">
            <v>160</v>
          </cell>
          <cell r="F643">
            <v>0.17543859649122817</v>
          </cell>
          <cell r="G643">
            <v>160</v>
          </cell>
          <cell r="H643">
            <v>160</v>
          </cell>
          <cell r="I643">
            <v>320</v>
          </cell>
        </row>
        <row r="644">
          <cell r="A644">
            <v>519021</v>
          </cell>
          <cell r="B644" t="str">
            <v>Crushing, Grinding, and Polishing Machine Setters, Operators, and Tenders</v>
          </cell>
          <cell r="C644">
            <v>529</v>
          </cell>
          <cell r="D644">
            <v>630</v>
          </cell>
          <cell r="E644">
            <v>101</v>
          </cell>
          <cell r="F644">
            <v>0.19092627599243861</v>
          </cell>
          <cell r="G644">
            <v>101</v>
          </cell>
          <cell r="H644">
            <v>173</v>
          </cell>
          <cell r="I644">
            <v>274</v>
          </cell>
        </row>
        <row r="645">
          <cell r="A645">
            <v>519022</v>
          </cell>
          <cell r="B645" t="str">
            <v>Grinding and Polishing Workers, Hand</v>
          </cell>
          <cell r="C645">
            <v>434</v>
          </cell>
          <cell r="D645">
            <v>536</v>
          </cell>
          <cell r="E645">
            <v>102</v>
          </cell>
          <cell r="F645">
            <v>0.23502304147465436</v>
          </cell>
          <cell r="G645">
            <v>102</v>
          </cell>
          <cell r="H645">
            <v>145</v>
          </cell>
          <cell r="I645">
            <v>247</v>
          </cell>
        </row>
        <row r="646">
          <cell r="A646">
            <v>519023</v>
          </cell>
          <cell r="B646" t="str">
            <v>Mixing and Blending Machine Setters, Operators, and Tenders</v>
          </cell>
          <cell r="C646">
            <v>980</v>
          </cell>
          <cell r="D646">
            <v>1091</v>
          </cell>
          <cell r="E646">
            <v>111</v>
          </cell>
          <cell r="F646">
            <v>0.11326530612244889</v>
          </cell>
          <cell r="G646">
            <v>111</v>
          </cell>
          <cell r="H646">
            <v>309</v>
          </cell>
          <cell r="I646">
            <v>420</v>
          </cell>
        </row>
        <row r="647">
          <cell r="A647">
            <v>519031</v>
          </cell>
          <cell r="B647" t="str">
            <v>Cutters and Trimmers, Hand</v>
          </cell>
          <cell r="C647">
            <v>555</v>
          </cell>
          <cell r="D647">
            <v>627</v>
          </cell>
          <cell r="E647">
            <v>72</v>
          </cell>
          <cell r="F647">
            <v>0.12972972972972974</v>
          </cell>
          <cell r="G647">
            <v>72</v>
          </cell>
          <cell r="H647">
            <v>131</v>
          </cell>
          <cell r="I647">
            <v>203</v>
          </cell>
        </row>
        <row r="648">
          <cell r="A648">
            <v>519032</v>
          </cell>
          <cell r="B648" t="str">
            <v>Cutting and Slicing Machine Setters, Operators, and Tenders</v>
          </cell>
          <cell r="C648">
            <v>783</v>
          </cell>
          <cell r="D648">
            <v>846</v>
          </cell>
          <cell r="E648">
            <v>63</v>
          </cell>
          <cell r="F648">
            <v>8.0459770114942541E-2</v>
          </cell>
          <cell r="G648">
            <v>63</v>
          </cell>
          <cell r="H648">
            <v>180</v>
          </cell>
          <cell r="I648">
            <v>243</v>
          </cell>
        </row>
        <row r="649">
          <cell r="A649">
            <v>519041</v>
          </cell>
          <cell r="B649" t="str">
            <v>Extruding, Forming, Pressing, and Compacting Machine Setters, Operators, and Tenders</v>
          </cell>
          <cell r="C649">
            <v>770</v>
          </cell>
          <cell r="D649">
            <v>910</v>
          </cell>
          <cell r="E649">
            <v>140</v>
          </cell>
          <cell r="F649">
            <v>0.18181818181818188</v>
          </cell>
          <cell r="G649">
            <v>140</v>
          </cell>
          <cell r="H649">
            <v>199</v>
          </cell>
          <cell r="I649">
            <v>339</v>
          </cell>
        </row>
        <row r="650">
          <cell r="A650">
            <v>519051</v>
          </cell>
          <cell r="B650" t="str">
            <v>Furnace, Kiln, Oven, Drier, and Kettle Operators and Tenders</v>
          </cell>
          <cell r="C650">
            <v>314</v>
          </cell>
          <cell r="D650">
            <v>355</v>
          </cell>
          <cell r="E650">
            <v>41</v>
          </cell>
          <cell r="F650">
            <v>0.13057324840764339</v>
          </cell>
          <cell r="G650">
            <v>41</v>
          </cell>
          <cell r="H650">
            <v>87</v>
          </cell>
          <cell r="I650">
            <v>128</v>
          </cell>
        </row>
        <row r="651">
          <cell r="A651">
            <v>519061</v>
          </cell>
          <cell r="B651" t="str">
            <v>Inspectors, Testers, Sorters, Samplers, and Weighers</v>
          </cell>
          <cell r="C651">
            <v>4843</v>
          </cell>
          <cell r="D651">
            <v>5719</v>
          </cell>
          <cell r="E651">
            <v>876</v>
          </cell>
          <cell r="F651">
            <v>0.18087962007020453</v>
          </cell>
          <cell r="G651">
            <v>876</v>
          </cell>
          <cell r="H651">
            <v>1150</v>
          </cell>
          <cell r="I651">
            <v>2026</v>
          </cell>
        </row>
        <row r="652">
          <cell r="A652">
            <v>519071</v>
          </cell>
          <cell r="B652" t="str">
            <v>Jewelers and Precious Stone and Metal Workers</v>
          </cell>
          <cell r="C652">
            <v>317</v>
          </cell>
          <cell r="D652">
            <v>372</v>
          </cell>
          <cell r="E652">
            <v>55</v>
          </cell>
          <cell r="F652">
            <v>0.17350157728706628</v>
          </cell>
          <cell r="G652">
            <v>55</v>
          </cell>
          <cell r="H652">
            <v>81</v>
          </cell>
          <cell r="I652">
            <v>136</v>
          </cell>
        </row>
        <row r="653">
          <cell r="A653">
            <v>519081</v>
          </cell>
          <cell r="B653" t="str">
            <v>Dental Laboratory Technicians</v>
          </cell>
          <cell r="C653">
            <v>804</v>
          </cell>
          <cell r="D653">
            <v>1060</v>
          </cell>
          <cell r="E653">
            <v>256</v>
          </cell>
          <cell r="F653">
            <v>0.31840796019900508</v>
          </cell>
          <cell r="G653">
            <v>256</v>
          </cell>
          <cell r="H653">
            <v>292</v>
          </cell>
          <cell r="I653">
            <v>548</v>
          </cell>
        </row>
        <row r="654">
          <cell r="A654">
            <v>519082</v>
          </cell>
          <cell r="B654" t="str">
            <v>Medical Appliance Technicians</v>
          </cell>
          <cell r="C654">
            <v>97</v>
          </cell>
          <cell r="D654">
            <v>124</v>
          </cell>
          <cell r="E654">
            <v>27</v>
          </cell>
          <cell r="F654">
            <v>0.27835051546391743</v>
          </cell>
          <cell r="G654">
            <v>27</v>
          </cell>
          <cell r="H654">
            <v>35</v>
          </cell>
          <cell r="I654">
            <v>62</v>
          </cell>
        </row>
        <row r="655">
          <cell r="A655">
            <v>519083</v>
          </cell>
          <cell r="B655" t="str">
            <v>Ophthalmic Laboratory Technicians</v>
          </cell>
          <cell r="C655">
            <v>471</v>
          </cell>
          <cell r="D655">
            <v>594</v>
          </cell>
          <cell r="E655">
            <v>123</v>
          </cell>
          <cell r="F655">
            <v>0.26114649681528657</v>
          </cell>
          <cell r="G655">
            <v>123</v>
          </cell>
          <cell r="H655">
            <v>167</v>
          </cell>
          <cell r="I655">
            <v>290</v>
          </cell>
        </row>
        <row r="656">
          <cell r="A656">
            <v>519111</v>
          </cell>
          <cell r="B656" t="str">
            <v>Packaging and Filling Machine Operators and Tenders</v>
          </cell>
          <cell r="C656">
            <v>5290</v>
          </cell>
          <cell r="D656">
            <v>5980</v>
          </cell>
          <cell r="E656">
            <v>690</v>
          </cell>
          <cell r="F656">
            <v>0.13043478260869557</v>
          </cell>
          <cell r="G656">
            <v>690</v>
          </cell>
          <cell r="H656">
            <v>929</v>
          </cell>
          <cell r="I656">
            <v>1619</v>
          </cell>
        </row>
        <row r="657">
          <cell r="A657">
            <v>519121</v>
          </cell>
          <cell r="B657" t="str">
            <v>Coating, Painting, and Spraying Machine Setters, Operators, and Tenders</v>
          </cell>
          <cell r="C657">
            <v>1033</v>
          </cell>
          <cell r="D657">
            <v>1223</v>
          </cell>
          <cell r="E657">
            <v>190</v>
          </cell>
          <cell r="F657">
            <v>0.18393030009680533</v>
          </cell>
          <cell r="G657">
            <v>190</v>
          </cell>
          <cell r="H657">
            <v>243</v>
          </cell>
          <cell r="I657">
            <v>433</v>
          </cell>
        </row>
        <row r="658">
          <cell r="A658">
            <v>519122</v>
          </cell>
          <cell r="B658" t="str">
            <v>Painters, Transportation Equipment</v>
          </cell>
          <cell r="C658">
            <v>705</v>
          </cell>
          <cell r="D658">
            <v>852</v>
          </cell>
          <cell r="E658">
            <v>147</v>
          </cell>
          <cell r="F658">
            <v>0.20851063829787231</v>
          </cell>
          <cell r="G658">
            <v>147</v>
          </cell>
          <cell r="H658">
            <v>168</v>
          </cell>
          <cell r="I658">
            <v>315</v>
          </cell>
        </row>
        <row r="659">
          <cell r="A659">
            <v>519123</v>
          </cell>
          <cell r="B659" t="str">
            <v>Painting, Coating, and Decorating Workers</v>
          </cell>
          <cell r="C659">
            <v>502</v>
          </cell>
          <cell r="D659">
            <v>608</v>
          </cell>
          <cell r="E659">
            <v>106</v>
          </cell>
          <cell r="F659">
            <v>0.21115537848605581</v>
          </cell>
          <cell r="G659">
            <v>106</v>
          </cell>
          <cell r="H659">
            <v>120</v>
          </cell>
          <cell r="I659">
            <v>226</v>
          </cell>
        </row>
        <row r="660">
          <cell r="A660">
            <v>519131</v>
          </cell>
          <cell r="B660" t="str">
            <v>Photographic Process Workers</v>
          </cell>
          <cell r="C660">
            <v>90</v>
          </cell>
          <cell r="D660">
            <v>84</v>
          </cell>
          <cell r="E660">
            <v>-6</v>
          </cell>
          <cell r="F660">
            <v>-6.6666666666666652E-2</v>
          </cell>
          <cell r="G660">
            <v>0</v>
          </cell>
          <cell r="H660">
            <v>22</v>
          </cell>
          <cell r="I660">
            <v>22</v>
          </cell>
        </row>
        <row r="661">
          <cell r="A661">
            <v>519132</v>
          </cell>
          <cell r="B661" t="str">
            <v>Photographic Processing Machine Operators</v>
          </cell>
          <cell r="C661">
            <v>403</v>
          </cell>
          <cell r="D661">
            <v>434</v>
          </cell>
          <cell r="E661">
            <v>31</v>
          </cell>
          <cell r="F661">
            <v>7.6923076923076872E-2</v>
          </cell>
          <cell r="G661">
            <v>31</v>
          </cell>
          <cell r="H661">
            <v>104</v>
          </cell>
          <cell r="I661">
            <v>135</v>
          </cell>
        </row>
        <row r="662">
          <cell r="A662">
            <v>519141</v>
          </cell>
          <cell r="B662" t="str">
            <v>Semiconductor Processors</v>
          </cell>
          <cell r="C662">
            <v>2108</v>
          </cell>
          <cell r="D662">
            <v>2368</v>
          </cell>
          <cell r="E662">
            <v>260</v>
          </cell>
          <cell r="F662">
            <v>0.12333965844402273</v>
          </cell>
          <cell r="G662">
            <v>260</v>
          </cell>
          <cell r="H662">
            <v>529</v>
          </cell>
          <cell r="I662">
            <v>789</v>
          </cell>
        </row>
        <row r="663">
          <cell r="A663">
            <v>519191</v>
          </cell>
          <cell r="B663" t="str">
            <v>Cementing and Gluing Machine Operators and Tenders</v>
          </cell>
          <cell r="C663">
            <v>285</v>
          </cell>
          <cell r="D663">
            <v>320</v>
          </cell>
          <cell r="E663">
            <v>35</v>
          </cell>
          <cell r="F663">
            <v>0.12280701754385959</v>
          </cell>
          <cell r="G663">
            <v>35</v>
          </cell>
          <cell r="H663">
            <v>42</v>
          </cell>
          <cell r="I663">
            <v>77</v>
          </cell>
        </row>
        <row r="664">
          <cell r="A664">
            <v>519192</v>
          </cell>
          <cell r="B664" t="str">
            <v>Cleaning, Washing, and Pickling Equipment Operators and Tenders</v>
          </cell>
          <cell r="C664">
            <v>408</v>
          </cell>
          <cell r="D664">
            <v>450</v>
          </cell>
          <cell r="E664">
            <v>42</v>
          </cell>
          <cell r="F664">
            <v>0.10294117647058831</v>
          </cell>
          <cell r="G664">
            <v>42</v>
          </cell>
          <cell r="H664">
            <v>101</v>
          </cell>
          <cell r="I664">
            <v>143</v>
          </cell>
        </row>
        <row r="665">
          <cell r="A665">
            <v>519193</v>
          </cell>
          <cell r="B665" t="str">
            <v>Cooling and Freezing Equipment Operators and Tenders</v>
          </cell>
          <cell r="C665">
            <v>145</v>
          </cell>
          <cell r="D665">
            <v>162</v>
          </cell>
          <cell r="E665">
            <v>17</v>
          </cell>
          <cell r="F665">
            <v>0.11724137931034484</v>
          </cell>
          <cell r="G665">
            <v>17</v>
          </cell>
          <cell r="H665">
            <v>36</v>
          </cell>
          <cell r="I665">
            <v>53</v>
          </cell>
        </row>
        <row r="666">
          <cell r="A666">
            <v>519194</v>
          </cell>
          <cell r="B666" t="str">
            <v>Etchers and Engravers</v>
          </cell>
          <cell r="C666">
            <v>105</v>
          </cell>
          <cell r="D666">
            <v>122</v>
          </cell>
          <cell r="E666">
            <v>17</v>
          </cell>
          <cell r="F666">
            <v>0.161904761904762</v>
          </cell>
          <cell r="G666">
            <v>17</v>
          </cell>
          <cell r="H666">
            <v>6</v>
          </cell>
          <cell r="I666">
            <v>23</v>
          </cell>
        </row>
        <row r="667">
          <cell r="A667">
            <v>519195</v>
          </cell>
          <cell r="B667" t="str">
            <v>Molders, Shapers, and Casters, Except Metal and Plastic</v>
          </cell>
          <cell r="C667">
            <v>304</v>
          </cell>
          <cell r="D667">
            <v>368</v>
          </cell>
          <cell r="E667">
            <v>64</v>
          </cell>
          <cell r="F667">
            <v>0.21052631578947367</v>
          </cell>
          <cell r="G667">
            <v>64</v>
          </cell>
          <cell r="H667">
            <v>123</v>
          </cell>
          <cell r="I667">
            <v>187</v>
          </cell>
        </row>
        <row r="668">
          <cell r="A668">
            <v>519196</v>
          </cell>
          <cell r="B668" t="str">
            <v>Paper Goods Machine Setters, Operators, and Tenders</v>
          </cell>
          <cell r="C668">
            <v>1055</v>
          </cell>
          <cell r="D668">
            <v>908</v>
          </cell>
          <cell r="E668">
            <v>-147</v>
          </cell>
          <cell r="F668">
            <v>-0.13933649289099526</v>
          </cell>
          <cell r="G668">
            <v>0</v>
          </cell>
          <cell r="H668">
            <v>98</v>
          </cell>
          <cell r="I668">
            <v>98</v>
          </cell>
        </row>
        <row r="669">
          <cell r="A669">
            <v>519197</v>
          </cell>
          <cell r="B669" t="str">
            <v>Tire Builders</v>
          </cell>
          <cell r="C669">
            <v>125</v>
          </cell>
          <cell r="D669">
            <v>154</v>
          </cell>
          <cell r="E669">
            <v>29</v>
          </cell>
          <cell r="F669">
            <v>0.23199999999999998</v>
          </cell>
          <cell r="G669">
            <v>29</v>
          </cell>
          <cell r="H669">
            <v>58</v>
          </cell>
          <cell r="I669">
            <v>87</v>
          </cell>
        </row>
        <row r="670">
          <cell r="A670">
            <v>519198</v>
          </cell>
          <cell r="B670" t="str">
            <v>Production Worker's Helpers</v>
          </cell>
          <cell r="C670">
            <v>3349</v>
          </cell>
          <cell r="D670">
            <v>3964</v>
          </cell>
          <cell r="E670">
            <v>615</v>
          </cell>
          <cell r="F670">
            <v>0.18363690653926534</v>
          </cell>
          <cell r="G670">
            <v>615</v>
          </cell>
          <cell r="H670">
            <v>606</v>
          </cell>
          <cell r="I670">
            <v>1221</v>
          </cell>
        </row>
        <row r="671">
          <cell r="A671">
            <v>519199</v>
          </cell>
          <cell r="B671" t="str">
            <v>Production Workers, All Other</v>
          </cell>
          <cell r="C671">
            <v>6586</v>
          </cell>
          <cell r="D671">
            <v>7889</v>
          </cell>
          <cell r="E671">
            <v>1303</v>
          </cell>
          <cell r="F671">
            <v>0.19784391132705736</v>
          </cell>
          <cell r="G671">
            <v>1303</v>
          </cell>
          <cell r="H671">
            <v>1894</v>
          </cell>
          <cell r="I671">
            <v>3197</v>
          </cell>
        </row>
        <row r="672">
          <cell r="A672">
            <v>531011</v>
          </cell>
          <cell r="B672" t="str">
            <v>Aircraft Cargo Handling Supervisors</v>
          </cell>
          <cell r="C672">
            <v>53</v>
          </cell>
          <cell r="D672">
            <v>61</v>
          </cell>
          <cell r="E672">
            <v>8</v>
          </cell>
          <cell r="F672">
            <v>0.15094339622641506</v>
          </cell>
          <cell r="G672">
            <v>8</v>
          </cell>
          <cell r="H672">
            <v>12</v>
          </cell>
          <cell r="I672">
            <v>20</v>
          </cell>
        </row>
        <row r="673">
          <cell r="A673">
            <v>531021</v>
          </cell>
          <cell r="B673" t="str">
            <v>Supervisors and Managers of Transportation Helpers, Laborers, and Material Movers, Hand</v>
          </cell>
          <cell r="C673">
            <v>1839</v>
          </cell>
          <cell r="D673">
            <v>2179</v>
          </cell>
          <cell r="E673">
            <v>340</v>
          </cell>
          <cell r="F673">
            <v>0.18488308863512781</v>
          </cell>
          <cell r="G673">
            <v>340</v>
          </cell>
          <cell r="H673">
            <v>413</v>
          </cell>
          <cell r="I673">
            <v>753</v>
          </cell>
        </row>
        <row r="674">
          <cell r="A674">
            <v>531031</v>
          </cell>
          <cell r="B674" t="str">
            <v>Supervisors and Managers of Transportation and Material-Moving Machine and Vehicle Operators</v>
          </cell>
          <cell r="C674">
            <v>2915</v>
          </cell>
          <cell r="D674">
            <v>3412</v>
          </cell>
          <cell r="E674">
            <v>497</v>
          </cell>
          <cell r="F674">
            <v>0.17049742710120075</v>
          </cell>
          <cell r="G674">
            <v>497</v>
          </cell>
          <cell r="H674">
            <v>651</v>
          </cell>
          <cell r="I674">
            <v>1148</v>
          </cell>
        </row>
        <row r="675">
          <cell r="A675">
            <v>532011</v>
          </cell>
          <cell r="B675" t="str">
            <v>Airline Pilots, Copilots, and Flight Engineers</v>
          </cell>
          <cell r="C675">
            <v>561</v>
          </cell>
          <cell r="D675">
            <v>650</v>
          </cell>
          <cell r="E675">
            <v>89</v>
          </cell>
          <cell r="F675">
            <v>0.15864527629233516</v>
          </cell>
          <cell r="G675">
            <v>89</v>
          </cell>
          <cell r="H675">
            <v>229</v>
          </cell>
          <cell r="I675">
            <v>318</v>
          </cell>
        </row>
        <row r="676">
          <cell r="A676">
            <v>532012</v>
          </cell>
          <cell r="B676" t="str">
            <v>Commercial Pilots, Except Airline Pilots</v>
          </cell>
          <cell r="C676">
            <v>680</v>
          </cell>
          <cell r="D676">
            <v>867</v>
          </cell>
          <cell r="E676">
            <v>187</v>
          </cell>
          <cell r="F676">
            <v>0.27499999999999991</v>
          </cell>
          <cell r="G676">
            <v>187</v>
          </cell>
          <cell r="H676">
            <v>293</v>
          </cell>
          <cell r="I676">
            <v>480</v>
          </cell>
        </row>
        <row r="677">
          <cell r="A677" t="str">
            <v>532021</v>
          </cell>
          <cell r="B677" t="str">
            <v>Air Traffic Controllers</v>
          </cell>
          <cell r="C677">
            <v>207</v>
          </cell>
          <cell r="D677">
            <v>220</v>
          </cell>
          <cell r="E677">
            <v>13</v>
          </cell>
          <cell r="F677">
            <v>6.2801932367149815E-2</v>
          </cell>
          <cell r="G677">
            <v>13</v>
          </cell>
          <cell r="H677">
            <v>81</v>
          </cell>
          <cell r="I677">
            <v>94</v>
          </cell>
        </row>
        <row r="678">
          <cell r="A678">
            <v>532022</v>
          </cell>
          <cell r="B678" t="str">
            <v>Airfield Operations Specialists</v>
          </cell>
          <cell r="C678">
            <v>68</v>
          </cell>
          <cell r="D678">
            <v>84</v>
          </cell>
          <cell r="E678">
            <v>16</v>
          </cell>
          <cell r="F678">
            <v>0.23529411764705888</v>
          </cell>
          <cell r="G678">
            <v>16</v>
          </cell>
          <cell r="H678">
            <v>29</v>
          </cell>
          <cell r="I678">
            <v>45</v>
          </cell>
        </row>
        <row r="679">
          <cell r="A679">
            <v>533011</v>
          </cell>
          <cell r="B679" t="str">
            <v>Ambulance Drivers and Attendants, Except Emergency Medical Technicians</v>
          </cell>
          <cell r="C679">
            <v>148</v>
          </cell>
          <cell r="D679">
            <v>166</v>
          </cell>
          <cell r="E679">
            <v>18</v>
          </cell>
          <cell r="F679">
            <v>0.12162162162162171</v>
          </cell>
          <cell r="G679">
            <v>18</v>
          </cell>
          <cell r="H679">
            <v>30</v>
          </cell>
          <cell r="I679">
            <v>48</v>
          </cell>
        </row>
        <row r="680">
          <cell r="A680">
            <v>533021</v>
          </cell>
          <cell r="B680" t="str">
            <v>Bus Drivers, Transit and Intercity</v>
          </cell>
          <cell r="C680">
            <v>2768</v>
          </cell>
          <cell r="D680">
            <v>3098</v>
          </cell>
          <cell r="E680">
            <v>330</v>
          </cell>
          <cell r="F680">
            <v>0.1192196531791907</v>
          </cell>
          <cell r="G680">
            <v>330</v>
          </cell>
          <cell r="H680">
            <v>567</v>
          </cell>
          <cell r="I680">
            <v>897</v>
          </cell>
        </row>
        <row r="681">
          <cell r="A681">
            <v>533022</v>
          </cell>
          <cell r="B681" t="str">
            <v>Bus Drivers, School</v>
          </cell>
          <cell r="C681">
            <v>6149</v>
          </cell>
          <cell r="D681">
            <v>6837</v>
          </cell>
          <cell r="E681">
            <v>688</v>
          </cell>
          <cell r="F681">
            <v>0.11188811188811187</v>
          </cell>
          <cell r="G681">
            <v>688</v>
          </cell>
          <cell r="H681">
            <v>1254</v>
          </cell>
          <cell r="I681">
            <v>1942</v>
          </cell>
        </row>
        <row r="682">
          <cell r="A682">
            <v>533031</v>
          </cell>
          <cell r="B682" t="str">
            <v>Driver/Sales Workers</v>
          </cell>
          <cell r="C682">
            <v>6173</v>
          </cell>
          <cell r="D682">
            <v>7226</v>
          </cell>
          <cell r="E682">
            <v>1053</v>
          </cell>
          <cell r="F682">
            <v>0.1705815648793132</v>
          </cell>
          <cell r="G682">
            <v>1053</v>
          </cell>
          <cell r="H682">
            <v>1333</v>
          </cell>
          <cell r="I682">
            <v>2386</v>
          </cell>
        </row>
        <row r="683">
          <cell r="A683">
            <v>533032</v>
          </cell>
          <cell r="B683" t="str">
            <v>Truck Drivers, Heavy and Tractor-Trailer</v>
          </cell>
          <cell r="C683">
            <v>20706</v>
          </cell>
          <cell r="D683">
            <v>24947</v>
          </cell>
          <cell r="E683">
            <v>4241</v>
          </cell>
          <cell r="F683">
            <v>0.20481985897807409</v>
          </cell>
          <cell r="G683">
            <v>4241</v>
          </cell>
          <cell r="H683">
            <v>4541</v>
          </cell>
          <cell r="I683">
            <v>8782</v>
          </cell>
        </row>
        <row r="684">
          <cell r="A684">
            <v>533033</v>
          </cell>
          <cell r="B684" t="str">
            <v>Truck Drivers, Light or Delivery Services</v>
          </cell>
          <cell r="C684">
            <v>8195</v>
          </cell>
          <cell r="D684">
            <v>9574</v>
          </cell>
          <cell r="E684">
            <v>1379</v>
          </cell>
          <cell r="F684">
            <v>0.16827333740085426</v>
          </cell>
          <cell r="G684">
            <v>1379</v>
          </cell>
          <cell r="H684">
            <v>1767</v>
          </cell>
          <cell r="I684">
            <v>3146</v>
          </cell>
        </row>
        <row r="685">
          <cell r="A685">
            <v>533041</v>
          </cell>
          <cell r="B685" t="str">
            <v>Taxi Drivers and Chauffeurs</v>
          </cell>
          <cell r="C685">
            <v>1457</v>
          </cell>
          <cell r="D685">
            <v>1749</v>
          </cell>
          <cell r="E685">
            <v>292</v>
          </cell>
          <cell r="F685">
            <v>0.20041180507892942</v>
          </cell>
          <cell r="G685">
            <v>292</v>
          </cell>
          <cell r="H685">
            <v>199</v>
          </cell>
          <cell r="I685">
            <v>491</v>
          </cell>
        </row>
        <row r="686">
          <cell r="A686">
            <v>533099</v>
          </cell>
          <cell r="B686" t="str">
            <v>Motor Vehicle Operators, All Other</v>
          </cell>
          <cell r="C686">
            <v>1057</v>
          </cell>
          <cell r="D686">
            <v>1296</v>
          </cell>
          <cell r="E686">
            <v>239</v>
          </cell>
          <cell r="F686">
            <v>0.22611163670766321</v>
          </cell>
          <cell r="G686">
            <v>239</v>
          </cell>
          <cell r="H686">
            <v>227</v>
          </cell>
          <cell r="I686">
            <v>466</v>
          </cell>
        </row>
        <row r="687">
          <cell r="A687">
            <v>534011</v>
          </cell>
          <cell r="B687" t="str">
            <v>Locomotive Engineers</v>
          </cell>
          <cell r="C687">
            <v>396</v>
          </cell>
          <cell r="D687">
            <v>402</v>
          </cell>
          <cell r="E687">
            <v>6</v>
          </cell>
          <cell r="F687">
            <v>1.5151515151515138E-2</v>
          </cell>
          <cell r="G687">
            <v>6</v>
          </cell>
          <cell r="H687">
            <v>142</v>
          </cell>
          <cell r="I687">
            <v>148</v>
          </cell>
        </row>
        <row r="688">
          <cell r="A688">
            <v>534013</v>
          </cell>
          <cell r="B688" t="str">
            <v>Rail Yard Engineers, Dinkey Operators, and Hostlers</v>
          </cell>
          <cell r="C688">
            <v>37</v>
          </cell>
          <cell r="D688">
            <v>48</v>
          </cell>
          <cell r="E688">
            <v>11</v>
          </cell>
          <cell r="F688">
            <v>0.29729729729729737</v>
          </cell>
          <cell r="G688">
            <v>11</v>
          </cell>
          <cell r="H688">
            <v>15</v>
          </cell>
          <cell r="I688">
            <v>26</v>
          </cell>
        </row>
        <row r="689">
          <cell r="A689">
            <v>534021</v>
          </cell>
          <cell r="B689" t="str">
            <v>Railroad Brake, Signal, and Switch Operators</v>
          </cell>
          <cell r="C689">
            <v>382</v>
          </cell>
          <cell r="D689">
            <v>391</v>
          </cell>
          <cell r="E689">
            <v>9</v>
          </cell>
          <cell r="F689">
            <v>2.3560209424083878E-2</v>
          </cell>
          <cell r="G689">
            <v>9</v>
          </cell>
          <cell r="H689">
            <v>127</v>
          </cell>
          <cell r="I689">
            <v>136</v>
          </cell>
        </row>
        <row r="690">
          <cell r="A690">
            <v>534031</v>
          </cell>
          <cell r="B690" t="str">
            <v>Railroad Conductors and Yardmasters</v>
          </cell>
          <cell r="C690">
            <v>475</v>
          </cell>
          <cell r="D690">
            <v>478</v>
          </cell>
          <cell r="E690">
            <v>3</v>
          </cell>
          <cell r="F690">
            <v>6.3157894736842746E-3</v>
          </cell>
          <cell r="G690">
            <v>3</v>
          </cell>
          <cell r="H690">
            <v>145</v>
          </cell>
          <cell r="I690">
            <v>148</v>
          </cell>
        </row>
        <row r="691">
          <cell r="A691">
            <v>534041</v>
          </cell>
          <cell r="B691" t="str">
            <v>Subway and Streetcar Operators</v>
          </cell>
          <cell r="C691">
            <v>172</v>
          </cell>
          <cell r="D691">
            <v>187</v>
          </cell>
          <cell r="E691">
            <v>15</v>
          </cell>
          <cell r="F691">
            <v>8.7209302325581328E-2</v>
          </cell>
          <cell r="G691">
            <v>15</v>
          </cell>
          <cell r="H691">
            <v>59</v>
          </cell>
          <cell r="I691">
            <v>74</v>
          </cell>
        </row>
        <row r="692">
          <cell r="A692">
            <v>534099</v>
          </cell>
          <cell r="B692" t="str">
            <v>Rail Transportation Workers, All Other</v>
          </cell>
          <cell r="C692">
            <v>26</v>
          </cell>
          <cell r="D692">
            <v>26</v>
          </cell>
          <cell r="E692">
            <v>0</v>
          </cell>
          <cell r="F692">
            <v>0</v>
          </cell>
          <cell r="G692">
            <v>0</v>
          </cell>
          <cell r="H692">
            <v>9</v>
          </cell>
          <cell r="I692">
            <v>9</v>
          </cell>
        </row>
        <row r="693">
          <cell r="A693">
            <v>535011</v>
          </cell>
          <cell r="B693" t="str">
            <v>Sailors and Marine Oilers</v>
          </cell>
          <cell r="C693">
            <v>278</v>
          </cell>
          <cell r="D693">
            <v>357</v>
          </cell>
          <cell r="E693">
            <v>79</v>
          </cell>
          <cell r="F693">
            <v>0.28417266187050361</v>
          </cell>
          <cell r="G693">
            <v>79</v>
          </cell>
          <cell r="H693">
            <v>136</v>
          </cell>
          <cell r="I693">
            <v>215</v>
          </cell>
        </row>
        <row r="694">
          <cell r="A694">
            <v>535021</v>
          </cell>
          <cell r="B694" t="str">
            <v>Captains, Mates, and Pilots of Water Vessels</v>
          </cell>
          <cell r="C694">
            <v>204</v>
          </cell>
          <cell r="D694">
            <v>251</v>
          </cell>
          <cell r="E694">
            <v>47</v>
          </cell>
          <cell r="F694">
            <v>0.23039215686274517</v>
          </cell>
          <cell r="G694">
            <v>47</v>
          </cell>
          <cell r="H694">
            <v>84</v>
          </cell>
          <cell r="I694">
            <v>131</v>
          </cell>
        </row>
        <row r="695">
          <cell r="A695">
            <v>535022</v>
          </cell>
          <cell r="B695" t="str">
            <v>Motorboat Operators</v>
          </cell>
          <cell r="C695">
            <v>46</v>
          </cell>
          <cell r="D695">
            <v>51</v>
          </cell>
          <cell r="E695">
            <v>5</v>
          </cell>
          <cell r="F695">
            <v>0.10869565217391308</v>
          </cell>
          <cell r="G695">
            <v>5</v>
          </cell>
          <cell r="H695">
            <v>18</v>
          </cell>
          <cell r="I695">
            <v>23</v>
          </cell>
        </row>
        <row r="696">
          <cell r="A696">
            <v>535031</v>
          </cell>
          <cell r="B696" t="str">
            <v>Ship Engineers</v>
          </cell>
          <cell r="C696">
            <v>44</v>
          </cell>
          <cell r="D696">
            <v>64</v>
          </cell>
          <cell r="E696">
            <v>20</v>
          </cell>
          <cell r="F696">
            <v>0.45454545454545459</v>
          </cell>
          <cell r="G696">
            <v>20</v>
          </cell>
          <cell r="H696">
            <v>23</v>
          </cell>
          <cell r="I696">
            <v>43</v>
          </cell>
        </row>
        <row r="697">
          <cell r="A697">
            <v>536011</v>
          </cell>
          <cell r="B697" t="str">
            <v>Bridge and Lock Tenders</v>
          </cell>
          <cell r="C697">
            <v>36</v>
          </cell>
          <cell r="D697">
            <v>37</v>
          </cell>
          <cell r="E697">
            <v>1</v>
          </cell>
          <cell r="F697">
            <v>2.7777777777777679E-2</v>
          </cell>
          <cell r="G697">
            <v>1</v>
          </cell>
          <cell r="H697">
            <v>11</v>
          </cell>
          <cell r="I697">
            <v>12</v>
          </cell>
        </row>
        <row r="698">
          <cell r="A698">
            <v>536021</v>
          </cell>
          <cell r="B698" t="str">
            <v>Parking Lot Attendants</v>
          </cell>
          <cell r="C698">
            <v>1204</v>
          </cell>
          <cell r="D698">
            <v>1367</v>
          </cell>
          <cell r="E698">
            <v>163</v>
          </cell>
          <cell r="F698">
            <v>0.13538205980066453</v>
          </cell>
          <cell r="G698">
            <v>163</v>
          </cell>
          <cell r="H698">
            <v>383</v>
          </cell>
          <cell r="I698">
            <v>546</v>
          </cell>
        </row>
        <row r="699">
          <cell r="A699">
            <v>536031</v>
          </cell>
          <cell r="B699" t="str">
            <v>Service Station Attendants</v>
          </cell>
          <cell r="C699">
            <v>7765</v>
          </cell>
          <cell r="D699">
            <v>8125</v>
          </cell>
          <cell r="E699">
            <v>360</v>
          </cell>
          <cell r="F699">
            <v>4.6361880231809316E-2</v>
          </cell>
          <cell r="G699">
            <v>360</v>
          </cell>
          <cell r="H699">
            <v>2610</v>
          </cell>
          <cell r="I699">
            <v>2970</v>
          </cell>
        </row>
        <row r="700">
          <cell r="A700">
            <v>536041</v>
          </cell>
          <cell r="B700" t="str">
            <v>Traffic Technicians</v>
          </cell>
          <cell r="C700">
            <v>67</v>
          </cell>
          <cell r="D700">
            <v>73</v>
          </cell>
          <cell r="E700">
            <v>6</v>
          </cell>
          <cell r="F700">
            <v>8.9552238805970186E-2</v>
          </cell>
          <cell r="G700">
            <v>6</v>
          </cell>
          <cell r="H700">
            <v>21</v>
          </cell>
          <cell r="I700">
            <v>27</v>
          </cell>
        </row>
        <row r="701">
          <cell r="A701">
            <v>536051</v>
          </cell>
          <cell r="B701" t="str">
            <v>Transportation Inspectors</v>
          </cell>
          <cell r="C701">
            <v>350</v>
          </cell>
          <cell r="D701">
            <v>376</v>
          </cell>
          <cell r="E701">
            <v>26</v>
          </cell>
          <cell r="F701">
            <v>7.4285714285714288E-2</v>
          </cell>
          <cell r="G701">
            <v>26</v>
          </cell>
          <cell r="H701">
            <v>89</v>
          </cell>
          <cell r="I701">
            <v>115</v>
          </cell>
        </row>
        <row r="702">
          <cell r="A702">
            <v>536099</v>
          </cell>
          <cell r="B702" t="str">
            <v>Transportation Workers, All Other</v>
          </cell>
          <cell r="C702">
            <v>455</v>
          </cell>
          <cell r="D702">
            <v>561</v>
          </cell>
          <cell r="E702">
            <v>106</v>
          </cell>
          <cell r="F702">
            <v>0.23296703296703303</v>
          </cell>
          <cell r="G702">
            <v>106</v>
          </cell>
          <cell r="H702">
            <v>152</v>
          </cell>
          <cell r="I702">
            <v>258</v>
          </cell>
        </row>
        <row r="703">
          <cell r="A703">
            <v>537011</v>
          </cell>
          <cell r="B703" t="str">
            <v>Conveyor Operators and Tenders</v>
          </cell>
          <cell r="C703">
            <v>254</v>
          </cell>
          <cell r="D703">
            <v>298</v>
          </cell>
          <cell r="E703">
            <v>44</v>
          </cell>
          <cell r="F703">
            <v>0.17322834645669283</v>
          </cell>
          <cell r="G703">
            <v>44</v>
          </cell>
          <cell r="H703">
            <v>82</v>
          </cell>
          <cell r="I703">
            <v>126</v>
          </cell>
        </row>
        <row r="704">
          <cell r="A704">
            <v>537021</v>
          </cell>
          <cell r="B704" t="str">
            <v>Crane and Tower Operators</v>
          </cell>
          <cell r="C704">
            <v>471</v>
          </cell>
          <cell r="D704">
            <v>575</v>
          </cell>
          <cell r="E704">
            <v>104</v>
          </cell>
          <cell r="F704">
            <v>0.22080679405520165</v>
          </cell>
          <cell r="G704">
            <v>104</v>
          </cell>
          <cell r="H704">
            <v>142</v>
          </cell>
          <cell r="I704">
            <v>246</v>
          </cell>
        </row>
        <row r="705">
          <cell r="A705">
            <v>537031</v>
          </cell>
          <cell r="B705" t="str">
            <v>Dredge Operators</v>
          </cell>
          <cell r="C705">
            <v>35</v>
          </cell>
          <cell r="D705">
            <v>40</v>
          </cell>
          <cell r="E705">
            <v>5</v>
          </cell>
          <cell r="F705">
            <v>0.14285714285714279</v>
          </cell>
          <cell r="G705">
            <v>5</v>
          </cell>
          <cell r="H705">
            <v>11</v>
          </cell>
          <cell r="I705">
            <v>16</v>
          </cell>
        </row>
        <row r="706">
          <cell r="A706">
            <v>537032</v>
          </cell>
          <cell r="B706" t="str">
            <v>Excavating and Loading Machine and Dragline Operators</v>
          </cell>
          <cell r="C706">
            <v>905</v>
          </cell>
          <cell r="D706">
            <v>1123</v>
          </cell>
          <cell r="E706">
            <v>218</v>
          </cell>
          <cell r="F706">
            <v>0.24088397790055249</v>
          </cell>
          <cell r="G706">
            <v>218</v>
          </cell>
          <cell r="H706">
            <v>300</v>
          </cell>
          <cell r="I706">
            <v>518</v>
          </cell>
        </row>
        <row r="707">
          <cell r="A707">
            <v>537041</v>
          </cell>
          <cell r="B707" t="str">
            <v>Hoist and Winch Operators</v>
          </cell>
          <cell r="C707">
            <v>242</v>
          </cell>
          <cell r="D707">
            <v>283</v>
          </cell>
          <cell r="E707">
            <v>41</v>
          </cell>
          <cell r="F707">
            <v>0.16942148760330578</v>
          </cell>
          <cell r="G707">
            <v>41</v>
          </cell>
          <cell r="H707">
            <v>93</v>
          </cell>
          <cell r="I707">
            <v>134</v>
          </cell>
        </row>
        <row r="708">
          <cell r="A708">
            <v>537051</v>
          </cell>
          <cell r="B708" t="str">
            <v>Fork Lift, Industrial Truck and Tractor Operators</v>
          </cell>
          <cell r="C708">
            <v>8717</v>
          </cell>
          <cell r="D708">
            <v>10272</v>
          </cell>
          <cell r="E708">
            <v>1555</v>
          </cell>
          <cell r="G708">
            <v>1555</v>
          </cell>
          <cell r="H708">
            <v>2690</v>
          </cell>
          <cell r="I708">
            <v>4245</v>
          </cell>
        </row>
        <row r="709">
          <cell r="A709">
            <v>537061</v>
          </cell>
          <cell r="B709" t="str">
            <v>Cleaners of Vehicles and Equipment</v>
          </cell>
          <cell r="C709">
            <v>4078</v>
          </cell>
          <cell r="D709">
            <v>4822</v>
          </cell>
          <cell r="E709">
            <v>744</v>
          </cell>
          <cell r="F709">
            <v>0.18244237371260419</v>
          </cell>
          <cell r="G709">
            <v>744</v>
          </cell>
          <cell r="H709">
            <v>1321</v>
          </cell>
          <cell r="I709">
            <v>2065</v>
          </cell>
        </row>
        <row r="710">
          <cell r="A710">
            <v>537062</v>
          </cell>
          <cell r="B710" t="str">
            <v>Laborers and Freight, Stock, and Material Movers, Hand</v>
          </cell>
          <cell r="C710">
            <v>22590</v>
          </cell>
          <cell r="D710">
            <v>26825</v>
          </cell>
          <cell r="E710">
            <v>4235</v>
          </cell>
          <cell r="F710">
            <v>0.18747233289065957</v>
          </cell>
          <cell r="G710">
            <v>4235</v>
          </cell>
          <cell r="H710">
            <v>7898</v>
          </cell>
          <cell r="I710">
            <v>12133</v>
          </cell>
        </row>
        <row r="711">
          <cell r="A711">
            <v>537063</v>
          </cell>
          <cell r="B711" t="str">
            <v>Machine Feeders and Offbearers</v>
          </cell>
          <cell r="C711">
            <v>4780</v>
          </cell>
          <cell r="D711">
            <v>5421</v>
          </cell>
          <cell r="E711">
            <v>641</v>
          </cell>
          <cell r="F711">
            <v>0.13410041841004183</v>
          </cell>
          <cell r="G711">
            <v>641</v>
          </cell>
          <cell r="H711">
            <v>805</v>
          </cell>
          <cell r="I711">
            <v>1446</v>
          </cell>
        </row>
        <row r="712">
          <cell r="A712">
            <v>537064</v>
          </cell>
          <cell r="B712" t="str">
            <v>Packers and Packagers, Hand</v>
          </cell>
          <cell r="C712">
            <v>7935</v>
          </cell>
          <cell r="D712">
            <v>9314</v>
          </cell>
          <cell r="E712">
            <v>1379</v>
          </cell>
          <cell r="F712">
            <v>0.17378701953371145</v>
          </cell>
          <cell r="G712">
            <v>1379</v>
          </cell>
          <cell r="H712">
            <v>2466</v>
          </cell>
          <cell r="I712">
            <v>3845</v>
          </cell>
        </row>
        <row r="713">
          <cell r="A713">
            <v>537072</v>
          </cell>
          <cell r="B713" t="str">
            <v>Pump Operators, Except Wellhead Pumpers</v>
          </cell>
          <cell r="C713">
            <v>63</v>
          </cell>
          <cell r="D713">
            <v>72</v>
          </cell>
          <cell r="E713">
            <v>9</v>
          </cell>
          <cell r="F713">
            <v>0.14285714285714279</v>
          </cell>
          <cell r="G713">
            <v>9</v>
          </cell>
          <cell r="H713">
            <v>20</v>
          </cell>
          <cell r="I713">
            <v>29</v>
          </cell>
        </row>
        <row r="714">
          <cell r="A714">
            <v>537081</v>
          </cell>
          <cell r="B714" t="str">
            <v>Refuse and Recyclable Material Collectors</v>
          </cell>
          <cell r="C714">
            <v>1908</v>
          </cell>
          <cell r="D714">
            <v>2529</v>
          </cell>
          <cell r="E714">
            <v>621</v>
          </cell>
          <cell r="F714">
            <v>0.32547169811320753</v>
          </cell>
          <cell r="G714">
            <v>621</v>
          </cell>
          <cell r="H714">
            <v>657</v>
          </cell>
          <cell r="I714">
            <v>1278</v>
          </cell>
        </row>
        <row r="715">
          <cell r="A715">
            <v>537121</v>
          </cell>
          <cell r="B715" t="str">
            <v>Tank Car, Truck, and Ship Loaders</v>
          </cell>
          <cell r="C715">
            <v>251</v>
          </cell>
          <cell r="D715">
            <v>302</v>
          </cell>
          <cell r="E715">
            <v>51</v>
          </cell>
          <cell r="F715">
            <v>0.20318725099601598</v>
          </cell>
          <cell r="G715">
            <v>51</v>
          </cell>
          <cell r="H715">
            <v>82</v>
          </cell>
          <cell r="I715">
            <v>133</v>
          </cell>
        </row>
        <row r="716">
          <cell r="A716">
            <v>537199</v>
          </cell>
          <cell r="B716" t="str">
            <v>Material Moving Workers, All Other</v>
          </cell>
          <cell r="C716">
            <v>939</v>
          </cell>
          <cell r="D716">
            <v>1143</v>
          </cell>
          <cell r="E716">
            <v>204</v>
          </cell>
          <cell r="F716">
            <v>0.21725239616613412</v>
          </cell>
          <cell r="G716">
            <v>204</v>
          </cell>
          <cell r="H716">
            <v>91</v>
          </cell>
          <cell r="I716">
            <v>295</v>
          </cell>
        </row>
        <row r="717">
          <cell r="A717">
            <v>662021</v>
          </cell>
          <cell r="B717" t="str">
            <v>Leased Workers</v>
          </cell>
          <cell r="C717">
            <v>6840</v>
          </cell>
          <cell r="D717">
            <v>7674</v>
          </cell>
          <cell r="E717">
            <v>834</v>
          </cell>
          <cell r="F717">
            <v>0.12192982456140355</v>
          </cell>
          <cell r="G717">
            <v>834</v>
          </cell>
          <cell r="H717">
            <v>1851</v>
          </cell>
          <cell r="I717">
            <v>2685</v>
          </cell>
        </row>
        <row r="718">
          <cell r="A718">
            <v>662031</v>
          </cell>
          <cell r="B718" t="str">
            <v>Sheltered Workshop Workers</v>
          </cell>
          <cell r="C718">
            <v>1237</v>
          </cell>
          <cell r="D718">
            <v>1356</v>
          </cell>
          <cell r="E718">
            <v>119</v>
          </cell>
          <cell r="F718">
            <v>9.6200485044462436E-2</v>
          </cell>
          <cell r="G718">
            <v>119</v>
          </cell>
          <cell r="H718" t="str">
            <v>NA</v>
          </cell>
          <cell r="I718">
            <v>119</v>
          </cell>
        </row>
        <row r="719">
          <cell r="A719">
            <v>662041</v>
          </cell>
          <cell r="B719" t="str">
            <v>Non-covered Agricultural Workers</v>
          </cell>
          <cell r="C719">
            <v>3345</v>
          </cell>
          <cell r="D719">
            <v>3345</v>
          </cell>
          <cell r="E719">
            <v>0</v>
          </cell>
          <cell r="F719">
            <v>0</v>
          </cell>
          <cell r="G719">
            <v>0</v>
          </cell>
          <cell r="H719">
            <v>1019</v>
          </cell>
          <cell r="I719">
            <v>1019</v>
          </cell>
        </row>
        <row r="720">
          <cell r="A720">
            <v>662051</v>
          </cell>
          <cell r="B720" t="str">
            <v>Home Care Workers</v>
          </cell>
          <cell r="C720">
            <v>11863</v>
          </cell>
          <cell r="D720">
            <v>12314</v>
          </cell>
          <cell r="E720">
            <v>451</v>
          </cell>
          <cell r="F720">
            <v>3.8017364916125729E-2</v>
          </cell>
          <cell r="G720">
            <v>451</v>
          </cell>
          <cell r="H720" t="str">
            <v>NA</v>
          </cell>
          <cell r="I720">
            <v>451</v>
          </cell>
        </row>
        <row r="721">
          <cell r="A721">
            <v>662071</v>
          </cell>
          <cell r="B721" t="str">
            <v>Census Workers</v>
          </cell>
          <cell r="C721">
            <v>1883</v>
          </cell>
          <cell r="D721">
            <v>1883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2"/>
  <sheetViews>
    <sheetView tabSelected="1" zoomScale="80" zoomScaleNormal="80" workbookViewId="0">
      <selection activeCell="B11" sqref="B11"/>
    </sheetView>
  </sheetViews>
  <sheetFormatPr defaultRowHeight="15.75" x14ac:dyDescent="0.25"/>
  <cols>
    <col min="1" max="1" width="9.140625" style="2"/>
    <col min="2" max="2" width="64.42578125" style="2" customWidth="1"/>
    <col min="3" max="3" width="16.5703125" style="2" customWidth="1"/>
    <col min="4" max="4" width="16.42578125" style="2" customWidth="1"/>
    <col min="5" max="5" width="11.7109375" style="3" customWidth="1"/>
    <col min="6" max="6" width="13.28515625" style="23" customWidth="1"/>
    <col min="7" max="7" width="17.5703125" style="2" customWidth="1"/>
    <col min="8" max="8" width="18.7109375" style="2" customWidth="1"/>
    <col min="9" max="9" width="18.28515625" style="2" customWidth="1"/>
  </cols>
  <sheetData>
    <row r="1" spans="1:10" ht="20.25" x14ac:dyDescent="0.3">
      <c r="A1" s="1" t="s">
        <v>97</v>
      </c>
    </row>
    <row r="2" spans="1:10" ht="20.25" x14ac:dyDescent="0.3">
      <c r="A2" s="1"/>
    </row>
    <row r="3" spans="1:10" ht="16.5" x14ac:dyDescent="0.25">
      <c r="A3" s="19" t="s">
        <v>0</v>
      </c>
      <c r="C3" s="21" t="s">
        <v>98</v>
      </c>
      <c r="D3" s="21" t="s">
        <v>99</v>
      </c>
      <c r="E3" s="21"/>
      <c r="F3" s="24" t="s">
        <v>100</v>
      </c>
      <c r="G3" s="21" t="s">
        <v>101</v>
      </c>
      <c r="H3" s="21" t="s">
        <v>102</v>
      </c>
      <c r="I3" s="21" t="s">
        <v>103</v>
      </c>
    </row>
    <row r="4" spans="1:10" ht="17.25" thickBot="1" x14ac:dyDescent="0.3">
      <c r="A4" s="20"/>
      <c r="B4" s="4" t="s">
        <v>1</v>
      </c>
      <c r="C4" s="22" t="s">
        <v>104</v>
      </c>
      <c r="D4" s="22" t="s">
        <v>104</v>
      </c>
      <c r="E4" s="22" t="s">
        <v>105</v>
      </c>
      <c r="F4" s="25" t="s">
        <v>105</v>
      </c>
      <c r="G4" s="22" t="s">
        <v>106</v>
      </c>
      <c r="H4" s="22" t="s">
        <v>106</v>
      </c>
      <c r="I4" s="22" t="s">
        <v>106</v>
      </c>
    </row>
    <row r="5" spans="1:10" x14ac:dyDescent="0.25">
      <c r="A5" s="5"/>
      <c r="B5" s="6"/>
      <c r="C5" s="5"/>
      <c r="D5" s="5"/>
      <c r="E5" s="7"/>
      <c r="F5" s="26"/>
      <c r="G5" s="5"/>
      <c r="H5" s="5"/>
      <c r="I5" s="5"/>
    </row>
    <row r="6" spans="1:10" x14ac:dyDescent="0.25">
      <c r="A6" s="8" t="s">
        <v>2</v>
      </c>
      <c r="B6" s="6"/>
      <c r="C6" s="9">
        <f>SUM(C9:C223)</f>
        <v>96441</v>
      </c>
      <c r="D6" s="9">
        <f t="shared" ref="D6:J6" si="0">SUM(D9:D223)</f>
        <v>113683</v>
      </c>
      <c r="E6" s="9">
        <f t="shared" si="0"/>
        <v>17242</v>
      </c>
      <c r="F6" s="27">
        <f>+E6/C6</f>
        <v>0.17878288279880963</v>
      </c>
      <c r="G6" s="9">
        <f t="shared" si="0"/>
        <v>17319</v>
      </c>
      <c r="H6" s="9">
        <f t="shared" si="0"/>
        <v>23976</v>
      </c>
      <c r="I6" s="9">
        <f t="shared" si="0"/>
        <v>41295</v>
      </c>
      <c r="J6" s="9"/>
    </row>
    <row r="7" spans="1:10" x14ac:dyDescent="0.25">
      <c r="A7" s="5"/>
      <c r="B7" s="6"/>
      <c r="C7" s="9"/>
      <c r="D7" s="9"/>
      <c r="E7" s="7"/>
      <c r="F7" s="26"/>
      <c r="G7" s="9"/>
      <c r="H7" s="9"/>
      <c r="I7" s="9"/>
    </row>
    <row r="8" spans="1:10" x14ac:dyDescent="0.25">
      <c r="A8" s="8" t="s">
        <v>3</v>
      </c>
      <c r="B8" s="6"/>
      <c r="C8" s="9"/>
      <c r="D8" s="9"/>
      <c r="E8" s="7"/>
      <c r="F8" s="26"/>
      <c r="G8" s="9"/>
      <c r="H8" s="9"/>
      <c r="I8" s="9"/>
    </row>
    <row r="9" spans="1:10" x14ac:dyDescent="0.25">
      <c r="A9" s="11">
        <v>113021</v>
      </c>
      <c r="B9" s="12" t="s">
        <v>4</v>
      </c>
      <c r="C9" s="13">
        <f>VLOOKUP($B$9,'[1]Detail only - SOC'!$B$4:$I$721,2,FALSE)</f>
        <v>3356</v>
      </c>
      <c r="D9" s="13">
        <f>VLOOKUP($B9,'[1]Detail only - SOC'!$B$4:$I$721,3,FALSE)</f>
        <v>4047</v>
      </c>
      <c r="E9" s="13">
        <f>VLOOKUP($B9,'[1]Detail only - SOC'!$B$4:$I$721,4,FALSE)</f>
        <v>691</v>
      </c>
      <c r="F9" s="28">
        <f>VLOOKUP(B9,'[1]Detail only - SOC'!$B$4:$I$721,5,FALSE)</f>
        <v>0.2058998808104886</v>
      </c>
      <c r="G9" s="13">
        <f>VLOOKUP(B9,'[1]Detail only - SOC'!$B$4:$I$721,6,FALSE)</f>
        <v>691</v>
      </c>
      <c r="H9" s="13">
        <f>VLOOKUP(B9,'[1]Detail only - SOC'!$B$4:$I$721,7,FALSE)</f>
        <v>565</v>
      </c>
      <c r="I9" s="13">
        <f>VLOOKUP(B9,'[1]Detail only - SOC'!$B$4:$I$721,8,FALSE)</f>
        <v>1256</v>
      </c>
    </row>
    <row r="10" spans="1:10" x14ac:dyDescent="0.25">
      <c r="A10" s="11">
        <v>119041</v>
      </c>
      <c r="B10" s="12" t="s">
        <v>5</v>
      </c>
      <c r="C10" s="13">
        <f>VLOOKUP(B10,'[1]Detail only - SOC'!$B$4:$I$721,2,FALSE)</f>
        <v>2603</v>
      </c>
      <c r="D10" s="13">
        <f>VLOOKUP($B10,'[1]Detail only - SOC'!$B$4:$I$721,3,FALSE)</f>
        <v>2990</v>
      </c>
      <c r="E10" s="13">
        <f>VLOOKUP($B10,'[1]Detail only - SOC'!$B$4:$I$721,4,FALSE)</f>
        <v>387</v>
      </c>
      <c r="F10" s="28">
        <f>VLOOKUP(B10,'[1]Detail only - SOC'!$B$4:$I$721,5,FALSE)</f>
        <v>0.14867460622358819</v>
      </c>
      <c r="G10" s="13">
        <f>VLOOKUP(B10,'[1]Detail only - SOC'!$B$4:$I$721,6,FALSE)</f>
        <v>387</v>
      </c>
      <c r="H10" s="13">
        <f>VLOOKUP(B10,'[1]Detail only - SOC'!$B$4:$I$721,7,FALSE)</f>
        <v>545</v>
      </c>
      <c r="I10" s="13">
        <f>VLOOKUP(B10,'[1]Detail only - SOC'!$B$4:$I$721,8,FALSE)</f>
        <v>932</v>
      </c>
    </row>
    <row r="11" spans="1:10" x14ac:dyDescent="0.25">
      <c r="A11" s="11">
        <v>119121</v>
      </c>
      <c r="B11" s="12" t="s">
        <v>6</v>
      </c>
      <c r="C11" s="13">
        <f>VLOOKUP(B11,'[1]Detail only - SOC'!$B$4:$I$721,2,FALSE)</f>
        <v>957</v>
      </c>
      <c r="D11" s="13">
        <f>VLOOKUP($B11,'[1]Detail only - SOC'!$B$4:$I$721,3,FALSE)</f>
        <v>1013</v>
      </c>
      <c r="E11" s="13">
        <f>VLOOKUP($B11,'[1]Detail only - SOC'!$B$4:$I$721,4,FALSE)</f>
        <v>56</v>
      </c>
      <c r="F11" s="28">
        <f>VLOOKUP(B11,'[1]Detail only - SOC'!$B$4:$I$721,5,FALSE)</f>
        <v>5.8516196447230939E-2</v>
      </c>
      <c r="G11" s="13">
        <f>VLOOKUP(B11,'[1]Detail only - SOC'!$B$4:$I$721,6,FALSE)</f>
        <v>56</v>
      </c>
      <c r="H11" s="13">
        <f>VLOOKUP(B11,'[1]Detail only - SOC'!$B$4:$I$721,7,FALSE)</f>
        <v>594</v>
      </c>
      <c r="I11" s="13">
        <f>VLOOKUP(B11,'[1]Detail only - SOC'!$B$4:$I$721,8,FALSE)</f>
        <v>650</v>
      </c>
    </row>
    <row r="12" spans="1:10" x14ac:dyDescent="0.25">
      <c r="A12" s="11"/>
      <c r="B12" s="12"/>
      <c r="C12" s="13"/>
      <c r="D12" s="13"/>
      <c r="E12" s="10"/>
      <c r="F12" s="28"/>
      <c r="G12" s="13"/>
      <c r="H12" s="13"/>
      <c r="I12" s="13"/>
    </row>
    <row r="13" spans="1:10" x14ac:dyDescent="0.25">
      <c r="A13" s="8" t="s">
        <v>7</v>
      </c>
      <c r="B13" s="12"/>
      <c r="C13" s="13"/>
      <c r="D13" s="13"/>
      <c r="E13" s="10"/>
      <c r="F13" s="28"/>
      <c r="G13" s="13"/>
      <c r="H13" s="13"/>
      <c r="I13" s="13"/>
    </row>
    <row r="14" spans="1:10" x14ac:dyDescent="0.25">
      <c r="A14" s="11">
        <v>151011</v>
      </c>
      <c r="B14" s="12" t="s">
        <v>8</v>
      </c>
      <c r="C14" s="13">
        <f>VLOOKUP($A14,'[1]Detail only - SOC'!$A$4:$I$721,3,FALSE)</f>
        <v>75</v>
      </c>
      <c r="D14" s="13">
        <f>VLOOKUP($A14,'[1]Detail only - SOC'!$A$4:$I$721,4,FALSE)</f>
        <v>95</v>
      </c>
      <c r="E14" s="13">
        <f>VLOOKUP($A14,'[1]Detail only - SOC'!$A$4:$I$721,5,FALSE)</f>
        <v>20</v>
      </c>
      <c r="F14" s="28">
        <f>VLOOKUP($A14,'[1]Detail only - SOC'!$A$4:$I$721,6,FALSE)</f>
        <v>0.26666666666666661</v>
      </c>
      <c r="G14" s="13">
        <f>VLOOKUP($A14,'[1]Detail only - SOC'!$A$4:$I$721,7,FALSE)</f>
        <v>20</v>
      </c>
      <c r="H14" s="13">
        <f>VLOOKUP($A14,'[1]Detail only - SOC'!$A$4:$I$721,8,FALSE)</f>
        <v>16</v>
      </c>
      <c r="I14" s="13">
        <f>VLOOKUP($A14,'[1]Detail only - SOC'!$A$4:$I$721,9,FALSE)</f>
        <v>36</v>
      </c>
    </row>
    <row r="15" spans="1:10" x14ac:dyDescent="0.25">
      <c r="A15" s="11">
        <v>151021</v>
      </c>
      <c r="B15" s="12" t="s">
        <v>9</v>
      </c>
      <c r="C15" s="13">
        <f>VLOOKUP(A15,'[1]Detail only - SOC'!$A$4:$I$721,3,FALSE)</f>
        <v>3090</v>
      </c>
      <c r="D15" s="13">
        <f>VLOOKUP($A15,'[1]Detail only - SOC'!$A$4:$I$721,4,FALSE)</f>
        <v>3858</v>
      </c>
      <c r="E15" s="13">
        <f>VLOOKUP($A15,'[1]Detail only - SOC'!$A$4:$I$721,5,FALSE)</f>
        <v>768</v>
      </c>
      <c r="F15" s="28">
        <f>VLOOKUP($A15,'[1]Detail only - SOC'!$A$4:$I$721,6,FALSE)</f>
        <v>0.24854368932038828</v>
      </c>
      <c r="G15" s="13">
        <f>VLOOKUP($A15,'[1]Detail only - SOC'!$A$4:$I$721,7,FALSE)</f>
        <v>768</v>
      </c>
      <c r="H15" s="13">
        <f>VLOOKUP($A15,'[1]Detail only - SOC'!$A$4:$I$721,8,FALSE)</f>
        <v>807</v>
      </c>
      <c r="I15" s="13">
        <f>VLOOKUP($A15,'[1]Detail only - SOC'!$A$4:$I$721,9,FALSE)</f>
        <v>1575</v>
      </c>
    </row>
    <row r="16" spans="1:10" x14ac:dyDescent="0.25">
      <c r="A16" s="11">
        <v>151031</v>
      </c>
      <c r="B16" s="12" t="s">
        <v>10</v>
      </c>
      <c r="C16" s="13">
        <f>VLOOKUP(A16,'[1]Detail only - SOC'!$A$4:$I$721,3,FALSE)</f>
        <v>7887</v>
      </c>
      <c r="D16" s="13">
        <f>VLOOKUP($A16,'[1]Detail only - SOC'!$A$4:$I$721,4,FALSE)</f>
        <v>9838</v>
      </c>
      <c r="E16" s="13">
        <f>VLOOKUP($A16,'[1]Detail only - SOC'!$A$4:$I$721,5,FALSE)</f>
        <v>1951</v>
      </c>
      <c r="F16" s="28">
        <f>VLOOKUP($A16,'[1]Detail only - SOC'!$A$4:$I$721,6,FALSE)</f>
        <v>0.24736908837327243</v>
      </c>
      <c r="G16" s="13">
        <f>VLOOKUP($A16,'[1]Detail only - SOC'!$A$4:$I$721,7,FALSE)</f>
        <v>1951</v>
      </c>
      <c r="H16" s="13">
        <f>VLOOKUP($A16,'[1]Detail only - SOC'!$A$4:$I$721,8,FALSE)</f>
        <v>922</v>
      </c>
      <c r="I16" s="13">
        <f>VLOOKUP($A16,'[1]Detail only - SOC'!$A$4:$I$721,9,FALSE)</f>
        <v>2873</v>
      </c>
    </row>
    <row r="17" spans="1:9" x14ac:dyDescent="0.25">
      <c r="A17" s="11">
        <v>151032</v>
      </c>
      <c r="B17" s="12" t="s">
        <v>11</v>
      </c>
      <c r="C17" s="13">
        <f>VLOOKUP(A17,'[1]Detail only - SOC'!$A$4:$I$721,3,FALSE)</f>
        <v>1939</v>
      </c>
      <c r="D17" s="13">
        <f>VLOOKUP($A17,'[1]Detail only - SOC'!$A$4:$I$721,4,FALSE)</f>
        <v>2352</v>
      </c>
      <c r="E17" s="13">
        <f>VLOOKUP($A17,'[1]Detail only - SOC'!$A$4:$I$721,5,FALSE)</f>
        <v>413</v>
      </c>
      <c r="F17" s="28">
        <f>VLOOKUP($A17,'[1]Detail only - SOC'!$A$4:$I$721,6,FALSE)</f>
        <v>0.21299638989169667</v>
      </c>
      <c r="G17" s="13">
        <f>VLOOKUP($A17,'[1]Detail only - SOC'!$A$4:$I$721,7,FALSE)</f>
        <v>413</v>
      </c>
      <c r="H17" s="13">
        <f>VLOOKUP($A17,'[1]Detail only - SOC'!$A$4:$I$721,8,FALSE)</f>
        <v>223</v>
      </c>
      <c r="I17" s="13">
        <f>VLOOKUP($A17,'[1]Detail only - SOC'!$A$4:$I$721,9,FALSE)</f>
        <v>636</v>
      </c>
    </row>
    <row r="18" spans="1:9" x14ac:dyDescent="0.25">
      <c r="A18" s="11">
        <v>151041</v>
      </c>
      <c r="B18" s="12" t="s">
        <v>12</v>
      </c>
      <c r="C18" s="13">
        <f>VLOOKUP(A18,'[1]Detail only - SOC'!$A$4:$I$721,3,FALSE)</f>
        <v>7299</v>
      </c>
      <c r="D18" s="13">
        <f>VLOOKUP($A18,'[1]Detail only - SOC'!$A$4:$I$721,4,FALSE)</f>
        <v>8930</v>
      </c>
      <c r="E18" s="13">
        <f>VLOOKUP($A18,'[1]Detail only - SOC'!$A$4:$I$721,5,FALSE)</f>
        <v>1631</v>
      </c>
      <c r="F18" s="28">
        <f>VLOOKUP($A18,'[1]Detail only - SOC'!$A$4:$I$721,6,FALSE)</f>
        <v>0.22345526784491021</v>
      </c>
      <c r="G18" s="13">
        <f>VLOOKUP($A18,'[1]Detail only - SOC'!$A$4:$I$721,7,FALSE)</f>
        <v>1631</v>
      </c>
      <c r="H18" s="13">
        <f>VLOOKUP($A18,'[1]Detail only - SOC'!$A$4:$I$721,8,FALSE)</f>
        <v>2131</v>
      </c>
      <c r="I18" s="13">
        <f>VLOOKUP($A18,'[1]Detail only - SOC'!$A$4:$I$721,9,FALSE)</f>
        <v>3762</v>
      </c>
    </row>
    <row r="19" spans="1:9" x14ac:dyDescent="0.25">
      <c r="A19" s="11">
        <v>151051</v>
      </c>
      <c r="B19" s="12" t="s">
        <v>13</v>
      </c>
      <c r="C19" s="13">
        <f>VLOOKUP(A19,'[1]Detail only - SOC'!$A$4:$I$721,3,FALSE)</f>
        <v>4190</v>
      </c>
      <c r="D19" s="13">
        <f>VLOOKUP($A19,'[1]Detail only - SOC'!$A$4:$I$721,4,FALSE)</f>
        <v>4972</v>
      </c>
      <c r="E19" s="13">
        <f>VLOOKUP($A19,'[1]Detail only - SOC'!$A$4:$I$721,5,FALSE)</f>
        <v>782</v>
      </c>
      <c r="F19" s="28">
        <f>VLOOKUP($A19,'[1]Detail only - SOC'!$A$4:$I$721,6,FALSE)</f>
        <v>0.18663484486873516</v>
      </c>
      <c r="G19" s="13">
        <f>VLOOKUP($A19,'[1]Detail only - SOC'!$A$4:$I$721,7,FALSE)</f>
        <v>782</v>
      </c>
      <c r="H19" s="13">
        <f>VLOOKUP($A19,'[1]Detail only - SOC'!$A$4:$I$721,8,FALSE)</f>
        <v>859</v>
      </c>
      <c r="I19" s="13">
        <f>VLOOKUP($A19,'[1]Detail only - SOC'!$A$4:$I$721,9,FALSE)</f>
        <v>1641</v>
      </c>
    </row>
    <row r="20" spans="1:9" x14ac:dyDescent="0.25">
      <c r="A20" s="11">
        <v>151061</v>
      </c>
      <c r="B20" s="12" t="s">
        <v>14</v>
      </c>
      <c r="C20" s="13">
        <f>VLOOKUP(A20,'[1]Detail only - SOC'!$A$4:$I$721,3,FALSE)</f>
        <v>1223</v>
      </c>
      <c r="D20" s="13">
        <f>VLOOKUP($A20,'[1]Detail only - SOC'!$A$4:$I$721,4,FALSE)</f>
        <v>1465</v>
      </c>
      <c r="E20" s="13">
        <f>VLOOKUP($A20,'[1]Detail only - SOC'!$A$4:$I$721,5,FALSE)</f>
        <v>242</v>
      </c>
      <c r="F20" s="28">
        <f>VLOOKUP($A20,'[1]Detail only - SOC'!$A$4:$I$721,6,FALSE)</f>
        <v>0.19787408013082586</v>
      </c>
      <c r="G20" s="13">
        <f>VLOOKUP($A20,'[1]Detail only - SOC'!$A$4:$I$721,7,FALSE)</f>
        <v>242</v>
      </c>
      <c r="H20" s="13">
        <f>VLOOKUP($A20,'[1]Detail only - SOC'!$A$4:$I$721,8,FALSE)</f>
        <v>227</v>
      </c>
      <c r="I20" s="13">
        <f>VLOOKUP($A20,'[1]Detail only - SOC'!$A$4:$I$721,9,FALSE)</f>
        <v>469</v>
      </c>
    </row>
    <row r="21" spans="1:9" x14ac:dyDescent="0.25">
      <c r="A21" s="11">
        <v>151071</v>
      </c>
      <c r="B21" s="12" t="s">
        <v>15</v>
      </c>
      <c r="C21" s="13">
        <f>VLOOKUP(A21,'[1]Detail only - SOC'!$A$4:$I$721,3,FALSE)</f>
        <v>3512</v>
      </c>
      <c r="D21" s="13">
        <f>VLOOKUP($A21,'[1]Detail only - SOC'!$A$4:$I$721,4,FALSE)</f>
        <v>4138</v>
      </c>
      <c r="E21" s="13">
        <f>VLOOKUP($A21,'[1]Detail only - SOC'!$A$4:$I$721,5,FALSE)</f>
        <v>626</v>
      </c>
      <c r="F21" s="28">
        <f>VLOOKUP($A21,'[1]Detail only - SOC'!$A$4:$I$721,6,FALSE)</f>
        <v>0.17824601366742598</v>
      </c>
      <c r="G21" s="13">
        <f>VLOOKUP($A21,'[1]Detail only - SOC'!$A$4:$I$721,7,FALSE)</f>
        <v>626</v>
      </c>
      <c r="H21" s="13">
        <f>VLOOKUP($A21,'[1]Detail only - SOC'!$A$4:$I$721,8,FALSE)</f>
        <v>646</v>
      </c>
      <c r="I21" s="13">
        <f>VLOOKUP($A21,'[1]Detail only - SOC'!$A$4:$I$721,9,FALSE)</f>
        <v>1272</v>
      </c>
    </row>
    <row r="22" spans="1:9" x14ac:dyDescent="0.25">
      <c r="A22" s="11">
        <v>151081</v>
      </c>
      <c r="B22" s="12" t="s">
        <v>16</v>
      </c>
      <c r="C22" s="13">
        <f>VLOOKUP(A22,'[1]Detail only - SOC'!$A$4:$I$721,3,FALSE)</f>
        <v>2712</v>
      </c>
      <c r="D22" s="13">
        <f>VLOOKUP($A22,'[1]Detail only - SOC'!$A$4:$I$721,4,FALSE)</f>
        <v>3221</v>
      </c>
      <c r="E22" s="13">
        <f>VLOOKUP($A22,'[1]Detail only - SOC'!$A$4:$I$721,5,FALSE)</f>
        <v>509</v>
      </c>
      <c r="F22" s="28">
        <f>VLOOKUP($A22,'[1]Detail only - SOC'!$A$4:$I$721,6,FALSE)</f>
        <v>0.18768436578171088</v>
      </c>
      <c r="G22" s="13">
        <f>VLOOKUP($A22,'[1]Detail only - SOC'!$A$4:$I$721,7,FALSE)</f>
        <v>509</v>
      </c>
      <c r="H22" s="13">
        <f>VLOOKUP($A22,'[1]Detail only - SOC'!$A$4:$I$721,8,FALSE)</f>
        <v>438</v>
      </c>
      <c r="I22" s="13">
        <f>VLOOKUP($A22,'[1]Detail only - SOC'!$A$4:$I$721,9,FALSE)</f>
        <v>947</v>
      </c>
    </row>
    <row r="23" spans="1:9" x14ac:dyDescent="0.25">
      <c r="A23" s="11">
        <v>151099</v>
      </c>
      <c r="B23" s="12" t="s">
        <v>17</v>
      </c>
      <c r="C23" s="13">
        <f>VLOOKUP(A23,'[1]Detail only - SOC'!$A$4:$I$721,3,FALSE)</f>
        <v>4444</v>
      </c>
      <c r="D23" s="13">
        <f>VLOOKUP($A23,'[1]Detail only - SOC'!$A$4:$I$721,4,FALSE)</f>
        <v>5136</v>
      </c>
      <c r="E23" s="13">
        <f>VLOOKUP($A23,'[1]Detail only - SOC'!$A$4:$I$721,5,FALSE)</f>
        <v>692</v>
      </c>
      <c r="F23" s="28">
        <f>VLOOKUP($A23,'[1]Detail only - SOC'!$A$4:$I$721,6,FALSE)</f>
        <v>0.15571557155715565</v>
      </c>
      <c r="G23" s="13">
        <f>VLOOKUP($A23,'[1]Detail only - SOC'!$A$4:$I$721,7,FALSE)</f>
        <v>692</v>
      </c>
      <c r="H23" s="13">
        <f>VLOOKUP($A23,'[1]Detail only - SOC'!$A$4:$I$721,8,FALSE)</f>
        <v>898</v>
      </c>
      <c r="I23" s="13">
        <f>VLOOKUP($A23,'[1]Detail only - SOC'!$A$4:$I$721,9,FALSE)</f>
        <v>1590</v>
      </c>
    </row>
    <row r="24" spans="1:9" x14ac:dyDescent="0.25">
      <c r="A24" s="11">
        <v>152011</v>
      </c>
      <c r="B24" s="12" t="s">
        <v>18</v>
      </c>
      <c r="C24" s="13">
        <f>VLOOKUP(A24,'[1]Detail only - SOC'!$A$4:$I$721,3,FALSE)</f>
        <v>145</v>
      </c>
      <c r="D24" s="13">
        <f>VLOOKUP($A24,'[1]Detail only - SOC'!$A$4:$I$721,4,FALSE)</f>
        <v>179</v>
      </c>
      <c r="E24" s="13">
        <f>VLOOKUP($A24,'[1]Detail only - SOC'!$A$4:$I$721,5,FALSE)</f>
        <v>34</v>
      </c>
      <c r="F24" s="28">
        <f>VLOOKUP($A24,'[1]Detail only - SOC'!$A$4:$I$721,6,FALSE)</f>
        <v>0.23448275862068968</v>
      </c>
      <c r="G24" s="13">
        <f>VLOOKUP($A24,'[1]Detail only - SOC'!$A$4:$I$721,7,FALSE)</f>
        <v>34</v>
      </c>
      <c r="H24" s="13">
        <f>VLOOKUP($A24,'[1]Detail only - SOC'!$A$4:$I$721,8,FALSE)</f>
        <v>98</v>
      </c>
      <c r="I24" s="13">
        <f>VLOOKUP($A24,'[1]Detail only - SOC'!$A$4:$I$721,9,FALSE)</f>
        <v>132</v>
      </c>
    </row>
    <row r="25" spans="1:9" x14ac:dyDescent="0.25">
      <c r="A25" s="11">
        <v>152031</v>
      </c>
      <c r="B25" s="12" t="s">
        <v>19</v>
      </c>
      <c r="C25" s="13">
        <f>VLOOKUP(A25,'[1]Detail only - SOC'!$A$4:$I$721,3,FALSE)</f>
        <v>322</v>
      </c>
      <c r="D25" s="13">
        <f>VLOOKUP($A25,'[1]Detail only - SOC'!$A$4:$I$721,4,FALSE)</f>
        <v>373</v>
      </c>
      <c r="E25" s="13">
        <f>VLOOKUP($A25,'[1]Detail only - SOC'!$A$4:$I$721,5,FALSE)</f>
        <v>51</v>
      </c>
      <c r="F25" s="28">
        <f>VLOOKUP($A25,'[1]Detail only - SOC'!$A$4:$I$721,6,FALSE)</f>
        <v>0.15838509316770177</v>
      </c>
      <c r="G25" s="13">
        <f>VLOOKUP($A25,'[1]Detail only - SOC'!$A$4:$I$721,7,FALSE)</f>
        <v>51</v>
      </c>
      <c r="H25" s="13">
        <f>VLOOKUP($A25,'[1]Detail only - SOC'!$A$4:$I$721,8,FALSE)</f>
        <v>111</v>
      </c>
      <c r="I25" s="13">
        <f>VLOOKUP($A25,'[1]Detail only - SOC'!$A$4:$I$721,9,FALSE)</f>
        <v>162</v>
      </c>
    </row>
    <row r="26" spans="1:9" x14ac:dyDescent="0.25">
      <c r="A26" s="11">
        <v>152041</v>
      </c>
      <c r="B26" s="12" t="s">
        <v>20</v>
      </c>
      <c r="C26" s="13">
        <f>VLOOKUP(A26,'[1]Detail only - SOC'!$A$4:$I$721,3,FALSE)</f>
        <v>516</v>
      </c>
      <c r="D26" s="13">
        <f>VLOOKUP($A26,'[1]Detail only - SOC'!$A$4:$I$721,4,FALSE)</f>
        <v>591</v>
      </c>
      <c r="E26" s="13">
        <f>VLOOKUP($A26,'[1]Detail only - SOC'!$A$4:$I$721,5,FALSE)</f>
        <v>75</v>
      </c>
      <c r="F26" s="28">
        <f>VLOOKUP($A26,'[1]Detail only - SOC'!$A$4:$I$721,6,FALSE)</f>
        <v>0.14534883720930236</v>
      </c>
      <c r="G26" s="13">
        <f>VLOOKUP($A26,'[1]Detail only - SOC'!$A$4:$I$721,7,FALSE)</f>
        <v>75</v>
      </c>
      <c r="H26" s="13">
        <f>VLOOKUP($A26,'[1]Detail only - SOC'!$A$4:$I$721,8,FALSE)</f>
        <v>334</v>
      </c>
      <c r="I26" s="13">
        <f>VLOOKUP($A26,'[1]Detail only - SOC'!$A$4:$I$721,9,FALSE)</f>
        <v>409</v>
      </c>
    </row>
    <row r="27" spans="1:9" x14ac:dyDescent="0.25">
      <c r="A27" s="11">
        <v>152091</v>
      </c>
      <c r="B27" s="12" t="s">
        <v>21</v>
      </c>
      <c r="C27" s="13">
        <f>VLOOKUP(A27,'[1]Detail only - SOC'!$A$4:$I$721,3,FALSE)</f>
        <v>61</v>
      </c>
      <c r="D27" s="13">
        <f>VLOOKUP($A27,'[1]Detail only - SOC'!$A$4:$I$721,4,FALSE)</f>
        <v>67</v>
      </c>
      <c r="E27" s="13">
        <f>VLOOKUP($A27,'[1]Detail only - SOC'!$A$4:$I$721,5,FALSE)</f>
        <v>6</v>
      </c>
      <c r="F27" s="28">
        <f>VLOOKUP($A27,'[1]Detail only - SOC'!$A$4:$I$721,6,FALSE)</f>
        <v>9.8360655737705027E-2</v>
      </c>
      <c r="G27" s="13">
        <f>VLOOKUP($A27,'[1]Detail only - SOC'!$A$4:$I$721,7,FALSE)</f>
        <v>6</v>
      </c>
      <c r="H27" s="13">
        <f>VLOOKUP($A27,'[1]Detail only - SOC'!$A$4:$I$721,8,FALSE)</f>
        <v>39</v>
      </c>
      <c r="I27" s="13">
        <f>VLOOKUP($A27,'[1]Detail only - SOC'!$A$4:$I$721,9,FALSE)</f>
        <v>45</v>
      </c>
    </row>
    <row r="28" spans="1:9" x14ac:dyDescent="0.25">
      <c r="A28" s="11">
        <v>152099</v>
      </c>
      <c r="B28" s="12" t="s">
        <v>22</v>
      </c>
      <c r="C28" s="13">
        <f>VLOOKUP(A28,'[1]Detail only - SOC'!$A$4:$I$721,3,FALSE)</f>
        <v>6</v>
      </c>
      <c r="D28" s="13">
        <f>VLOOKUP($A28,'[1]Detail only - SOC'!$A$4:$I$721,4,FALSE)</f>
        <v>6</v>
      </c>
      <c r="E28" s="13">
        <f>VLOOKUP($A28,'[1]Detail only - SOC'!$A$4:$I$721,5,FALSE)</f>
        <v>0</v>
      </c>
      <c r="F28" s="28">
        <f>VLOOKUP($A28,'[1]Detail only - SOC'!$A$4:$I$721,6,FALSE)</f>
        <v>0</v>
      </c>
      <c r="G28" s="13">
        <f>VLOOKUP($A28,'[1]Detail only - SOC'!$A$4:$I$721,7,FALSE)</f>
        <v>0</v>
      </c>
      <c r="H28" s="13">
        <f>VLOOKUP($A28,'[1]Detail only - SOC'!$A$4:$I$721,8,FALSE)</f>
        <v>4</v>
      </c>
      <c r="I28" s="13">
        <f>VLOOKUP($A28,'[1]Detail only - SOC'!$A$4:$I$721,9,FALSE)</f>
        <v>4</v>
      </c>
    </row>
    <row r="29" spans="1:9" x14ac:dyDescent="0.25">
      <c r="A29" s="11"/>
      <c r="B29" s="12"/>
      <c r="C29" s="13"/>
      <c r="D29" s="13"/>
      <c r="E29" s="13"/>
      <c r="F29" s="28"/>
      <c r="G29" s="13"/>
      <c r="H29" s="13"/>
      <c r="I29" s="13"/>
    </row>
    <row r="30" spans="1:9" x14ac:dyDescent="0.25">
      <c r="A30" s="8" t="s">
        <v>23</v>
      </c>
      <c r="B30" s="12"/>
      <c r="C30" s="13"/>
      <c r="D30" s="13"/>
      <c r="E30" s="13"/>
      <c r="F30" s="28"/>
      <c r="G30" s="13"/>
      <c r="H30" s="13"/>
      <c r="I30" s="13"/>
    </row>
    <row r="31" spans="1:9" x14ac:dyDescent="0.25">
      <c r="A31" s="11">
        <v>171011</v>
      </c>
      <c r="B31" s="12" t="s">
        <v>96</v>
      </c>
      <c r="C31" s="13">
        <v>1412</v>
      </c>
      <c r="D31" s="13">
        <f>VLOOKUP($A31,'[1]Detail only - SOC'!$A$4:$I$721,4,FALSE)</f>
        <v>1775</v>
      </c>
      <c r="E31" s="13">
        <f>VLOOKUP($A31,'[1]Detail only - SOC'!$A$4:$I$721,5,FALSE)</f>
        <v>363</v>
      </c>
      <c r="F31" s="28">
        <f>VLOOKUP($A31,'[1]Detail only - SOC'!$A$4:$I$721,6,FALSE)</f>
        <v>0.25708215297450421</v>
      </c>
      <c r="G31" s="13">
        <f>VLOOKUP($A31,'[1]Detail only - SOC'!$A$4:$I$721,7,FALSE)</f>
        <v>363</v>
      </c>
      <c r="H31" s="13">
        <f>VLOOKUP($A31,'[1]Detail only - SOC'!$A$4:$I$721,8,FALSE)</f>
        <v>323</v>
      </c>
      <c r="I31" s="13">
        <f>VLOOKUP($A31,'[1]Detail only - SOC'!$A$4:$I$721,9,FALSE)</f>
        <v>686</v>
      </c>
    </row>
    <row r="32" spans="1:9" x14ac:dyDescent="0.25">
      <c r="A32" s="11">
        <v>171021</v>
      </c>
      <c r="B32" s="12" t="s">
        <v>24</v>
      </c>
      <c r="C32" s="13">
        <f>VLOOKUP(A32,'[1]Detail only - SOC'!$A$4:$I$721,3,FALSE)</f>
        <v>402</v>
      </c>
      <c r="D32" s="13">
        <f>VLOOKUP($A32,'[1]Detail only - SOC'!$A$4:$I$721,4,FALSE)</f>
        <v>467</v>
      </c>
      <c r="E32" s="13">
        <f>VLOOKUP($A32,'[1]Detail only - SOC'!$A$4:$I$721,5,FALSE)</f>
        <v>65</v>
      </c>
      <c r="F32" s="28">
        <f>VLOOKUP($A32,'[1]Detail only - SOC'!$A$4:$I$721,6,FALSE)</f>
        <v>0.1616915422885572</v>
      </c>
      <c r="G32" s="13">
        <f>VLOOKUP($A32,'[1]Detail only - SOC'!$A$4:$I$721,7,FALSE)</f>
        <v>65</v>
      </c>
      <c r="H32" s="13">
        <f>VLOOKUP($A32,'[1]Detail only - SOC'!$A$4:$I$721,8,FALSE)</f>
        <v>95</v>
      </c>
      <c r="I32" s="13">
        <f>VLOOKUP($A32,'[1]Detail only - SOC'!$A$4:$I$721,9,FALSE)</f>
        <v>160</v>
      </c>
    </row>
    <row r="33" spans="1:9" x14ac:dyDescent="0.25">
      <c r="A33" s="11">
        <v>171022</v>
      </c>
      <c r="B33" s="12" t="s">
        <v>25</v>
      </c>
      <c r="C33" s="13">
        <f>VLOOKUP(A33,'[1]Detail only - SOC'!$A$4:$I$721,3,FALSE)</f>
        <v>654</v>
      </c>
      <c r="D33" s="13">
        <f>VLOOKUP($A33,'[1]Detail only - SOC'!$A$4:$I$721,4,FALSE)</f>
        <v>782</v>
      </c>
      <c r="E33" s="13">
        <f>VLOOKUP($A33,'[1]Detail only - SOC'!$A$4:$I$721,5,FALSE)</f>
        <v>128</v>
      </c>
      <c r="F33" s="28">
        <f>VLOOKUP($A33,'[1]Detail only - SOC'!$A$4:$I$721,6,FALSE)</f>
        <v>0.19571865443425085</v>
      </c>
      <c r="G33" s="13">
        <f>VLOOKUP($A33,'[1]Detail only - SOC'!$A$4:$I$721,7,FALSE)</f>
        <v>128</v>
      </c>
      <c r="H33" s="13">
        <f>VLOOKUP($A33,'[1]Detail only - SOC'!$A$4:$I$721,8,FALSE)</f>
        <v>156</v>
      </c>
      <c r="I33" s="13">
        <f>VLOOKUP($A33,'[1]Detail only - SOC'!$A$4:$I$721,9,FALSE)</f>
        <v>284</v>
      </c>
    </row>
    <row r="34" spans="1:9" x14ac:dyDescent="0.25">
      <c r="A34" s="11">
        <v>172011</v>
      </c>
      <c r="B34" s="12" t="s">
        <v>26</v>
      </c>
      <c r="C34" s="13">
        <f>VLOOKUP(A34,'[1]Detail only - SOC'!$A$4:$I$721,3,FALSE)</f>
        <v>90</v>
      </c>
      <c r="D34" s="13">
        <f>VLOOKUP($A34,'[1]Detail only - SOC'!$A$4:$I$721,4,FALSE)</f>
        <v>115</v>
      </c>
      <c r="E34" s="13">
        <f>VLOOKUP($A34,'[1]Detail only - SOC'!$A$4:$I$721,5,FALSE)</f>
        <v>25</v>
      </c>
      <c r="F34" s="28">
        <f>VLOOKUP($A34,'[1]Detail only - SOC'!$A$4:$I$721,6,FALSE)</f>
        <v>0.27777777777777768</v>
      </c>
      <c r="G34" s="13">
        <f>VLOOKUP($A34,'[1]Detail only - SOC'!$A$4:$I$721,7,FALSE)</f>
        <v>25</v>
      </c>
      <c r="H34" s="13">
        <f>VLOOKUP($A34,'[1]Detail only - SOC'!$A$4:$I$721,8,FALSE)</f>
        <v>23</v>
      </c>
      <c r="I34" s="13">
        <f>VLOOKUP($A34,'[1]Detail only - SOC'!$A$4:$I$721,9,FALSE)</f>
        <v>48</v>
      </c>
    </row>
    <row r="35" spans="1:9" x14ac:dyDescent="0.25">
      <c r="A35" s="11">
        <v>172021</v>
      </c>
      <c r="B35" s="12" t="s">
        <v>27</v>
      </c>
      <c r="C35" s="13">
        <f>VLOOKUP(A35,'[1]Detail only - SOC'!$A$4:$I$721,3,FALSE)</f>
        <v>28</v>
      </c>
      <c r="D35" s="13">
        <f>VLOOKUP($A35,'[1]Detail only - SOC'!$A$4:$I$721,4,FALSE)</f>
        <v>36</v>
      </c>
      <c r="E35" s="13">
        <f>VLOOKUP($A35,'[1]Detail only - SOC'!$A$4:$I$721,5,FALSE)</f>
        <v>8</v>
      </c>
      <c r="F35" s="28">
        <f>VLOOKUP($A35,'[1]Detail only - SOC'!$A$4:$I$721,6,FALSE)</f>
        <v>0.28571428571428581</v>
      </c>
      <c r="G35" s="13">
        <f>VLOOKUP($A35,'[1]Detail only - SOC'!$A$4:$I$721,7,FALSE)</f>
        <v>8</v>
      </c>
      <c r="H35" s="13">
        <f>VLOOKUP($A35,'[1]Detail only - SOC'!$A$4:$I$721,8,FALSE)</f>
        <v>7</v>
      </c>
      <c r="I35" s="13">
        <f>VLOOKUP($A35,'[1]Detail only - SOC'!$A$4:$I$721,9,FALSE)</f>
        <v>15</v>
      </c>
    </row>
    <row r="36" spans="1:9" x14ac:dyDescent="0.25">
      <c r="A36" s="11">
        <v>172031</v>
      </c>
      <c r="B36" s="12" t="s">
        <v>28</v>
      </c>
      <c r="C36" s="13">
        <f>VLOOKUP(A36,'[1]Detail only - SOC'!$A$4:$I$721,3,FALSE)</f>
        <v>61</v>
      </c>
      <c r="D36" s="13">
        <f>VLOOKUP($A36,'[1]Detail only - SOC'!$A$4:$I$721,4,FALSE)</f>
        <v>75</v>
      </c>
      <c r="E36" s="13">
        <f>VLOOKUP($A36,'[1]Detail only - SOC'!$A$4:$I$721,5,FALSE)</f>
        <v>14</v>
      </c>
      <c r="F36" s="28">
        <f>VLOOKUP($A36,'[1]Detail only - SOC'!$A$4:$I$721,6,FALSE)</f>
        <v>0.22950819672131151</v>
      </c>
      <c r="G36" s="13">
        <f>VLOOKUP($A36,'[1]Detail only - SOC'!$A$4:$I$721,7,FALSE)</f>
        <v>14</v>
      </c>
      <c r="H36" s="13">
        <f>VLOOKUP($A36,'[1]Detail only - SOC'!$A$4:$I$721,8,FALSE)</f>
        <v>15</v>
      </c>
      <c r="I36" s="13">
        <f>VLOOKUP($A36,'[1]Detail only - SOC'!$A$4:$I$721,9,FALSE)</f>
        <v>29</v>
      </c>
    </row>
    <row r="37" spans="1:9" x14ac:dyDescent="0.25">
      <c r="A37" s="11">
        <v>172041</v>
      </c>
      <c r="B37" s="12" t="s">
        <v>29</v>
      </c>
      <c r="C37" s="13">
        <f>VLOOKUP(A37,'[1]Detail only - SOC'!$A$4:$I$721,3,FALSE)</f>
        <v>230</v>
      </c>
      <c r="D37" s="13">
        <f>VLOOKUP($A37,'[1]Detail only - SOC'!$A$4:$I$721,4,FALSE)</f>
        <v>272</v>
      </c>
      <c r="E37" s="13">
        <f>VLOOKUP($A37,'[1]Detail only - SOC'!$A$4:$I$721,5,FALSE)</f>
        <v>42</v>
      </c>
      <c r="F37" s="28">
        <f>VLOOKUP($A37,'[1]Detail only - SOC'!$A$4:$I$721,6,FALSE)</f>
        <v>0.18260869565217397</v>
      </c>
      <c r="G37" s="13">
        <f>VLOOKUP($A37,'[1]Detail only - SOC'!$A$4:$I$721,7,FALSE)</f>
        <v>42</v>
      </c>
      <c r="H37" s="13">
        <f>VLOOKUP($A37,'[1]Detail only - SOC'!$A$4:$I$721,8,FALSE)</f>
        <v>80</v>
      </c>
      <c r="I37" s="13">
        <f>VLOOKUP($A37,'[1]Detail only - SOC'!$A$4:$I$721,9,FALSE)</f>
        <v>122</v>
      </c>
    </row>
    <row r="38" spans="1:9" x14ac:dyDescent="0.25">
      <c r="A38" s="11">
        <v>172051</v>
      </c>
      <c r="B38" s="12" t="s">
        <v>30</v>
      </c>
      <c r="C38" s="13">
        <f>VLOOKUP(A38,'[1]Detail only - SOC'!$A$4:$I$721,3,FALSE)</f>
        <v>3180</v>
      </c>
      <c r="D38" s="13">
        <f>VLOOKUP($A38,'[1]Detail only - SOC'!$A$4:$I$721,4,FALSE)</f>
        <v>3743</v>
      </c>
      <c r="E38" s="13">
        <f>VLOOKUP($A38,'[1]Detail only - SOC'!$A$4:$I$721,5,FALSE)</f>
        <v>563</v>
      </c>
      <c r="F38" s="28">
        <f>VLOOKUP($A38,'[1]Detail only - SOC'!$A$4:$I$721,6,FALSE)</f>
        <v>0.17704402515723272</v>
      </c>
      <c r="G38" s="13">
        <f>VLOOKUP($A38,'[1]Detail only - SOC'!$A$4:$I$721,7,FALSE)</f>
        <v>563</v>
      </c>
      <c r="H38" s="13">
        <f>VLOOKUP($A38,'[1]Detail only - SOC'!$A$4:$I$721,8,FALSE)</f>
        <v>703</v>
      </c>
      <c r="I38" s="13">
        <f>VLOOKUP($A38,'[1]Detail only - SOC'!$A$4:$I$721,9,FALSE)</f>
        <v>1266</v>
      </c>
    </row>
    <row r="39" spans="1:9" x14ac:dyDescent="0.25">
      <c r="A39" s="11">
        <v>172071</v>
      </c>
      <c r="B39" s="12" t="s">
        <v>31</v>
      </c>
      <c r="C39" s="13">
        <f>VLOOKUP(A39,'[1]Detail only - SOC'!$A$4:$I$721,3,FALSE)</f>
        <v>1559</v>
      </c>
      <c r="D39" s="13">
        <f>VLOOKUP($A39,'[1]Detail only - SOC'!$A$4:$I$721,4,FALSE)</f>
        <v>1815</v>
      </c>
      <c r="E39" s="13">
        <f>VLOOKUP($A39,'[1]Detail only - SOC'!$A$4:$I$721,5,FALSE)</f>
        <v>256</v>
      </c>
      <c r="F39" s="28">
        <f>VLOOKUP($A39,'[1]Detail only - SOC'!$A$4:$I$721,6,FALSE)</f>
        <v>0.16420782552918545</v>
      </c>
      <c r="G39" s="13">
        <f>VLOOKUP($A39,'[1]Detail only - SOC'!$A$4:$I$721,7,FALSE)</f>
        <v>256</v>
      </c>
      <c r="H39" s="13">
        <f>VLOOKUP($A39,'[1]Detail only - SOC'!$A$4:$I$721,8,FALSE)</f>
        <v>407</v>
      </c>
      <c r="I39" s="13">
        <f>VLOOKUP($A39,'[1]Detail only - SOC'!$A$4:$I$721,9,FALSE)</f>
        <v>663</v>
      </c>
    </row>
    <row r="40" spans="1:9" x14ac:dyDescent="0.25">
      <c r="A40" s="11">
        <v>172072</v>
      </c>
      <c r="B40" s="12" t="s">
        <v>32</v>
      </c>
      <c r="C40" s="13">
        <f>VLOOKUP(A40,'[1]Detail only - SOC'!$A$4:$I$721,3,FALSE)</f>
        <v>2947</v>
      </c>
      <c r="D40" s="13">
        <f>VLOOKUP($A40,'[1]Detail only - SOC'!$A$4:$I$721,4,FALSE)</f>
        <v>3365</v>
      </c>
      <c r="E40" s="13">
        <f>VLOOKUP($A40,'[1]Detail only - SOC'!$A$4:$I$721,5,FALSE)</f>
        <v>418</v>
      </c>
      <c r="F40" s="28">
        <f>VLOOKUP($A40,'[1]Detail only - SOC'!$A$4:$I$721,6,FALSE)</f>
        <v>0.14183915846623685</v>
      </c>
      <c r="G40" s="13">
        <f>VLOOKUP($A40,'[1]Detail only - SOC'!$A$4:$I$721,7,FALSE)</f>
        <v>418</v>
      </c>
      <c r="H40" s="13">
        <f>VLOOKUP($A40,'[1]Detail only - SOC'!$A$4:$I$721,8,FALSE)</f>
        <v>761</v>
      </c>
      <c r="I40" s="13">
        <f>VLOOKUP($A40,'[1]Detail only - SOC'!$A$4:$I$721,9,FALSE)</f>
        <v>1179</v>
      </c>
    </row>
    <row r="41" spans="1:9" x14ac:dyDescent="0.25">
      <c r="A41" s="11">
        <v>172081</v>
      </c>
      <c r="B41" s="12" t="s">
        <v>33</v>
      </c>
      <c r="C41" s="13">
        <f>VLOOKUP(A41,'[1]Detail only - SOC'!$A$4:$I$721,3,FALSE)</f>
        <v>448</v>
      </c>
      <c r="D41" s="13">
        <f>VLOOKUP($A41,'[1]Detail only - SOC'!$A$4:$I$721,4,FALSE)</f>
        <v>526</v>
      </c>
      <c r="E41" s="13">
        <f>VLOOKUP($A41,'[1]Detail only - SOC'!$A$4:$I$721,5,FALSE)</f>
        <v>78</v>
      </c>
      <c r="F41" s="28">
        <f>VLOOKUP($A41,'[1]Detail only - SOC'!$A$4:$I$721,6,FALSE)</f>
        <v>0.17410714285714279</v>
      </c>
      <c r="G41" s="13">
        <f>VLOOKUP($A41,'[1]Detail only - SOC'!$A$4:$I$721,7,FALSE)</f>
        <v>78</v>
      </c>
      <c r="H41" s="13">
        <f>VLOOKUP($A41,'[1]Detail only - SOC'!$A$4:$I$721,8,FALSE)</f>
        <v>107</v>
      </c>
      <c r="I41" s="13">
        <f>VLOOKUP($A41,'[1]Detail only - SOC'!$A$4:$I$721,9,FALSE)</f>
        <v>185</v>
      </c>
    </row>
    <row r="42" spans="1:9" ht="30.75" x14ac:dyDescent="0.25">
      <c r="A42" s="11">
        <v>172111</v>
      </c>
      <c r="B42" s="12" t="s">
        <v>34</v>
      </c>
      <c r="C42" s="13">
        <f>VLOOKUP(A42,'[1]Detail only - SOC'!$A$4:$I$721,3,FALSE)</f>
        <v>185</v>
      </c>
      <c r="D42" s="13">
        <f>VLOOKUP($A42,'[1]Detail only - SOC'!$A$4:$I$721,4,FALSE)</f>
        <v>212</v>
      </c>
      <c r="E42" s="13">
        <f>VLOOKUP($A42,'[1]Detail only - SOC'!$A$4:$I$721,5,FALSE)</f>
        <v>27</v>
      </c>
      <c r="F42" s="28">
        <f>VLOOKUP($A42,'[1]Detail only - SOC'!$A$4:$I$721,6,FALSE)</f>
        <v>0.14594594594594601</v>
      </c>
      <c r="G42" s="13">
        <f>VLOOKUP($A42,'[1]Detail only - SOC'!$A$4:$I$721,7,FALSE)</f>
        <v>27</v>
      </c>
      <c r="H42" s="13">
        <f>VLOOKUP($A42,'[1]Detail only - SOC'!$A$4:$I$721,8,FALSE)</f>
        <v>43</v>
      </c>
      <c r="I42" s="13">
        <f>VLOOKUP($A42,'[1]Detail only - SOC'!$A$4:$I$721,9,FALSE)</f>
        <v>70</v>
      </c>
    </row>
    <row r="43" spans="1:9" x14ac:dyDescent="0.25">
      <c r="A43" s="11">
        <v>172112</v>
      </c>
      <c r="B43" s="12" t="s">
        <v>35</v>
      </c>
      <c r="C43" s="13">
        <f>VLOOKUP(A43,'[1]Detail only - SOC'!$A$4:$I$721,3,FALSE)</f>
        <v>2130</v>
      </c>
      <c r="D43" s="13">
        <f>VLOOKUP($A43,'[1]Detail only - SOC'!$A$4:$I$721,4,FALSE)</f>
        <v>2460</v>
      </c>
      <c r="E43" s="13">
        <f>VLOOKUP($A43,'[1]Detail only - SOC'!$A$4:$I$721,5,FALSE)</f>
        <v>330</v>
      </c>
      <c r="F43" s="28">
        <f>VLOOKUP($A43,'[1]Detail only - SOC'!$A$4:$I$721,6,FALSE)</f>
        <v>0.15492957746478875</v>
      </c>
      <c r="G43" s="13">
        <f>VLOOKUP($A43,'[1]Detail only - SOC'!$A$4:$I$721,7,FALSE)</f>
        <v>330</v>
      </c>
      <c r="H43" s="13">
        <f>VLOOKUP($A43,'[1]Detail only - SOC'!$A$4:$I$721,8,FALSE)</f>
        <v>500</v>
      </c>
      <c r="I43" s="13">
        <f>VLOOKUP($A43,'[1]Detail only - SOC'!$A$4:$I$721,9,FALSE)</f>
        <v>830</v>
      </c>
    </row>
    <row r="44" spans="1:9" x14ac:dyDescent="0.25">
      <c r="A44" s="11">
        <v>172121</v>
      </c>
      <c r="B44" s="12" t="s">
        <v>36</v>
      </c>
      <c r="C44" s="13">
        <f>VLOOKUP(A44,'[1]Detail only - SOC'!$A$4:$I$721,3,FALSE)</f>
        <v>7</v>
      </c>
      <c r="D44" s="13">
        <f>VLOOKUP($A44,'[1]Detail only - SOC'!$A$4:$I$721,4,FALSE)</f>
        <v>18</v>
      </c>
      <c r="E44" s="13">
        <f>VLOOKUP($A44,'[1]Detail only - SOC'!$A$4:$I$721,5,FALSE)</f>
        <v>11</v>
      </c>
      <c r="F44" s="28">
        <f>VLOOKUP($A44,'[1]Detail only - SOC'!$A$4:$I$721,6,FALSE)</f>
        <v>1.5714285714285716</v>
      </c>
      <c r="G44" s="13">
        <f>VLOOKUP($A44,'[1]Detail only - SOC'!$A$4:$I$721,7,FALSE)</f>
        <v>11</v>
      </c>
      <c r="H44" s="13">
        <f>VLOOKUP($A44,'[1]Detail only - SOC'!$A$4:$I$721,8,FALSE)</f>
        <v>3</v>
      </c>
      <c r="I44" s="13">
        <f>VLOOKUP($A44,'[1]Detail only - SOC'!$A$4:$I$721,9,FALSE)</f>
        <v>14</v>
      </c>
    </row>
    <row r="45" spans="1:9" x14ac:dyDescent="0.25">
      <c r="A45" s="11">
        <v>172131</v>
      </c>
      <c r="B45" s="12" t="s">
        <v>37</v>
      </c>
      <c r="C45" s="13">
        <f>VLOOKUP(A45,'[1]Detail only - SOC'!$A$4:$I$721,3,FALSE)</f>
        <v>350</v>
      </c>
      <c r="D45" s="13">
        <f>VLOOKUP($A45,'[1]Detail only - SOC'!$A$4:$I$721,4,FALSE)</f>
        <v>412</v>
      </c>
      <c r="E45" s="13">
        <f>VLOOKUP($A45,'[1]Detail only - SOC'!$A$4:$I$721,5,FALSE)</f>
        <v>62</v>
      </c>
      <c r="F45" s="28">
        <f>VLOOKUP($A45,'[1]Detail only - SOC'!$A$4:$I$721,6,FALSE)</f>
        <v>0.17714285714285705</v>
      </c>
      <c r="G45" s="13">
        <f>VLOOKUP($A45,'[1]Detail only - SOC'!$A$4:$I$721,7,FALSE)</f>
        <v>62</v>
      </c>
      <c r="H45" s="13">
        <f>VLOOKUP($A45,'[1]Detail only - SOC'!$A$4:$I$721,8,FALSE)</f>
        <v>105</v>
      </c>
      <c r="I45" s="13">
        <f>VLOOKUP($A45,'[1]Detail only - SOC'!$A$4:$I$721,9,FALSE)</f>
        <v>167</v>
      </c>
    </row>
    <row r="46" spans="1:9" x14ac:dyDescent="0.25">
      <c r="A46" s="11">
        <v>172141</v>
      </c>
      <c r="B46" s="12" t="s">
        <v>38</v>
      </c>
      <c r="C46" s="13">
        <f>VLOOKUP(A46,'[1]Detail only - SOC'!$A$4:$I$721,3,FALSE)</f>
        <v>2535</v>
      </c>
      <c r="D46" s="13">
        <f>VLOOKUP($A46,'[1]Detail only - SOC'!$A$4:$I$721,4,FALSE)</f>
        <v>3018</v>
      </c>
      <c r="E46" s="13">
        <f>VLOOKUP($A46,'[1]Detail only - SOC'!$A$4:$I$721,5,FALSE)</f>
        <v>483</v>
      </c>
      <c r="F46" s="28">
        <f>VLOOKUP($A46,'[1]Detail only - SOC'!$A$4:$I$721,6,FALSE)</f>
        <v>0.19053254437869827</v>
      </c>
      <c r="G46" s="13">
        <f>VLOOKUP($A46,'[1]Detail only - SOC'!$A$4:$I$721,7,FALSE)</f>
        <v>483</v>
      </c>
      <c r="H46" s="13">
        <f>VLOOKUP($A46,'[1]Detail only - SOC'!$A$4:$I$721,8,FALSE)</f>
        <v>893</v>
      </c>
      <c r="I46" s="13">
        <f>VLOOKUP($A46,'[1]Detail only - SOC'!$A$4:$I$721,9,FALSE)</f>
        <v>1376</v>
      </c>
    </row>
    <row r="47" spans="1:9" ht="30.75" x14ac:dyDescent="0.25">
      <c r="A47" s="11">
        <v>172151</v>
      </c>
      <c r="B47" s="12" t="s">
        <v>39</v>
      </c>
      <c r="C47" s="13"/>
      <c r="D47" s="13"/>
      <c r="E47" s="13"/>
      <c r="F47" s="28"/>
      <c r="G47" s="13"/>
      <c r="H47" s="13"/>
      <c r="I47" s="13"/>
    </row>
    <row r="48" spans="1:9" x14ac:dyDescent="0.25">
      <c r="A48" s="11">
        <v>172199</v>
      </c>
      <c r="B48" s="12" t="s">
        <v>40</v>
      </c>
      <c r="C48" s="13">
        <f>VLOOKUP(A48,'[1]Detail only - SOC'!$A$4:$I$721,3,FALSE)</f>
        <v>2167</v>
      </c>
      <c r="D48" s="13">
        <f>VLOOKUP($A48,'[1]Detail only - SOC'!$A$4:$I$721,4,FALSE)</f>
        <v>2505</v>
      </c>
      <c r="E48" s="13">
        <f>VLOOKUP($A48,'[1]Detail only - SOC'!$A$4:$I$721,5,FALSE)</f>
        <v>338</v>
      </c>
      <c r="F48" s="28">
        <f>VLOOKUP($A48,'[1]Detail only - SOC'!$A$4:$I$721,6,FALSE)</f>
        <v>0.1559760036917397</v>
      </c>
      <c r="G48" s="13">
        <f>VLOOKUP($A48,'[1]Detail only - SOC'!$A$4:$I$721,7,FALSE)</f>
        <v>338</v>
      </c>
      <c r="H48" s="13">
        <f>VLOOKUP($A48,'[1]Detail only - SOC'!$A$4:$I$721,8,FALSE)</f>
        <v>514</v>
      </c>
      <c r="I48" s="13">
        <f>VLOOKUP($A48,'[1]Detail only - SOC'!$A$4:$I$721,9,FALSE)</f>
        <v>852</v>
      </c>
    </row>
    <row r="49" spans="1:9" x14ac:dyDescent="0.25">
      <c r="A49" s="11">
        <v>173011</v>
      </c>
      <c r="B49" s="12" t="s">
        <v>41</v>
      </c>
      <c r="C49" s="13">
        <f>VLOOKUP(A49,'[1]Detail only - SOC'!$A$4:$I$721,3,FALSE)</f>
        <v>1299</v>
      </c>
      <c r="D49" s="13">
        <f>VLOOKUP($A49,'[1]Detail only - SOC'!$A$4:$I$721,4,FALSE)</f>
        <v>1606</v>
      </c>
      <c r="E49" s="13">
        <f>VLOOKUP($A49,'[1]Detail only - SOC'!$A$4:$I$721,5,FALSE)</f>
        <v>307</v>
      </c>
      <c r="F49" s="28">
        <f>VLOOKUP($A49,'[1]Detail only - SOC'!$A$4:$I$721,6,FALSE)</f>
        <v>0.23633564280215547</v>
      </c>
      <c r="G49" s="13">
        <f>VLOOKUP($A49,'[1]Detail only - SOC'!$A$4:$I$721,7,FALSE)</f>
        <v>307</v>
      </c>
      <c r="H49" s="13">
        <f>VLOOKUP($A49,'[1]Detail only - SOC'!$A$4:$I$721,8,FALSE)</f>
        <v>281</v>
      </c>
      <c r="I49" s="13">
        <f>VLOOKUP($A49,'[1]Detail only - SOC'!$A$4:$I$721,9,FALSE)</f>
        <v>588</v>
      </c>
    </row>
    <row r="50" spans="1:9" x14ac:dyDescent="0.25">
      <c r="A50" s="11">
        <v>173012</v>
      </c>
      <c r="B50" s="12" t="s">
        <v>42</v>
      </c>
      <c r="C50" s="13">
        <f>VLOOKUP(A50,'[1]Detail only - SOC'!$A$4:$I$721,3,FALSE)</f>
        <v>284</v>
      </c>
      <c r="D50" s="13">
        <f>VLOOKUP($A50,'[1]Detail only - SOC'!$A$4:$I$721,4,FALSE)</f>
        <v>343</v>
      </c>
      <c r="E50" s="13">
        <f>VLOOKUP($A50,'[1]Detail only - SOC'!$A$4:$I$721,5,FALSE)</f>
        <v>59</v>
      </c>
      <c r="F50" s="28">
        <f>VLOOKUP($A50,'[1]Detail only - SOC'!$A$4:$I$721,6,FALSE)</f>
        <v>0.20774647887323949</v>
      </c>
      <c r="G50" s="13">
        <f>VLOOKUP($A50,'[1]Detail only - SOC'!$A$4:$I$721,7,FALSE)</f>
        <v>59</v>
      </c>
      <c r="H50" s="13">
        <f>VLOOKUP($A50,'[1]Detail only - SOC'!$A$4:$I$721,8,FALSE)</f>
        <v>61</v>
      </c>
      <c r="I50" s="13">
        <f>VLOOKUP($A50,'[1]Detail only - SOC'!$A$4:$I$721,9,FALSE)</f>
        <v>120</v>
      </c>
    </row>
    <row r="51" spans="1:9" x14ac:dyDescent="0.25">
      <c r="A51" s="11">
        <v>173013</v>
      </c>
      <c r="B51" s="12" t="s">
        <v>43</v>
      </c>
      <c r="C51" s="13">
        <f>VLOOKUP(A51,'[1]Detail only - SOC'!$A$4:$I$721,3,FALSE)</f>
        <v>635</v>
      </c>
      <c r="D51" s="13">
        <f>VLOOKUP($A51,'[1]Detail only - SOC'!$A$4:$I$721,4,FALSE)</f>
        <v>779</v>
      </c>
      <c r="E51" s="13">
        <f>VLOOKUP($A51,'[1]Detail only - SOC'!$A$4:$I$721,5,FALSE)</f>
        <v>144</v>
      </c>
      <c r="F51" s="28">
        <f>VLOOKUP($A51,'[1]Detail only - SOC'!$A$4:$I$721,6,FALSE)</f>
        <v>0.22677165354330708</v>
      </c>
      <c r="G51" s="13">
        <f>VLOOKUP($A51,'[1]Detail only - SOC'!$A$4:$I$721,7,FALSE)</f>
        <v>144</v>
      </c>
      <c r="H51" s="13">
        <f>VLOOKUP($A51,'[1]Detail only - SOC'!$A$4:$I$721,8,FALSE)</f>
        <v>137</v>
      </c>
      <c r="I51" s="13">
        <f>VLOOKUP($A51,'[1]Detail only - SOC'!$A$4:$I$721,9,FALSE)</f>
        <v>281</v>
      </c>
    </row>
    <row r="52" spans="1:9" x14ac:dyDescent="0.25">
      <c r="A52" s="11">
        <v>173019</v>
      </c>
      <c r="B52" s="12" t="s">
        <v>44</v>
      </c>
      <c r="C52" s="13">
        <f>VLOOKUP(A52,'[1]Detail only - SOC'!$A$4:$I$721,3,FALSE)</f>
        <v>425</v>
      </c>
      <c r="D52" s="13">
        <f>VLOOKUP($A52,'[1]Detail only - SOC'!$A$4:$I$721,4,FALSE)</f>
        <v>517</v>
      </c>
      <c r="E52" s="13">
        <f>VLOOKUP($A52,'[1]Detail only - SOC'!$A$4:$I$721,5,FALSE)</f>
        <v>92</v>
      </c>
      <c r="F52" s="28">
        <f>VLOOKUP($A52,'[1]Detail only - SOC'!$A$4:$I$721,6,FALSE)</f>
        <v>0.21647058823529419</v>
      </c>
      <c r="G52" s="13">
        <f>VLOOKUP($A52,'[1]Detail only - SOC'!$A$4:$I$721,7,FALSE)</f>
        <v>92</v>
      </c>
      <c r="H52" s="13">
        <f>VLOOKUP($A52,'[1]Detail only - SOC'!$A$4:$I$721,8,FALSE)</f>
        <v>91</v>
      </c>
      <c r="I52" s="13">
        <f>VLOOKUP($A52,'[1]Detail only - SOC'!$A$4:$I$721,9,FALSE)</f>
        <v>183</v>
      </c>
    </row>
    <row r="53" spans="1:9" x14ac:dyDescent="0.25">
      <c r="A53" s="11">
        <v>173021</v>
      </c>
      <c r="B53" s="12" t="s">
        <v>45</v>
      </c>
      <c r="C53" s="13"/>
      <c r="D53" s="13"/>
      <c r="E53" s="13"/>
      <c r="F53" s="28"/>
      <c r="G53" s="13"/>
      <c r="H53" s="13"/>
      <c r="I53" s="13"/>
    </row>
    <row r="54" spans="1:9" x14ac:dyDescent="0.25">
      <c r="A54" s="11">
        <v>173022</v>
      </c>
      <c r="B54" s="12" t="s">
        <v>46</v>
      </c>
      <c r="C54" s="13">
        <f>VLOOKUP(A54,'[1]Detail only - SOC'!$A$4:$I$721,3,FALSE)</f>
        <v>996</v>
      </c>
      <c r="D54" s="13">
        <f>VLOOKUP($A54,'[1]Detail only - SOC'!$A$4:$I$721,4,FALSE)</f>
        <v>1114</v>
      </c>
      <c r="E54" s="13">
        <f>VLOOKUP($A54,'[1]Detail only - SOC'!$A$4:$I$721,5,FALSE)</f>
        <v>118</v>
      </c>
      <c r="F54" s="28">
        <f>VLOOKUP($A54,'[1]Detail only - SOC'!$A$4:$I$721,6,FALSE)</f>
        <v>0.11847389558232924</v>
      </c>
      <c r="G54" s="13">
        <f>VLOOKUP($A54,'[1]Detail only - SOC'!$A$4:$I$721,7,FALSE)</f>
        <v>118</v>
      </c>
      <c r="H54" s="13">
        <f>VLOOKUP($A54,'[1]Detail only - SOC'!$A$4:$I$721,8,FALSE)</f>
        <v>202</v>
      </c>
      <c r="I54" s="13">
        <f>VLOOKUP($A54,'[1]Detail only - SOC'!$A$4:$I$721,9,FALSE)</f>
        <v>320</v>
      </c>
    </row>
    <row r="55" spans="1:9" x14ac:dyDescent="0.25">
      <c r="A55" s="11">
        <v>173023</v>
      </c>
      <c r="B55" s="12" t="s">
        <v>47</v>
      </c>
      <c r="C55" s="13">
        <f>VLOOKUP(A55,'[1]Detail only - SOC'!$A$4:$I$721,3,FALSE)</f>
        <v>2932</v>
      </c>
      <c r="D55" s="13">
        <f>VLOOKUP($A55,'[1]Detail only - SOC'!$A$4:$I$721,4,FALSE)</f>
        <v>3366</v>
      </c>
      <c r="E55" s="13">
        <f>VLOOKUP($A55,'[1]Detail only - SOC'!$A$4:$I$721,5,FALSE)</f>
        <v>434</v>
      </c>
      <c r="F55" s="28">
        <f>VLOOKUP($A55,'[1]Detail only - SOC'!$A$4:$I$721,6,FALSE)</f>
        <v>0.14802182810368358</v>
      </c>
      <c r="G55" s="13">
        <f>VLOOKUP($A55,'[1]Detail only - SOC'!$A$4:$I$721,7,FALSE)</f>
        <v>434</v>
      </c>
      <c r="H55" s="13">
        <f>VLOOKUP($A55,'[1]Detail only - SOC'!$A$4:$I$721,8,FALSE)</f>
        <v>602</v>
      </c>
      <c r="I55" s="13">
        <f>VLOOKUP($A55,'[1]Detail only - SOC'!$A$4:$I$721,9,FALSE)</f>
        <v>1036</v>
      </c>
    </row>
    <row r="56" spans="1:9" x14ac:dyDescent="0.25">
      <c r="A56" s="11">
        <v>173024</v>
      </c>
      <c r="B56" s="12" t="s">
        <v>48</v>
      </c>
      <c r="C56" s="13">
        <f>VLOOKUP(A56,'[1]Detail only - SOC'!$A$4:$I$721,3,FALSE)</f>
        <v>131</v>
      </c>
      <c r="D56" s="13">
        <f>VLOOKUP($A56,'[1]Detail only - SOC'!$A$4:$I$721,4,FALSE)</f>
        <v>159</v>
      </c>
      <c r="E56" s="13">
        <f>VLOOKUP($A56,'[1]Detail only - SOC'!$A$4:$I$721,5,FALSE)</f>
        <v>28</v>
      </c>
      <c r="F56" s="28">
        <f>VLOOKUP($A56,'[1]Detail only - SOC'!$A$4:$I$721,6,FALSE)</f>
        <v>0.21374045801526709</v>
      </c>
      <c r="G56" s="13">
        <f>VLOOKUP($A56,'[1]Detail only - SOC'!$A$4:$I$721,7,FALSE)</f>
        <v>28</v>
      </c>
      <c r="H56" s="13">
        <f>VLOOKUP($A56,'[1]Detail only - SOC'!$A$4:$I$721,8,FALSE)</f>
        <v>28</v>
      </c>
      <c r="I56" s="13">
        <f>VLOOKUP($A56,'[1]Detail only - SOC'!$A$4:$I$721,9,FALSE)</f>
        <v>56</v>
      </c>
    </row>
    <row r="57" spans="1:9" x14ac:dyDescent="0.25">
      <c r="A57" s="11">
        <v>173025</v>
      </c>
      <c r="B57" s="12" t="s">
        <v>49</v>
      </c>
      <c r="C57" s="13">
        <f>VLOOKUP(A57,'[1]Detail only - SOC'!$A$4:$I$721,3,FALSE)</f>
        <v>185</v>
      </c>
      <c r="D57" s="13">
        <f>VLOOKUP($A57,'[1]Detail only - SOC'!$A$4:$I$721,4,FALSE)</f>
        <v>216</v>
      </c>
      <c r="E57" s="13">
        <f>VLOOKUP($A57,'[1]Detail only - SOC'!$A$4:$I$721,5,FALSE)</f>
        <v>31</v>
      </c>
      <c r="F57" s="28">
        <f>VLOOKUP($A57,'[1]Detail only - SOC'!$A$4:$I$721,6,FALSE)</f>
        <v>0.16756756756756763</v>
      </c>
      <c r="G57" s="13">
        <f>VLOOKUP($A57,'[1]Detail only - SOC'!$A$4:$I$721,7,FALSE)</f>
        <v>31</v>
      </c>
      <c r="H57" s="13">
        <f>VLOOKUP($A57,'[1]Detail only - SOC'!$A$4:$I$721,8,FALSE)</f>
        <v>38</v>
      </c>
      <c r="I57" s="13">
        <f>VLOOKUP($A57,'[1]Detail only - SOC'!$A$4:$I$721,9,FALSE)</f>
        <v>69</v>
      </c>
    </row>
    <row r="58" spans="1:9" x14ac:dyDescent="0.25">
      <c r="A58" s="11">
        <v>173027</v>
      </c>
      <c r="B58" s="12" t="s">
        <v>50</v>
      </c>
      <c r="C58" s="13">
        <f>VLOOKUP(A58,'[1]Detail only - SOC'!$A$4:$I$721,3,FALSE)</f>
        <v>425</v>
      </c>
      <c r="D58" s="13">
        <f>VLOOKUP($A58,'[1]Detail only - SOC'!$A$4:$I$721,4,FALSE)</f>
        <v>516</v>
      </c>
      <c r="E58" s="13">
        <f>VLOOKUP($A58,'[1]Detail only - SOC'!$A$4:$I$721,5,FALSE)</f>
        <v>91</v>
      </c>
      <c r="F58" s="28">
        <f>VLOOKUP($A58,'[1]Detail only - SOC'!$A$4:$I$721,6,FALSE)</f>
        <v>0.21411764705882352</v>
      </c>
      <c r="G58" s="13">
        <f>VLOOKUP($A58,'[1]Detail only - SOC'!$A$4:$I$721,7,FALSE)</f>
        <v>91</v>
      </c>
      <c r="H58" s="13">
        <f>VLOOKUP($A58,'[1]Detail only - SOC'!$A$4:$I$721,8,FALSE)</f>
        <v>90</v>
      </c>
      <c r="I58" s="13">
        <f>VLOOKUP($A58,'[1]Detail only - SOC'!$A$4:$I$721,9,FALSE)</f>
        <v>181</v>
      </c>
    </row>
    <row r="59" spans="1:9" x14ac:dyDescent="0.25">
      <c r="A59" s="11">
        <v>173029</v>
      </c>
      <c r="B59" s="12" t="s">
        <v>51</v>
      </c>
      <c r="C59" s="13">
        <f>VLOOKUP(A59,'[1]Detail only - SOC'!$A$4:$I$721,3,FALSE)</f>
        <v>1549</v>
      </c>
      <c r="D59" s="13">
        <f>VLOOKUP($A59,'[1]Detail only - SOC'!$A$4:$I$721,4,FALSE)</f>
        <v>1734</v>
      </c>
      <c r="E59" s="13">
        <f>VLOOKUP($A59,'[1]Detail only - SOC'!$A$4:$I$721,5,FALSE)</f>
        <v>185</v>
      </c>
      <c r="F59" s="28">
        <f>VLOOKUP($A59,'[1]Detail only - SOC'!$A$4:$I$721,6,FALSE)</f>
        <v>0.11943189154293088</v>
      </c>
      <c r="G59" s="13">
        <f>VLOOKUP($A59,'[1]Detail only - SOC'!$A$4:$I$721,7,FALSE)</f>
        <v>185</v>
      </c>
      <c r="H59" s="13">
        <f>VLOOKUP($A59,'[1]Detail only - SOC'!$A$4:$I$721,8,FALSE)</f>
        <v>314</v>
      </c>
      <c r="I59" s="13">
        <f>VLOOKUP($A59,'[1]Detail only - SOC'!$A$4:$I$721,9,FALSE)</f>
        <v>499</v>
      </c>
    </row>
    <row r="60" spans="1:9" x14ac:dyDescent="0.25">
      <c r="A60" s="11">
        <v>173031</v>
      </c>
      <c r="B60" s="12" t="s">
        <v>52</v>
      </c>
      <c r="C60" s="13">
        <f>VLOOKUP(A60,'[1]Detail only - SOC'!$A$4:$I$721,3,FALSE)</f>
        <v>1178</v>
      </c>
      <c r="D60" s="13">
        <f>VLOOKUP($A60,'[1]Detail only - SOC'!$A$4:$I$721,4,FALSE)</f>
        <v>1409</v>
      </c>
      <c r="E60" s="13">
        <f>VLOOKUP($A60,'[1]Detail only - SOC'!$A$4:$I$721,5,FALSE)</f>
        <v>231</v>
      </c>
      <c r="F60" s="28">
        <f>VLOOKUP($A60,'[1]Detail only - SOC'!$A$4:$I$721,6,FALSE)</f>
        <v>0.19609507640067902</v>
      </c>
      <c r="G60" s="13">
        <f>VLOOKUP($A60,'[1]Detail only - SOC'!$A$4:$I$721,7,FALSE)</f>
        <v>231</v>
      </c>
      <c r="H60" s="13">
        <f>VLOOKUP($A60,'[1]Detail only - SOC'!$A$4:$I$721,8,FALSE)</f>
        <v>248</v>
      </c>
      <c r="I60" s="13">
        <f>VLOOKUP($A60,'[1]Detail only - SOC'!$A$4:$I$721,9,FALSE)</f>
        <v>479</v>
      </c>
    </row>
    <row r="61" spans="1:9" x14ac:dyDescent="0.25">
      <c r="A61" s="11"/>
      <c r="B61" s="12"/>
      <c r="C61" s="13"/>
      <c r="D61" s="13"/>
      <c r="E61" s="13"/>
      <c r="F61" s="28"/>
      <c r="G61" s="13"/>
      <c r="H61" s="13"/>
      <c r="I61" s="13"/>
    </row>
    <row r="62" spans="1:9" x14ac:dyDescent="0.25">
      <c r="A62" s="8" t="s">
        <v>53</v>
      </c>
      <c r="B62" s="12"/>
      <c r="C62" s="13"/>
      <c r="D62" s="13"/>
      <c r="E62" s="13"/>
      <c r="F62" s="28"/>
      <c r="G62" s="13"/>
      <c r="H62" s="13"/>
      <c r="I62" s="13"/>
    </row>
    <row r="63" spans="1:9" x14ac:dyDescent="0.25">
      <c r="A63" s="11">
        <v>191011</v>
      </c>
      <c r="B63" s="12" t="s">
        <v>54</v>
      </c>
      <c r="C63" s="13">
        <f>VLOOKUP(A63,'[1]Detail only - SOC'!$A$4:$I$721,3,FALSE)</f>
        <v>37</v>
      </c>
      <c r="D63" s="13">
        <f>VLOOKUP($A63,'[1]Detail only - SOC'!$A$4:$I$721,4,FALSE)</f>
        <v>45</v>
      </c>
      <c r="E63" s="13">
        <f>VLOOKUP($A63,'[1]Detail only - SOC'!$A$4:$I$721,5,FALSE)</f>
        <v>8</v>
      </c>
      <c r="F63" s="28">
        <f>VLOOKUP($A63,'[1]Detail only - SOC'!$A$4:$I$721,6,FALSE)</f>
        <v>0.21621621621621623</v>
      </c>
      <c r="G63" s="13">
        <f>VLOOKUP($A63,'[1]Detail only - SOC'!$A$4:$I$721,7,FALSE)</f>
        <v>8</v>
      </c>
      <c r="H63" s="13">
        <f>VLOOKUP($A63,'[1]Detail only - SOC'!$A$4:$I$721,8,FALSE)</f>
        <v>17</v>
      </c>
      <c r="I63" s="13">
        <f>VLOOKUP($A63,'[1]Detail only - SOC'!$A$4:$I$721,9,FALSE)</f>
        <v>25</v>
      </c>
    </row>
    <row r="64" spans="1:9" x14ac:dyDescent="0.25">
      <c r="A64" s="11">
        <v>191012</v>
      </c>
      <c r="B64" s="12" t="s">
        <v>55</v>
      </c>
      <c r="C64" s="13">
        <f>VLOOKUP(A64,'[1]Detail only - SOC'!$A$4:$I$721,3,FALSE)</f>
        <v>164</v>
      </c>
      <c r="D64" s="13">
        <f>VLOOKUP($A64,'[1]Detail only - SOC'!$A$4:$I$721,4,FALSE)</f>
        <v>185</v>
      </c>
      <c r="E64" s="13">
        <f>VLOOKUP($A64,'[1]Detail only - SOC'!$A$4:$I$721,5,FALSE)</f>
        <v>21</v>
      </c>
      <c r="F64" s="28">
        <f>VLOOKUP($A64,'[1]Detail only - SOC'!$A$4:$I$721,6,FALSE)</f>
        <v>0.12804878048780477</v>
      </c>
      <c r="G64" s="13">
        <f>VLOOKUP($A64,'[1]Detail only - SOC'!$A$4:$I$721,7,FALSE)</f>
        <v>21</v>
      </c>
      <c r="H64" s="13">
        <f>VLOOKUP($A64,'[1]Detail only - SOC'!$A$4:$I$721,8,FALSE)</f>
        <v>71</v>
      </c>
      <c r="I64" s="13">
        <f>VLOOKUP($A64,'[1]Detail only - SOC'!$A$4:$I$721,9,FALSE)</f>
        <v>92</v>
      </c>
    </row>
    <row r="65" spans="1:9" x14ac:dyDescent="0.25">
      <c r="A65" s="11">
        <v>191013</v>
      </c>
      <c r="B65" s="12" t="s">
        <v>56</v>
      </c>
      <c r="C65" s="13">
        <f>VLOOKUP(A65,'[1]Detail only - SOC'!$A$4:$I$721,3,FALSE)</f>
        <v>542</v>
      </c>
      <c r="D65" s="13">
        <f>VLOOKUP($A65,'[1]Detail only - SOC'!$A$4:$I$721,4,FALSE)</f>
        <v>615</v>
      </c>
      <c r="E65" s="13">
        <f>VLOOKUP($A65,'[1]Detail only - SOC'!$A$4:$I$721,5,FALSE)</f>
        <v>73</v>
      </c>
      <c r="F65" s="28">
        <f>VLOOKUP($A65,'[1]Detail only - SOC'!$A$4:$I$721,6,FALSE)</f>
        <v>0.1346863468634687</v>
      </c>
      <c r="G65" s="13">
        <f>VLOOKUP($A65,'[1]Detail only - SOC'!$A$4:$I$721,7,FALSE)</f>
        <v>73</v>
      </c>
      <c r="H65" s="13">
        <f>VLOOKUP($A65,'[1]Detail only - SOC'!$A$4:$I$721,8,FALSE)</f>
        <v>237</v>
      </c>
      <c r="I65" s="13">
        <f>VLOOKUP($A65,'[1]Detail only - SOC'!$A$4:$I$721,9,FALSE)</f>
        <v>310</v>
      </c>
    </row>
    <row r="66" spans="1:9" x14ac:dyDescent="0.25">
      <c r="A66" s="11">
        <v>191021</v>
      </c>
      <c r="B66" s="12" t="s">
        <v>57</v>
      </c>
      <c r="C66" s="13">
        <f>VLOOKUP(A66,'[1]Detail only - SOC'!$A$4:$I$721,3,FALSE)</f>
        <v>110</v>
      </c>
      <c r="D66" s="13">
        <f>VLOOKUP($A66,'[1]Detail only - SOC'!$A$4:$I$721,4,FALSE)</f>
        <v>129</v>
      </c>
      <c r="E66" s="13">
        <f>VLOOKUP($A66,'[1]Detail only - SOC'!$A$4:$I$721,5,FALSE)</f>
        <v>19</v>
      </c>
      <c r="F66" s="28">
        <f>VLOOKUP($A66,'[1]Detail only - SOC'!$A$4:$I$721,6,FALSE)</f>
        <v>0.17272727272727262</v>
      </c>
      <c r="G66" s="13">
        <f>VLOOKUP($A66,'[1]Detail only - SOC'!$A$4:$I$721,7,FALSE)</f>
        <v>19</v>
      </c>
      <c r="H66" s="13">
        <f>VLOOKUP($A66,'[1]Detail only - SOC'!$A$4:$I$721,8,FALSE)</f>
        <v>27</v>
      </c>
      <c r="I66" s="13">
        <f>VLOOKUP($A66,'[1]Detail only - SOC'!$A$4:$I$721,9,FALSE)</f>
        <v>46</v>
      </c>
    </row>
    <row r="67" spans="1:9" x14ac:dyDescent="0.25">
      <c r="A67" s="11">
        <v>191022</v>
      </c>
      <c r="B67" s="12" t="s">
        <v>58</v>
      </c>
      <c r="C67" s="13">
        <f>VLOOKUP(A67,'[1]Detail only - SOC'!$A$4:$I$721,3,FALSE)</f>
        <v>126</v>
      </c>
      <c r="D67" s="13">
        <f>VLOOKUP($A67,'[1]Detail only - SOC'!$A$4:$I$721,4,FALSE)</f>
        <v>144</v>
      </c>
      <c r="E67" s="13">
        <f>VLOOKUP($A67,'[1]Detail only - SOC'!$A$4:$I$721,5,FALSE)</f>
        <v>18</v>
      </c>
      <c r="F67" s="28">
        <f>VLOOKUP($A67,'[1]Detail only - SOC'!$A$4:$I$721,6,FALSE)</f>
        <v>0.14285714285714279</v>
      </c>
      <c r="G67" s="13">
        <f>VLOOKUP($A67,'[1]Detail only - SOC'!$A$4:$I$721,7,FALSE)</f>
        <v>18</v>
      </c>
      <c r="H67" s="13">
        <f>VLOOKUP($A67,'[1]Detail only - SOC'!$A$4:$I$721,8,FALSE)</f>
        <v>30</v>
      </c>
      <c r="I67" s="13">
        <f>VLOOKUP($A67,'[1]Detail only - SOC'!$A$4:$I$721,9,FALSE)</f>
        <v>48</v>
      </c>
    </row>
    <row r="68" spans="1:9" x14ac:dyDescent="0.25">
      <c r="A68" s="11">
        <v>191023</v>
      </c>
      <c r="B68" s="12" t="s">
        <v>59</v>
      </c>
      <c r="C68" s="13">
        <f>VLOOKUP(A68,'[1]Detail only - SOC'!$A$4:$I$721,3,FALSE)</f>
        <v>1290</v>
      </c>
      <c r="D68" s="13">
        <f>VLOOKUP($A68,'[1]Detail only - SOC'!$A$4:$I$721,4,FALSE)</f>
        <v>1470</v>
      </c>
      <c r="E68" s="13">
        <f>VLOOKUP($A68,'[1]Detail only - SOC'!$A$4:$I$721,5,FALSE)</f>
        <v>180</v>
      </c>
      <c r="F68" s="28">
        <f>VLOOKUP($A68,'[1]Detail only - SOC'!$A$4:$I$721,6,FALSE)</f>
        <v>0.13953488372093026</v>
      </c>
      <c r="G68" s="13">
        <f>VLOOKUP($A68,'[1]Detail only - SOC'!$A$4:$I$721,7,FALSE)</f>
        <v>180</v>
      </c>
      <c r="H68" s="13">
        <f>VLOOKUP($A68,'[1]Detail only - SOC'!$A$4:$I$721,8,FALSE)</f>
        <v>311</v>
      </c>
      <c r="I68" s="13">
        <f>VLOOKUP($A68,'[1]Detail only - SOC'!$A$4:$I$721,9,FALSE)</f>
        <v>491</v>
      </c>
    </row>
    <row r="69" spans="1:9" x14ac:dyDescent="0.25">
      <c r="A69" s="11">
        <v>191029</v>
      </c>
      <c r="B69" s="12" t="s">
        <v>60</v>
      </c>
      <c r="C69" s="13">
        <f>VLOOKUP(A69,'[1]Detail only - SOC'!$A$4:$I$721,3,FALSE)</f>
        <v>901</v>
      </c>
      <c r="D69" s="13">
        <f>VLOOKUP($A69,'[1]Detail only - SOC'!$A$4:$I$721,4,FALSE)</f>
        <v>941</v>
      </c>
      <c r="E69" s="13">
        <f>VLOOKUP($A69,'[1]Detail only - SOC'!$A$4:$I$721,5,FALSE)</f>
        <v>40</v>
      </c>
      <c r="F69" s="28">
        <f>VLOOKUP($A69,'[1]Detail only - SOC'!$A$4:$I$721,6,FALSE)</f>
        <v>4.4395116537180979E-2</v>
      </c>
      <c r="G69" s="13">
        <f>VLOOKUP($A69,'[1]Detail only - SOC'!$A$4:$I$721,7,FALSE)</f>
        <v>40</v>
      </c>
      <c r="H69" s="13">
        <f>VLOOKUP($A69,'[1]Detail only - SOC'!$A$4:$I$721,8,FALSE)</f>
        <v>207</v>
      </c>
      <c r="I69" s="13">
        <f>VLOOKUP($A69,'[1]Detail only - SOC'!$A$4:$I$721,9,FALSE)</f>
        <v>247</v>
      </c>
    </row>
    <row r="70" spans="1:9" x14ac:dyDescent="0.25">
      <c r="A70" s="11">
        <v>191031</v>
      </c>
      <c r="B70" s="12" t="s">
        <v>61</v>
      </c>
      <c r="C70" s="13">
        <f>VLOOKUP(A70,'[1]Detail only - SOC'!$A$4:$I$721,3,FALSE)</f>
        <v>461</v>
      </c>
      <c r="D70" s="13">
        <f>VLOOKUP($A70,'[1]Detail only - SOC'!$A$4:$I$721,4,FALSE)</f>
        <v>476</v>
      </c>
      <c r="E70" s="13">
        <f>VLOOKUP($A70,'[1]Detail only - SOC'!$A$4:$I$721,5,FALSE)</f>
        <v>15</v>
      </c>
      <c r="F70" s="28">
        <f>VLOOKUP($A70,'[1]Detail only - SOC'!$A$4:$I$721,6,FALSE)</f>
        <v>3.2537960954446943E-2</v>
      </c>
      <c r="G70" s="13">
        <f>VLOOKUP($A70,'[1]Detail only - SOC'!$A$4:$I$721,7,FALSE)</f>
        <v>15</v>
      </c>
      <c r="H70" s="13">
        <f>VLOOKUP($A70,'[1]Detail only - SOC'!$A$4:$I$721,8,FALSE)</f>
        <v>57</v>
      </c>
      <c r="I70" s="13">
        <f>VLOOKUP($A70,'[1]Detail only - SOC'!$A$4:$I$721,9,FALSE)</f>
        <v>72</v>
      </c>
    </row>
    <row r="71" spans="1:9" x14ac:dyDescent="0.25">
      <c r="A71" s="11">
        <v>191032</v>
      </c>
      <c r="B71" s="12" t="s">
        <v>62</v>
      </c>
      <c r="C71" s="13">
        <f>VLOOKUP(A71,'[1]Detail only - SOC'!$A$4:$I$721,3,FALSE)</f>
        <v>778</v>
      </c>
      <c r="D71" s="13">
        <f>VLOOKUP($A71,'[1]Detail only - SOC'!$A$4:$I$721,4,FALSE)</f>
        <v>845</v>
      </c>
      <c r="E71" s="13">
        <f>VLOOKUP($A71,'[1]Detail only - SOC'!$A$4:$I$721,5,FALSE)</f>
        <v>67</v>
      </c>
      <c r="F71" s="28">
        <f>VLOOKUP($A71,'[1]Detail only - SOC'!$A$4:$I$721,6,FALSE)</f>
        <v>8.6118251928020584E-2</v>
      </c>
      <c r="G71" s="13">
        <f>VLOOKUP($A71,'[1]Detail only - SOC'!$A$4:$I$721,7,FALSE)</f>
        <v>67</v>
      </c>
      <c r="H71" s="13">
        <f>VLOOKUP($A71,'[1]Detail only - SOC'!$A$4:$I$721,8,FALSE)</f>
        <v>98</v>
      </c>
      <c r="I71" s="13">
        <f>VLOOKUP($A71,'[1]Detail only - SOC'!$A$4:$I$721,9,FALSE)</f>
        <v>165</v>
      </c>
    </row>
    <row r="72" spans="1:9" x14ac:dyDescent="0.25">
      <c r="A72" s="11">
        <v>191041</v>
      </c>
      <c r="B72" s="12" t="s">
        <v>63</v>
      </c>
      <c r="C72" s="13">
        <f>VLOOKUP(A72,'[1]Detail only - SOC'!$A$4:$I$721,3,FALSE)</f>
        <v>43</v>
      </c>
      <c r="D72" s="13">
        <f>VLOOKUP($A72,'[1]Detail only - SOC'!$A$4:$I$721,4,FALSE)</f>
        <v>47</v>
      </c>
      <c r="E72" s="13">
        <f>VLOOKUP($A72,'[1]Detail only - SOC'!$A$4:$I$721,5,FALSE)</f>
        <v>4</v>
      </c>
      <c r="F72" s="28">
        <f>VLOOKUP($A72,'[1]Detail only - SOC'!$A$4:$I$721,6,FALSE)</f>
        <v>9.3023255813953432E-2</v>
      </c>
      <c r="G72" s="13">
        <f>VLOOKUP($A72,'[1]Detail only - SOC'!$A$4:$I$721,7,FALSE)</f>
        <v>4</v>
      </c>
      <c r="H72" s="13">
        <f>VLOOKUP($A72,'[1]Detail only - SOC'!$A$4:$I$721,8,FALSE)</f>
        <v>3</v>
      </c>
      <c r="I72" s="13">
        <f>VLOOKUP($A72,'[1]Detail only - SOC'!$A$4:$I$721,9,FALSE)</f>
        <v>7</v>
      </c>
    </row>
    <row r="73" spans="1:9" x14ac:dyDescent="0.25">
      <c r="A73" s="11">
        <v>191042</v>
      </c>
      <c r="B73" s="12" t="s">
        <v>64</v>
      </c>
      <c r="C73" s="13">
        <f>VLOOKUP(A73,'[1]Detail only - SOC'!$A$4:$I$721,3,FALSE)</f>
        <v>1065</v>
      </c>
      <c r="D73" s="13">
        <f>VLOOKUP($A73,'[1]Detail only - SOC'!$A$4:$I$721,4,FALSE)</f>
        <v>1340</v>
      </c>
      <c r="E73" s="13">
        <f>VLOOKUP($A73,'[1]Detail only - SOC'!$A$4:$I$721,5,FALSE)</f>
        <v>275</v>
      </c>
      <c r="F73" s="28">
        <f>VLOOKUP($A73,'[1]Detail only - SOC'!$A$4:$I$721,6,FALSE)</f>
        <v>0.25821596244131451</v>
      </c>
      <c r="G73" s="13">
        <f>VLOOKUP($A73,'[1]Detail only - SOC'!$A$4:$I$721,7,FALSE)</f>
        <v>275</v>
      </c>
      <c r="H73" s="13">
        <f>VLOOKUP($A73,'[1]Detail only - SOC'!$A$4:$I$721,8,FALSE)</f>
        <v>74</v>
      </c>
      <c r="I73" s="13">
        <f>VLOOKUP($A73,'[1]Detail only - SOC'!$A$4:$I$721,9,FALSE)</f>
        <v>349</v>
      </c>
    </row>
    <row r="74" spans="1:9" x14ac:dyDescent="0.25">
      <c r="A74" s="11">
        <v>191099</v>
      </c>
      <c r="B74" s="12" t="s">
        <v>65</v>
      </c>
      <c r="C74" s="13">
        <f>VLOOKUP(A74,'[1]Detail only - SOC'!$A$4:$I$721,3,FALSE)</f>
        <v>197</v>
      </c>
      <c r="D74" s="13">
        <f>VLOOKUP($A74,'[1]Detail only - SOC'!$A$4:$I$721,4,FALSE)</f>
        <v>229</v>
      </c>
      <c r="E74" s="13">
        <f>VLOOKUP($A74,'[1]Detail only - SOC'!$A$4:$I$721,5,FALSE)</f>
        <v>32</v>
      </c>
      <c r="F74" s="28">
        <f>VLOOKUP($A74,'[1]Detail only - SOC'!$A$4:$I$721,6,FALSE)</f>
        <v>0.1624365482233503</v>
      </c>
      <c r="G74" s="13">
        <f>VLOOKUP($A74,'[1]Detail only - SOC'!$A$4:$I$721,7,FALSE)</f>
        <v>32</v>
      </c>
      <c r="H74" s="13">
        <f>VLOOKUP($A74,'[1]Detail only - SOC'!$A$4:$I$721,8,FALSE)</f>
        <v>13</v>
      </c>
      <c r="I74" s="13">
        <f>VLOOKUP($A74,'[1]Detail only - SOC'!$A$4:$I$721,9,FALSE)</f>
        <v>45</v>
      </c>
    </row>
    <row r="75" spans="1:9" x14ac:dyDescent="0.25">
      <c r="A75" s="11">
        <v>192012</v>
      </c>
      <c r="B75" s="12" t="s">
        <v>66</v>
      </c>
      <c r="C75" s="13">
        <f>VLOOKUP(A75,'[1]Detail only - SOC'!$A$4:$I$721,3,FALSE)</f>
        <v>91</v>
      </c>
      <c r="D75" s="13">
        <f>VLOOKUP($A75,'[1]Detail only - SOC'!$A$4:$I$721,4,FALSE)</f>
        <v>111</v>
      </c>
      <c r="E75" s="13">
        <f>VLOOKUP($A75,'[1]Detail only - SOC'!$A$4:$I$721,5,FALSE)</f>
        <v>20</v>
      </c>
      <c r="F75" s="28">
        <f>VLOOKUP($A75,'[1]Detail only - SOC'!$A$4:$I$721,6,FALSE)</f>
        <v>0.21978021978021989</v>
      </c>
      <c r="G75" s="13">
        <f>VLOOKUP($A75,'[1]Detail only - SOC'!$A$4:$I$721,7,FALSE)</f>
        <v>20</v>
      </c>
      <c r="H75" s="13">
        <f>VLOOKUP($A75,'[1]Detail only - SOC'!$A$4:$I$721,8,FALSE)</f>
        <v>30</v>
      </c>
      <c r="I75" s="13">
        <f>VLOOKUP($A75,'[1]Detail only - SOC'!$A$4:$I$721,9,FALSE)</f>
        <v>50</v>
      </c>
    </row>
    <row r="76" spans="1:9" x14ac:dyDescent="0.25">
      <c r="A76" s="11">
        <v>192021</v>
      </c>
      <c r="B76" s="12" t="s">
        <v>67</v>
      </c>
      <c r="C76" s="13">
        <f>VLOOKUP(A76,'[1]Detail only - SOC'!$A$4:$I$721,3,FALSE)</f>
        <v>94</v>
      </c>
      <c r="D76" s="13">
        <f>VLOOKUP($A76,'[1]Detail only - SOC'!$A$4:$I$721,4,FALSE)</f>
        <v>95</v>
      </c>
      <c r="E76" s="13">
        <f>VLOOKUP($A76,'[1]Detail only - SOC'!$A$4:$I$721,5,FALSE)</f>
        <v>1</v>
      </c>
      <c r="F76" s="28">
        <f>VLOOKUP($A76,'[1]Detail only - SOC'!$A$4:$I$721,6,FALSE)</f>
        <v>1.0638297872340496E-2</v>
      </c>
      <c r="G76" s="13">
        <f>VLOOKUP($A76,'[1]Detail only - SOC'!$A$4:$I$721,7,FALSE)</f>
        <v>1</v>
      </c>
      <c r="H76" s="13">
        <f>VLOOKUP($A76,'[1]Detail only - SOC'!$A$4:$I$721,8,FALSE)</f>
        <v>11</v>
      </c>
      <c r="I76" s="13">
        <f>VLOOKUP($A76,'[1]Detail only - SOC'!$A$4:$I$721,9,FALSE)</f>
        <v>12</v>
      </c>
    </row>
    <row r="77" spans="1:9" x14ac:dyDescent="0.25">
      <c r="A77" s="11">
        <v>192031</v>
      </c>
      <c r="B77" s="12" t="s">
        <v>68</v>
      </c>
      <c r="C77" s="13">
        <f>VLOOKUP(A77,'[1]Detail only - SOC'!$A$4:$I$721,3,FALSE)</f>
        <v>585</v>
      </c>
      <c r="D77" s="13">
        <f>VLOOKUP($A77,'[1]Detail only - SOC'!$A$4:$I$721,4,FALSE)</f>
        <v>699</v>
      </c>
      <c r="E77" s="13">
        <f>VLOOKUP($A77,'[1]Detail only - SOC'!$A$4:$I$721,5,FALSE)</f>
        <v>114</v>
      </c>
      <c r="F77" s="28">
        <f>VLOOKUP($A77,'[1]Detail only - SOC'!$A$4:$I$721,6,FALSE)</f>
        <v>0.19487179487179485</v>
      </c>
      <c r="G77" s="13">
        <f>VLOOKUP($A77,'[1]Detail only - SOC'!$A$4:$I$721,7,FALSE)</f>
        <v>114</v>
      </c>
      <c r="H77" s="13">
        <f>VLOOKUP($A77,'[1]Detail only - SOC'!$A$4:$I$721,8,FALSE)</f>
        <v>209</v>
      </c>
      <c r="I77" s="13">
        <f>VLOOKUP($A77,'[1]Detail only - SOC'!$A$4:$I$721,9,FALSE)</f>
        <v>323</v>
      </c>
    </row>
    <row r="78" spans="1:9" x14ac:dyDescent="0.25">
      <c r="A78" s="11">
        <v>192032</v>
      </c>
      <c r="B78" s="12" t="s">
        <v>69</v>
      </c>
      <c r="C78" s="13">
        <f>VLOOKUP(A78,'[1]Detail only - SOC'!$A$4:$I$721,3,FALSE)</f>
        <v>42</v>
      </c>
      <c r="D78" s="13">
        <f>VLOOKUP($A78,'[1]Detail only - SOC'!$A$4:$I$721,4,FALSE)</f>
        <v>49</v>
      </c>
      <c r="E78" s="13">
        <f>VLOOKUP($A78,'[1]Detail only - SOC'!$A$4:$I$721,5,FALSE)</f>
        <v>7</v>
      </c>
      <c r="F78" s="28">
        <f>VLOOKUP($A78,'[1]Detail only - SOC'!$A$4:$I$721,6,FALSE)</f>
        <v>0.16666666666666674</v>
      </c>
      <c r="G78" s="13">
        <f>VLOOKUP($A78,'[1]Detail only - SOC'!$A$4:$I$721,7,FALSE)</f>
        <v>7</v>
      </c>
      <c r="H78" s="13">
        <f>VLOOKUP($A78,'[1]Detail only - SOC'!$A$4:$I$721,8,FALSE)</f>
        <v>15</v>
      </c>
      <c r="I78" s="13">
        <f>VLOOKUP($A78,'[1]Detail only - SOC'!$A$4:$I$721,9,FALSE)</f>
        <v>22</v>
      </c>
    </row>
    <row r="79" spans="1:9" x14ac:dyDescent="0.25">
      <c r="A79" s="11">
        <v>192041</v>
      </c>
      <c r="B79" s="12" t="s">
        <v>70</v>
      </c>
      <c r="C79" s="13">
        <f>VLOOKUP(A79,'[1]Detail only - SOC'!$A$4:$I$721,3,FALSE)</f>
        <v>1045</v>
      </c>
      <c r="D79" s="13">
        <f>VLOOKUP($A79,'[1]Detail only - SOC'!$A$4:$I$721,4,FALSE)</f>
        <v>1185</v>
      </c>
      <c r="E79" s="13">
        <f>VLOOKUP($A79,'[1]Detail only - SOC'!$A$4:$I$721,5,FALSE)</f>
        <v>140</v>
      </c>
      <c r="F79" s="28">
        <f>VLOOKUP($A79,'[1]Detail only - SOC'!$A$4:$I$721,6,FALSE)</f>
        <v>0.13397129186602874</v>
      </c>
      <c r="G79" s="13">
        <f>VLOOKUP($A79,'[1]Detail only - SOC'!$A$4:$I$721,7,FALSE)</f>
        <v>140</v>
      </c>
      <c r="H79" s="13">
        <f>VLOOKUP($A79,'[1]Detail only - SOC'!$A$4:$I$721,8,FALSE)</f>
        <v>330</v>
      </c>
      <c r="I79" s="13">
        <f>VLOOKUP($A79,'[1]Detail only - SOC'!$A$4:$I$721,9,FALSE)</f>
        <v>470</v>
      </c>
    </row>
    <row r="80" spans="1:9" x14ac:dyDescent="0.25">
      <c r="A80" s="11">
        <v>192042</v>
      </c>
      <c r="B80" s="12" t="s">
        <v>71</v>
      </c>
      <c r="C80" s="13">
        <f>VLOOKUP(A80,'[1]Detail only - SOC'!$A$4:$I$721,3,FALSE)</f>
        <v>298</v>
      </c>
      <c r="D80" s="13">
        <f>VLOOKUP($A80,'[1]Detail only - SOC'!$A$4:$I$721,4,FALSE)</f>
        <v>378</v>
      </c>
      <c r="E80" s="13">
        <f>VLOOKUP($A80,'[1]Detail only - SOC'!$A$4:$I$721,5,FALSE)</f>
        <v>80</v>
      </c>
      <c r="F80" s="28">
        <f>VLOOKUP($A80,'[1]Detail only - SOC'!$A$4:$I$721,6,FALSE)</f>
        <v>0.26845637583892623</v>
      </c>
      <c r="G80" s="13">
        <f>VLOOKUP($A80,'[1]Detail only - SOC'!$A$4:$I$721,7,FALSE)</f>
        <v>80</v>
      </c>
      <c r="H80" s="13">
        <f>VLOOKUP($A80,'[1]Detail only - SOC'!$A$4:$I$721,8,FALSE)</f>
        <v>100</v>
      </c>
      <c r="I80" s="13">
        <f>VLOOKUP($A80,'[1]Detail only - SOC'!$A$4:$I$721,9,FALSE)</f>
        <v>180</v>
      </c>
    </row>
    <row r="81" spans="1:9" x14ac:dyDescent="0.25">
      <c r="A81" s="11">
        <v>192043</v>
      </c>
      <c r="B81" s="12" t="s">
        <v>72</v>
      </c>
      <c r="C81" s="13">
        <f>VLOOKUP(A81,'[1]Detail only - SOC'!$A$4:$I$721,3,FALSE)</f>
        <v>241</v>
      </c>
      <c r="D81" s="13">
        <f>VLOOKUP($A81,'[1]Detail only - SOC'!$A$4:$I$721,4,FALSE)</f>
        <v>275</v>
      </c>
      <c r="E81" s="13">
        <f>VLOOKUP($A81,'[1]Detail only - SOC'!$A$4:$I$721,5,FALSE)</f>
        <v>34</v>
      </c>
      <c r="F81" s="28">
        <f>VLOOKUP($A81,'[1]Detail only - SOC'!$A$4:$I$721,6,FALSE)</f>
        <v>0.1410788381742738</v>
      </c>
      <c r="G81" s="13">
        <f>VLOOKUP($A81,'[1]Detail only - SOC'!$A$4:$I$721,7,FALSE)</f>
        <v>34</v>
      </c>
      <c r="H81" s="13">
        <f>VLOOKUP($A81,'[1]Detail only - SOC'!$A$4:$I$721,8,FALSE)</f>
        <v>76</v>
      </c>
      <c r="I81" s="13">
        <f>VLOOKUP($A81,'[1]Detail only - SOC'!$A$4:$I$721,9,FALSE)</f>
        <v>110</v>
      </c>
    </row>
    <row r="82" spans="1:9" x14ac:dyDescent="0.25">
      <c r="A82" s="11">
        <v>192099</v>
      </c>
      <c r="B82" s="12" t="s">
        <v>73</v>
      </c>
      <c r="C82" s="13">
        <f>VLOOKUP(A82,'[1]Detail only - SOC'!$A$4:$I$721,3,FALSE)</f>
        <v>485</v>
      </c>
      <c r="D82" s="13">
        <f>VLOOKUP($A82,'[1]Detail only - SOC'!$A$4:$I$721,4,FALSE)</f>
        <v>549</v>
      </c>
      <c r="E82" s="13">
        <f>VLOOKUP($A82,'[1]Detail only - SOC'!$A$4:$I$721,5,FALSE)</f>
        <v>64</v>
      </c>
      <c r="F82" s="28">
        <f>VLOOKUP($A82,'[1]Detail only - SOC'!$A$4:$I$721,6,FALSE)</f>
        <v>0.13195876288659791</v>
      </c>
      <c r="G82" s="13">
        <f>VLOOKUP($A82,'[1]Detail only - SOC'!$A$4:$I$721,7,FALSE)</f>
        <v>64</v>
      </c>
      <c r="H82" s="13">
        <f>VLOOKUP($A82,'[1]Detail only - SOC'!$A$4:$I$721,8,FALSE)</f>
        <v>184</v>
      </c>
      <c r="I82" s="13">
        <f>VLOOKUP($A82,'[1]Detail only - SOC'!$A$4:$I$721,9,FALSE)</f>
        <v>248</v>
      </c>
    </row>
    <row r="83" spans="1:9" x14ac:dyDescent="0.25">
      <c r="A83" s="11">
        <v>193011</v>
      </c>
      <c r="B83" s="12" t="s">
        <v>74</v>
      </c>
      <c r="C83" s="13">
        <f>VLOOKUP(A83,'[1]Detail only - SOC'!$A$4:$I$721,3,FALSE)</f>
        <v>370</v>
      </c>
      <c r="D83" s="13">
        <f>VLOOKUP($A83,'[1]Detail only - SOC'!$A$4:$I$721,4,FALSE)</f>
        <v>454</v>
      </c>
      <c r="E83" s="13">
        <f>VLOOKUP($A83,'[1]Detail only - SOC'!$A$4:$I$721,5,FALSE)</f>
        <v>84</v>
      </c>
      <c r="F83" s="28">
        <f>VLOOKUP($A83,'[1]Detail only - SOC'!$A$4:$I$721,6,FALSE)</f>
        <v>0.22702702702702693</v>
      </c>
      <c r="G83" s="13">
        <f>VLOOKUP($A83,'[1]Detail only - SOC'!$A$4:$I$721,7,FALSE)</f>
        <v>84</v>
      </c>
      <c r="H83" s="13">
        <f>VLOOKUP($A83,'[1]Detail only - SOC'!$A$4:$I$721,8,FALSE)</f>
        <v>130</v>
      </c>
      <c r="I83" s="13">
        <f>VLOOKUP($A83,'[1]Detail only - SOC'!$A$4:$I$721,9,FALSE)</f>
        <v>214</v>
      </c>
    </row>
    <row r="84" spans="1:9" x14ac:dyDescent="0.25">
      <c r="A84" s="11">
        <v>193021</v>
      </c>
      <c r="B84" s="12" t="s">
        <v>75</v>
      </c>
      <c r="C84" s="13">
        <f>VLOOKUP(A84,'[1]Detail only - SOC'!$A$4:$I$721,3,FALSE)</f>
        <v>1538</v>
      </c>
      <c r="D84" s="13">
        <f>VLOOKUP($A84,'[1]Detail only - SOC'!$A$4:$I$721,4,FALSE)</f>
        <v>1872</v>
      </c>
      <c r="E84" s="13">
        <f>VLOOKUP($A84,'[1]Detail only - SOC'!$A$4:$I$721,5,FALSE)</f>
        <v>334</v>
      </c>
      <c r="F84" s="28">
        <f>VLOOKUP($A84,'[1]Detail only - SOC'!$A$4:$I$721,6,FALSE)</f>
        <v>0.21716514954486343</v>
      </c>
      <c r="G84" s="13">
        <f>VLOOKUP($A84,'[1]Detail only - SOC'!$A$4:$I$721,7,FALSE)</f>
        <v>334</v>
      </c>
      <c r="H84" s="13">
        <f>VLOOKUP($A84,'[1]Detail only - SOC'!$A$4:$I$721,8,FALSE)</f>
        <v>453</v>
      </c>
      <c r="I84" s="13">
        <f>VLOOKUP($A84,'[1]Detail only - SOC'!$A$4:$I$721,9,FALSE)</f>
        <v>787</v>
      </c>
    </row>
    <row r="85" spans="1:9" x14ac:dyDescent="0.25">
      <c r="A85" s="11">
        <v>193022</v>
      </c>
      <c r="B85" s="12" t="s">
        <v>76</v>
      </c>
      <c r="C85" s="13">
        <f>VLOOKUP(A85,'[1]Detail only - SOC'!$A$4:$I$721,3,FALSE)</f>
        <v>212</v>
      </c>
      <c r="D85" s="13">
        <f>VLOOKUP($A85,'[1]Detail only - SOC'!$A$4:$I$721,4,FALSE)</f>
        <v>271</v>
      </c>
      <c r="E85" s="13">
        <f>VLOOKUP($A85,'[1]Detail only - SOC'!$A$4:$I$721,5,FALSE)</f>
        <v>59</v>
      </c>
      <c r="F85" s="28">
        <f>VLOOKUP($A85,'[1]Detail only - SOC'!$A$4:$I$721,6,FALSE)</f>
        <v>0.27830188679245293</v>
      </c>
      <c r="G85" s="13">
        <f>VLOOKUP($A85,'[1]Detail only - SOC'!$A$4:$I$721,7,FALSE)</f>
        <v>59</v>
      </c>
      <c r="H85" s="13">
        <f>VLOOKUP($A85,'[1]Detail only - SOC'!$A$4:$I$721,8,FALSE)</f>
        <v>64</v>
      </c>
      <c r="I85" s="13">
        <f>VLOOKUP($A85,'[1]Detail only - SOC'!$A$4:$I$721,9,FALSE)</f>
        <v>123</v>
      </c>
    </row>
    <row r="86" spans="1:9" x14ac:dyDescent="0.25">
      <c r="A86" s="11">
        <v>193031</v>
      </c>
      <c r="B86" s="12" t="s">
        <v>77</v>
      </c>
      <c r="C86" s="13">
        <f>VLOOKUP(A86,'[1]Detail only - SOC'!$A$4:$I$721,3,FALSE)</f>
        <v>1105</v>
      </c>
      <c r="D86" s="13">
        <f>VLOOKUP($A86,'[1]Detail only - SOC'!$A$4:$I$721,4,FALSE)</f>
        <v>1345</v>
      </c>
      <c r="E86" s="13">
        <f>VLOOKUP($A86,'[1]Detail only - SOC'!$A$4:$I$721,5,FALSE)</f>
        <v>240</v>
      </c>
      <c r="F86" s="28">
        <f>VLOOKUP($A86,'[1]Detail only - SOC'!$A$4:$I$721,6,FALSE)</f>
        <v>0.2171945701357465</v>
      </c>
      <c r="G86" s="13">
        <f>VLOOKUP($A86,'[1]Detail only - SOC'!$A$4:$I$721,7,FALSE)</f>
        <v>240</v>
      </c>
      <c r="H86" s="13">
        <f>VLOOKUP($A86,'[1]Detail only - SOC'!$A$4:$I$721,8,FALSE)</f>
        <v>386</v>
      </c>
      <c r="I86" s="13">
        <f>VLOOKUP($A86,'[1]Detail only - SOC'!$A$4:$I$721,9,FALSE)</f>
        <v>626</v>
      </c>
    </row>
    <row r="87" spans="1:9" x14ac:dyDescent="0.25">
      <c r="A87" s="11">
        <v>193039</v>
      </c>
      <c r="B87" s="12" t="s">
        <v>78</v>
      </c>
      <c r="C87" s="13">
        <f>VLOOKUP(A87,'[1]Detail only - SOC'!$A$4:$I$721,3,FALSE)</f>
        <v>222</v>
      </c>
      <c r="D87" s="13">
        <f>VLOOKUP($A87,'[1]Detail only - SOC'!$A$4:$I$721,4,FALSE)</f>
        <v>264</v>
      </c>
      <c r="E87" s="13">
        <f>VLOOKUP($A87,'[1]Detail only - SOC'!$A$4:$I$721,5,FALSE)</f>
        <v>42</v>
      </c>
      <c r="F87" s="28">
        <f>VLOOKUP($A87,'[1]Detail only - SOC'!$A$4:$I$721,6,FALSE)</f>
        <v>0.18918918918918926</v>
      </c>
      <c r="G87" s="13">
        <f>VLOOKUP($A87,'[1]Detail only - SOC'!$A$4:$I$721,7,FALSE)</f>
        <v>42</v>
      </c>
      <c r="H87" s="13">
        <f>VLOOKUP($A87,'[1]Detail only - SOC'!$A$4:$I$721,8,FALSE)</f>
        <v>77</v>
      </c>
      <c r="I87" s="13">
        <f>VLOOKUP($A87,'[1]Detail only - SOC'!$A$4:$I$721,9,FALSE)</f>
        <v>119</v>
      </c>
    </row>
    <row r="88" spans="1:9" x14ac:dyDescent="0.25">
      <c r="A88" s="11">
        <v>193041</v>
      </c>
      <c r="B88" s="12" t="s">
        <v>79</v>
      </c>
      <c r="C88" s="13">
        <f>VLOOKUP(A88,'[1]Detail only - SOC'!$A$4:$I$721,3,FALSE)</f>
        <v>33</v>
      </c>
      <c r="D88" s="13">
        <f>VLOOKUP($A88,'[1]Detail only - SOC'!$A$4:$I$721,4,FALSE)</f>
        <v>41</v>
      </c>
      <c r="E88" s="13">
        <f>VLOOKUP($A88,'[1]Detail only - SOC'!$A$4:$I$721,5,FALSE)</f>
        <v>8</v>
      </c>
      <c r="F88" s="28">
        <f>VLOOKUP($A88,'[1]Detail only - SOC'!$A$4:$I$721,6,FALSE)</f>
        <v>0.24242424242424243</v>
      </c>
      <c r="G88" s="13">
        <f>VLOOKUP($A88,'[1]Detail only - SOC'!$A$4:$I$721,7,FALSE)</f>
        <v>8</v>
      </c>
      <c r="H88" s="13">
        <f>VLOOKUP($A88,'[1]Detail only - SOC'!$A$4:$I$721,8,FALSE)</f>
        <v>9</v>
      </c>
      <c r="I88" s="13">
        <f>VLOOKUP($A88,'[1]Detail only - SOC'!$A$4:$I$721,9,FALSE)</f>
        <v>17</v>
      </c>
    </row>
    <row r="89" spans="1:9" x14ac:dyDescent="0.25">
      <c r="A89" s="11">
        <v>193051</v>
      </c>
      <c r="B89" s="12" t="s">
        <v>80</v>
      </c>
      <c r="C89" s="13">
        <f>VLOOKUP(A89,'[1]Detail only - SOC'!$A$4:$I$721,3,FALSE)</f>
        <v>1190</v>
      </c>
      <c r="D89" s="13">
        <f>VLOOKUP($A89,'[1]Detail only - SOC'!$A$4:$I$721,4,FALSE)</f>
        <v>1331</v>
      </c>
      <c r="E89" s="13">
        <f>VLOOKUP($A89,'[1]Detail only - SOC'!$A$4:$I$721,5,FALSE)</f>
        <v>141</v>
      </c>
      <c r="F89" s="28">
        <f>VLOOKUP($A89,'[1]Detail only - SOC'!$A$4:$I$721,6,FALSE)</f>
        <v>0.11848739495798322</v>
      </c>
      <c r="G89" s="13">
        <f>VLOOKUP($A89,'[1]Detail only - SOC'!$A$4:$I$721,7,FALSE)</f>
        <v>141</v>
      </c>
      <c r="H89" s="13">
        <f>VLOOKUP($A89,'[1]Detail only - SOC'!$A$4:$I$721,8,FALSE)</f>
        <v>321</v>
      </c>
      <c r="I89" s="13">
        <f>VLOOKUP($A89,'[1]Detail only - SOC'!$A$4:$I$721,9,FALSE)</f>
        <v>462</v>
      </c>
    </row>
    <row r="90" spans="1:9" x14ac:dyDescent="0.25">
      <c r="A90" s="11">
        <v>193091</v>
      </c>
      <c r="B90" s="12" t="s">
        <v>81</v>
      </c>
      <c r="C90" s="13">
        <f>VLOOKUP(A90,'[1]Detail only - SOC'!$A$4:$I$721,3,FALSE)</f>
        <v>206</v>
      </c>
      <c r="D90" s="13">
        <f>VLOOKUP($A90,'[1]Detail only - SOC'!$A$4:$I$721,4,FALSE)</f>
        <v>249</v>
      </c>
      <c r="E90" s="13">
        <f>VLOOKUP($A90,'[1]Detail only - SOC'!$A$4:$I$721,5,FALSE)</f>
        <v>43</v>
      </c>
      <c r="F90" s="28">
        <f>VLOOKUP($A90,'[1]Detail only - SOC'!$A$4:$I$721,6,FALSE)</f>
        <v>0.20873786407766981</v>
      </c>
      <c r="G90" s="13">
        <f>VLOOKUP($A90,'[1]Detail only - SOC'!$A$4:$I$721,7,FALSE)</f>
        <v>43</v>
      </c>
      <c r="H90" s="13">
        <f>VLOOKUP($A90,'[1]Detail only - SOC'!$A$4:$I$721,8,FALSE)</f>
        <v>95</v>
      </c>
      <c r="I90" s="13">
        <f>VLOOKUP($A90,'[1]Detail only - SOC'!$A$4:$I$721,9,FALSE)</f>
        <v>138</v>
      </c>
    </row>
    <row r="91" spans="1:9" x14ac:dyDescent="0.25">
      <c r="A91" s="11">
        <v>193092</v>
      </c>
      <c r="B91" s="12" t="s">
        <v>82</v>
      </c>
      <c r="C91" s="13">
        <f>VLOOKUP(A91,'[1]Detail only - SOC'!$A$4:$I$721,3,FALSE)</f>
        <v>56</v>
      </c>
      <c r="D91" s="13">
        <f>VLOOKUP($A91,'[1]Detail only - SOC'!$A$4:$I$721,4,FALSE)</f>
        <v>66</v>
      </c>
      <c r="E91" s="13">
        <f>VLOOKUP($A91,'[1]Detail only - SOC'!$A$4:$I$721,5,FALSE)</f>
        <v>10</v>
      </c>
      <c r="F91" s="28">
        <f>VLOOKUP($A91,'[1]Detail only - SOC'!$A$4:$I$721,6,FALSE)</f>
        <v>0.1785714285714286</v>
      </c>
      <c r="G91" s="13">
        <f>VLOOKUP($A91,'[1]Detail only - SOC'!$A$4:$I$721,7,FALSE)</f>
        <v>10</v>
      </c>
      <c r="H91" s="13">
        <f>VLOOKUP($A91,'[1]Detail only - SOC'!$A$4:$I$721,8,FALSE)</f>
        <v>25</v>
      </c>
      <c r="I91" s="13">
        <f>VLOOKUP($A91,'[1]Detail only - SOC'!$A$4:$I$721,9,FALSE)</f>
        <v>35</v>
      </c>
    </row>
    <row r="92" spans="1:9" x14ac:dyDescent="0.25">
      <c r="A92" s="11">
        <v>193093</v>
      </c>
      <c r="B92" s="12" t="s">
        <v>83</v>
      </c>
      <c r="C92" s="13"/>
      <c r="D92" s="13"/>
      <c r="E92" s="13"/>
      <c r="F92" s="28"/>
      <c r="G92" s="13"/>
      <c r="H92" s="13"/>
      <c r="I92" s="13"/>
    </row>
    <row r="93" spans="1:9" x14ac:dyDescent="0.25">
      <c r="A93" s="11">
        <v>193099</v>
      </c>
      <c r="B93" s="12" t="s">
        <v>84</v>
      </c>
      <c r="C93" s="13">
        <f>VLOOKUP(A93,'[1]Detail only - SOC'!$A$4:$I$721,3,FALSE)</f>
        <v>502</v>
      </c>
      <c r="D93" s="13">
        <f>VLOOKUP($A93,'[1]Detail only - SOC'!$A$4:$I$721,4,FALSE)</f>
        <v>609</v>
      </c>
      <c r="E93" s="13">
        <f>VLOOKUP($A93,'[1]Detail only - SOC'!$A$4:$I$721,5,FALSE)</f>
        <v>107</v>
      </c>
      <c r="F93" s="28">
        <f>VLOOKUP($A93,'[1]Detail only - SOC'!$A$4:$I$721,6,FALSE)</f>
        <v>0.21314741035856577</v>
      </c>
      <c r="G93" s="13">
        <f>VLOOKUP($A93,'[1]Detail only - SOC'!$A$4:$I$721,7,FALSE)</f>
        <v>107</v>
      </c>
      <c r="H93" s="13">
        <f>VLOOKUP($A93,'[1]Detail only - SOC'!$A$4:$I$721,8,FALSE)</f>
        <v>231</v>
      </c>
      <c r="I93" s="13">
        <f>VLOOKUP($A93,'[1]Detail only - SOC'!$A$4:$I$721,9,FALSE)</f>
        <v>338</v>
      </c>
    </row>
    <row r="94" spans="1:9" x14ac:dyDescent="0.25">
      <c r="A94" s="11">
        <v>194011</v>
      </c>
      <c r="B94" s="12" t="s">
        <v>85</v>
      </c>
      <c r="C94" s="13">
        <f>VLOOKUP(A94,'[1]Detail only - SOC'!$A$4:$I$721,3,FALSE)</f>
        <v>602</v>
      </c>
      <c r="D94" s="13">
        <f>VLOOKUP($A94,'[1]Detail only - SOC'!$A$4:$I$721,4,FALSE)</f>
        <v>704</v>
      </c>
      <c r="E94" s="13">
        <f>VLOOKUP($A94,'[1]Detail only - SOC'!$A$4:$I$721,5,FALSE)</f>
        <v>102</v>
      </c>
      <c r="F94" s="28">
        <f>VLOOKUP($A94,'[1]Detail only - SOC'!$A$4:$I$721,6,FALSE)</f>
        <v>0.16943521594684396</v>
      </c>
      <c r="G94" s="13">
        <f>VLOOKUP($A94,'[1]Detail only - SOC'!$A$4:$I$721,7,FALSE)</f>
        <v>102</v>
      </c>
      <c r="H94" s="13">
        <f>VLOOKUP($A94,'[1]Detail only - SOC'!$A$4:$I$721,8,FALSE)</f>
        <v>220</v>
      </c>
      <c r="I94" s="13">
        <f>VLOOKUP($A94,'[1]Detail only - SOC'!$A$4:$I$721,9,FALSE)</f>
        <v>322</v>
      </c>
    </row>
    <row r="95" spans="1:9" x14ac:dyDescent="0.25">
      <c r="A95" s="11">
        <v>194021</v>
      </c>
      <c r="B95" s="12" t="s">
        <v>86</v>
      </c>
      <c r="C95" s="13">
        <f>VLOOKUP(A95,'[1]Detail only - SOC'!$A$4:$I$721,3,FALSE)</f>
        <v>2867</v>
      </c>
      <c r="D95" s="13">
        <f>VLOOKUP($A95,'[1]Detail only - SOC'!$A$4:$I$721,4,FALSE)</f>
        <v>3284</v>
      </c>
      <c r="E95" s="13">
        <f>VLOOKUP($A95,'[1]Detail only - SOC'!$A$4:$I$721,5,FALSE)</f>
        <v>417</v>
      </c>
      <c r="F95" s="28">
        <f>VLOOKUP($A95,'[1]Detail only - SOC'!$A$4:$I$721,6,FALSE)</f>
        <v>0.14544820369724443</v>
      </c>
      <c r="G95" s="13">
        <f>VLOOKUP($A95,'[1]Detail only - SOC'!$A$4:$I$721,7,FALSE)</f>
        <v>417</v>
      </c>
      <c r="H95" s="13">
        <f>VLOOKUP($A95,'[1]Detail only - SOC'!$A$4:$I$721,8,FALSE)</f>
        <v>1035</v>
      </c>
      <c r="I95" s="13">
        <f>VLOOKUP($A95,'[1]Detail only - SOC'!$A$4:$I$721,9,FALSE)</f>
        <v>1452</v>
      </c>
    </row>
    <row r="96" spans="1:9" x14ac:dyDescent="0.25">
      <c r="A96" s="11">
        <v>194031</v>
      </c>
      <c r="B96" s="12" t="s">
        <v>87</v>
      </c>
      <c r="C96" s="13">
        <f>VLOOKUP(A96,'[1]Detail only - SOC'!$A$4:$I$721,3,FALSE)</f>
        <v>396</v>
      </c>
      <c r="D96" s="13">
        <f>VLOOKUP($A96,'[1]Detail only - SOC'!$A$4:$I$721,4,FALSE)</f>
        <v>479</v>
      </c>
      <c r="E96" s="13">
        <f>VLOOKUP($A96,'[1]Detail only - SOC'!$A$4:$I$721,5,FALSE)</f>
        <v>83</v>
      </c>
      <c r="F96" s="28">
        <f>VLOOKUP($A96,'[1]Detail only - SOC'!$A$4:$I$721,6,FALSE)</f>
        <v>0.20959595959595956</v>
      </c>
      <c r="G96" s="13">
        <f>VLOOKUP($A96,'[1]Detail only - SOC'!$A$4:$I$721,7,FALSE)</f>
        <v>83</v>
      </c>
      <c r="H96" s="13">
        <f>VLOOKUP($A96,'[1]Detail only - SOC'!$A$4:$I$721,8,FALSE)</f>
        <v>63</v>
      </c>
      <c r="I96" s="13">
        <f>VLOOKUP($A96,'[1]Detail only - SOC'!$A$4:$I$721,9,FALSE)</f>
        <v>146</v>
      </c>
    </row>
    <row r="97" spans="1:9" x14ac:dyDescent="0.25">
      <c r="A97" s="11">
        <v>194041</v>
      </c>
      <c r="B97" s="12" t="s">
        <v>88</v>
      </c>
      <c r="C97" s="13">
        <f>VLOOKUP(A97,'[1]Detail only - SOC'!$A$4:$I$721,3,FALSE)</f>
        <v>28</v>
      </c>
      <c r="D97" s="13">
        <f>VLOOKUP($A97,'[1]Detail only - SOC'!$A$4:$I$721,4,FALSE)</f>
        <v>36</v>
      </c>
      <c r="E97" s="13">
        <f>VLOOKUP($A97,'[1]Detail only - SOC'!$A$4:$I$721,5,FALSE)</f>
        <v>8</v>
      </c>
      <c r="F97" s="28">
        <f>VLOOKUP($A97,'[1]Detail only - SOC'!$A$4:$I$721,6,FALSE)</f>
        <v>0.28571428571428581</v>
      </c>
      <c r="G97" s="13">
        <f>VLOOKUP($A97,'[1]Detail only - SOC'!$A$4:$I$721,7,FALSE)</f>
        <v>8</v>
      </c>
      <c r="H97" s="13">
        <f>VLOOKUP($A97,'[1]Detail only - SOC'!$A$4:$I$721,8,FALSE)</f>
        <v>11</v>
      </c>
      <c r="I97" s="13">
        <f>VLOOKUP($A97,'[1]Detail only - SOC'!$A$4:$I$721,9,FALSE)</f>
        <v>19</v>
      </c>
    </row>
    <row r="98" spans="1:9" x14ac:dyDescent="0.25">
      <c r="A98" s="11">
        <v>194061</v>
      </c>
      <c r="B98" s="12" t="s">
        <v>89</v>
      </c>
      <c r="C98" s="13">
        <f>VLOOKUP(A98,'[1]Detail only - SOC'!$A$4:$I$721,3,FALSE)</f>
        <v>606</v>
      </c>
      <c r="D98" s="13">
        <f>VLOOKUP($A98,'[1]Detail only - SOC'!$A$4:$I$721,4,FALSE)</f>
        <v>742</v>
      </c>
      <c r="E98" s="13">
        <f>VLOOKUP($A98,'[1]Detail only - SOC'!$A$4:$I$721,5,FALSE)</f>
        <v>136</v>
      </c>
      <c r="F98" s="28">
        <f>VLOOKUP($A98,'[1]Detail only - SOC'!$A$4:$I$721,6,FALSE)</f>
        <v>0.22442244224422447</v>
      </c>
      <c r="G98" s="13">
        <f>VLOOKUP($A98,'[1]Detail only - SOC'!$A$4:$I$721,7,FALSE)</f>
        <v>136</v>
      </c>
      <c r="H98" s="13">
        <f>VLOOKUP($A98,'[1]Detail only - SOC'!$A$4:$I$721,8,FALSE)</f>
        <v>285</v>
      </c>
      <c r="I98" s="13">
        <f>VLOOKUP($A98,'[1]Detail only - SOC'!$A$4:$I$721,9,FALSE)</f>
        <v>421</v>
      </c>
    </row>
    <row r="99" spans="1:9" ht="30.75" x14ac:dyDescent="0.25">
      <c r="A99" s="11">
        <v>194091</v>
      </c>
      <c r="B99" s="12" t="s">
        <v>90</v>
      </c>
      <c r="C99" s="13">
        <f>VLOOKUP(A99,'[1]Detail only - SOC'!$A$4:$I$721,3,FALSE)</f>
        <v>331</v>
      </c>
      <c r="D99" s="13">
        <f>VLOOKUP($A99,'[1]Detail only - SOC'!$A$4:$I$721,4,FALSE)</f>
        <v>390</v>
      </c>
      <c r="E99" s="13">
        <f>VLOOKUP($A99,'[1]Detail only - SOC'!$A$4:$I$721,5,FALSE)</f>
        <v>59</v>
      </c>
      <c r="F99" s="28">
        <f>VLOOKUP($A99,'[1]Detail only - SOC'!$A$4:$I$721,6,FALSE)</f>
        <v>0.17824773413897277</v>
      </c>
      <c r="G99" s="13">
        <f>VLOOKUP($A99,'[1]Detail only - SOC'!$A$4:$I$721,7,FALSE)</f>
        <v>59</v>
      </c>
      <c r="H99" s="13">
        <f>VLOOKUP($A99,'[1]Detail only - SOC'!$A$4:$I$721,8,FALSE)</f>
        <v>152</v>
      </c>
      <c r="I99" s="13">
        <f>VLOOKUP($A99,'[1]Detail only - SOC'!$A$4:$I$721,9,FALSE)</f>
        <v>211</v>
      </c>
    </row>
    <row r="100" spans="1:9" x14ac:dyDescent="0.25">
      <c r="A100" s="11">
        <v>194092</v>
      </c>
      <c r="B100" s="12" t="s">
        <v>91</v>
      </c>
      <c r="C100" s="13">
        <f>VLOOKUP(A100,'[1]Detail only - SOC'!$A$4:$I$721,3,FALSE)</f>
        <v>216</v>
      </c>
      <c r="D100" s="13">
        <f>VLOOKUP($A100,'[1]Detail only - SOC'!$A$4:$I$721,4,FALSE)</f>
        <v>232</v>
      </c>
      <c r="E100" s="13">
        <f>VLOOKUP($A100,'[1]Detail only - SOC'!$A$4:$I$721,5,FALSE)</f>
        <v>16</v>
      </c>
      <c r="F100" s="28">
        <f>VLOOKUP($A100,'[1]Detail only - SOC'!$A$4:$I$721,6,FALSE)</f>
        <v>7.4074074074074181E-2</v>
      </c>
      <c r="G100" s="13">
        <f>VLOOKUP($A100,'[1]Detail only - SOC'!$A$4:$I$721,7,FALSE)</f>
        <v>16</v>
      </c>
      <c r="H100" s="13">
        <f>VLOOKUP($A100,'[1]Detail only - SOC'!$A$4:$I$721,8,FALSE)</f>
        <v>95</v>
      </c>
      <c r="I100" s="13">
        <f>VLOOKUP($A100,'[1]Detail only - SOC'!$A$4:$I$721,9,FALSE)</f>
        <v>111</v>
      </c>
    </row>
    <row r="101" spans="1:9" x14ac:dyDescent="0.25">
      <c r="A101" s="11">
        <v>194093</v>
      </c>
      <c r="B101" s="12" t="s">
        <v>92</v>
      </c>
      <c r="C101" s="13">
        <f>VLOOKUP(A101,'[1]Detail only - SOC'!$A$4:$I$721,3,FALSE)</f>
        <v>2738</v>
      </c>
      <c r="D101" s="13">
        <f>VLOOKUP($A101,'[1]Detail only - SOC'!$A$4:$I$721,4,FALSE)</f>
        <v>2661</v>
      </c>
      <c r="E101" s="13">
        <f>VLOOKUP($A101,'[1]Detail only - SOC'!$A$4:$I$721,5,FALSE)</f>
        <v>-77</v>
      </c>
      <c r="F101" s="28">
        <f>VLOOKUP($A101,'[1]Detail only - SOC'!$A$4:$I$721,6,FALSE)</f>
        <v>-2.812271731190652E-2</v>
      </c>
      <c r="G101" s="13">
        <f>VLOOKUP($A101,'[1]Detail only - SOC'!$A$4:$I$721,7,FALSE)</f>
        <v>0</v>
      </c>
      <c r="H101" s="13">
        <f>VLOOKUP($A101,'[1]Detail only - SOC'!$A$4:$I$721,8,FALSE)</f>
        <v>1140</v>
      </c>
      <c r="I101" s="13">
        <f>VLOOKUP($A101,'[1]Detail only - SOC'!$A$4:$I$721,9,FALSE)</f>
        <v>1140</v>
      </c>
    </row>
    <row r="102" spans="1:9" x14ac:dyDescent="0.25">
      <c r="A102" s="11">
        <v>194099</v>
      </c>
      <c r="B102" s="12" t="s">
        <v>93</v>
      </c>
      <c r="C102" s="13">
        <f>VLOOKUP(A102,'[1]Detail only - SOC'!$A$4:$I$721,3,FALSE)</f>
        <v>1176</v>
      </c>
      <c r="D102" s="13">
        <f>VLOOKUP($A102,'[1]Detail only - SOC'!$A$4:$I$721,4,FALSE)</f>
        <v>1382</v>
      </c>
      <c r="E102" s="13">
        <f>VLOOKUP($A102,'[1]Detail only - SOC'!$A$4:$I$721,5,FALSE)</f>
        <v>206</v>
      </c>
      <c r="F102" s="28">
        <f>VLOOKUP($A102,'[1]Detail only - SOC'!$A$4:$I$721,6,FALSE)</f>
        <v>0.1751700680272108</v>
      </c>
      <c r="G102" s="13">
        <f>VLOOKUP($A102,'[1]Detail only - SOC'!$A$4:$I$721,7,FALSE)</f>
        <v>206</v>
      </c>
      <c r="H102" s="13">
        <f>VLOOKUP($A102,'[1]Detail only - SOC'!$A$4:$I$721,8,FALSE)</f>
        <v>540</v>
      </c>
      <c r="I102" s="13">
        <f>VLOOKUP($A102,'[1]Detail only - SOC'!$A$4:$I$721,9,FALSE)</f>
        <v>746</v>
      </c>
    </row>
    <row r="103" spans="1:9" x14ac:dyDescent="0.25">
      <c r="A103" s="11"/>
      <c r="B103" s="12"/>
      <c r="C103" s="13"/>
      <c r="D103" s="13"/>
      <c r="E103" s="13"/>
      <c r="F103" s="28"/>
      <c r="G103" s="13"/>
      <c r="H103" s="13"/>
      <c r="I103" s="13"/>
    </row>
    <row r="104" spans="1:9" x14ac:dyDescent="0.25">
      <c r="A104" s="8" t="s">
        <v>94</v>
      </c>
      <c r="B104" s="12"/>
      <c r="C104" s="13"/>
      <c r="D104" s="13"/>
      <c r="E104" s="13"/>
      <c r="F104" s="28"/>
      <c r="G104" s="13"/>
      <c r="H104" s="13"/>
      <c r="I104" s="13"/>
    </row>
    <row r="105" spans="1:9" x14ac:dyDescent="0.25">
      <c r="A105" s="14">
        <v>419031</v>
      </c>
      <c r="B105" s="15" t="s">
        <v>95</v>
      </c>
      <c r="C105" s="13">
        <f>VLOOKUP(A105,'[1]Detail only - SOC'!$A$4:$I$721,3,FALSE)</f>
        <v>691</v>
      </c>
      <c r="D105" s="13">
        <f>VLOOKUP($A105,'[1]Detail only - SOC'!$A$4:$I$721,4,FALSE)</f>
        <v>838</v>
      </c>
      <c r="E105" s="13">
        <f>VLOOKUP($A105,'[1]Detail only - SOC'!$A$4:$I$721,5,FALSE)</f>
        <v>147</v>
      </c>
      <c r="F105" s="28">
        <f>VLOOKUP($A105,'[1]Detail only - SOC'!$A$4:$I$721,6,FALSE)</f>
        <v>0.21273516642547041</v>
      </c>
      <c r="G105" s="13">
        <f>VLOOKUP($A105,'[1]Detail only - SOC'!$A$4:$I$721,7,FALSE)</f>
        <v>147</v>
      </c>
      <c r="H105" s="13">
        <f>VLOOKUP($A105,'[1]Detail only - SOC'!$A$4:$I$721,8,FALSE)</f>
        <v>260</v>
      </c>
      <c r="I105" s="13">
        <f>VLOOKUP($A105,'[1]Detail only - SOC'!$A$4:$I$721,9,FALSE)</f>
        <v>407</v>
      </c>
    </row>
    <row r="106" spans="1:9" x14ac:dyDescent="0.25">
      <c r="A106" s="11"/>
      <c r="B106" s="16"/>
      <c r="C106" s="17"/>
      <c r="D106" s="13"/>
      <c r="E106" s="13"/>
      <c r="F106" s="28"/>
      <c r="G106" s="13"/>
      <c r="H106" s="13"/>
      <c r="I106" s="13"/>
    </row>
    <row r="107" spans="1:9" x14ac:dyDescent="0.25">
      <c r="A107" s="11"/>
      <c r="B107" s="16"/>
      <c r="C107" s="17"/>
      <c r="D107" s="13"/>
      <c r="E107" s="13"/>
      <c r="F107" s="28"/>
      <c r="G107" s="13"/>
      <c r="H107" s="13"/>
      <c r="I107" s="13"/>
    </row>
    <row r="108" spans="1:9" x14ac:dyDescent="0.25">
      <c r="A108" s="16"/>
      <c r="B108" s="16"/>
      <c r="C108" s="17"/>
      <c r="D108" s="13"/>
      <c r="E108" s="13"/>
      <c r="F108" s="28"/>
      <c r="G108" s="13"/>
      <c r="H108" s="13"/>
      <c r="I108" s="13"/>
    </row>
    <row r="109" spans="1:9" x14ac:dyDescent="0.25">
      <c r="A109" s="16"/>
      <c r="B109" s="16"/>
      <c r="C109" s="17"/>
      <c r="D109" s="13"/>
      <c r="E109" s="13"/>
      <c r="F109" s="28"/>
      <c r="G109" s="13"/>
      <c r="H109" s="13"/>
      <c r="I109" s="13"/>
    </row>
    <row r="110" spans="1:9" x14ac:dyDescent="0.25">
      <c r="A110" s="16"/>
      <c r="B110" s="16"/>
      <c r="C110" s="17"/>
      <c r="D110" s="13"/>
      <c r="E110" s="13"/>
      <c r="F110" s="28"/>
      <c r="G110" s="13"/>
      <c r="H110" s="13"/>
      <c r="I110" s="13"/>
    </row>
    <row r="111" spans="1:9" x14ac:dyDescent="0.25">
      <c r="A111" s="16"/>
      <c r="B111" s="16"/>
      <c r="C111" s="17"/>
      <c r="D111" s="13"/>
      <c r="E111" s="13"/>
      <c r="F111" s="28"/>
      <c r="G111" s="13"/>
      <c r="H111" s="13"/>
      <c r="I111" s="13"/>
    </row>
    <row r="112" spans="1:9" x14ac:dyDescent="0.25">
      <c r="A112" s="16"/>
      <c r="B112" s="16"/>
      <c r="C112" s="17"/>
      <c r="D112" s="13"/>
      <c r="E112" s="13"/>
      <c r="F112" s="28"/>
      <c r="G112" s="13"/>
      <c r="H112" s="13"/>
      <c r="I112" s="13"/>
    </row>
    <row r="113" spans="1:9" x14ac:dyDescent="0.25">
      <c r="A113" s="16"/>
      <c r="B113" s="16"/>
      <c r="C113" s="17"/>
      <c r="D113" s="13"/>
      <c r="E113" s="13"/>
      <c r="F113" s="28"/>
      <c r="G113" s="13"/>
      <c r="H113" s="13"/>
      <c r="I113" s="13"/>
    </row>
    <row r="114" spans="1:9" x14ac:dyDescent="0.25">
      <c r="A114" s="16"/>
      <c r="B114" s="16"/>
      <c r="C114" s="17"/>
      <c r="D114" s="13"/>
      <c r="E114" s="13"/>
      <c r="F114" s="28"/>
      <c r="G114" s="13"/>
      <c r="H114" s="13"/>
      <c r="I114" s="13"/>
    </row>
    <row r="115" spans="1:9" x14ac:dyDescent="0.25">
      <c r="A115" s="16"/>
      <c r="B115" s="16"/>
      <c r="C115" s="17"/>
      <c r="D115" s="13"/>
      <c r="E115" s="13"/>
      <c r="F115" s="28"/>
      <c r="G115" s="13"/>
      <c r="H115" s="13"/>
      <c r="I115" s="13"/>
    </row>
    <row r="116" spans="1:9" x14ac:dyDescent="0.25">
      <c r="A116" s="16"/>
      <c r="B116" s="16"/>
      <c r="C116" s="17"/>
      <c r="D116" s="13"/>
      <c r="E116" s="13"/>
      <c r="F116" s="28"/>
      <c r="G116" s="13"/>
      <c r="H116" s="13"/>
      <c r="I116" s="13"/>
    </row>
    <row r="117" spans="1:9" x14ac:dyDescent="0.25">
      <c r="A117" s="16"/>
      <c r="B117" s="16"/>
      <c r="C117" s="17"/>
      <c r="D117" s="13"/>
      <c r="E117" s="13"/>
      <c r="F117" s="28"/>
      <c r="G117" s="13"/>
      <c r="H117" s="13"/>
      <c r="I117" s="13"/>
    </row>
    <row r="118" spans="1:9" x14ac:dyDescent="0.25">
      <c r="A118" s="16"/>
      <c r="B118" s="16"/>
      <c r="C118" s="17"/>
      <c r="D118" s="13"/>
      <c r="E118" s="13"/>
      <c r="F118" s="28"/>
      <c r="G118" s="13"/>
      <c r="H118" s="13"/>
      <c r="I118" s="13"/>
    </row>
    <row r="119" spans="1:9" x14ac:dyDescent="0.25">
      <c r="A119" s="16"/>
      <c r="B119" s="16"/>
      <c r="C119" s="17"/>
      <c r="D119" s="13"/>
      <c r="E119" s="13"/>
      <c r="F119" s="28"/>
      <c r="G119" s="13"/>
      <c r="H119" s="13"/>
      <c r="I119" s="13"/>
    </row>
    <row r="120" spans="1:9" x14ac:dyDescent="0.25">
      <c r="A120" s="16"/>
      <c r="B120" s="16"/>
      <c r="C120" s="17"/>
      <c r="D120" s="13"/>
      <c r="E120" s="13"/>
      <c r="F120" s="28"/>
      <c r="G120" s="13"/>
      <c r="H120" s="13"/>
      <c r="I120" s="13"/>
    </row>
    <row r="121" spans="1:9" x14ac:dyDescent="0.25">
      <c r="A121" s="16"/>
      <c r="B121" s="16"/>
      <c r="C121" s="17"/>
      <c r="D121" s="13"/>
      <c r="E121" s="13"/>
      <c r="F121" s="28"/>
      <c r="G121" s="13"/>
      <c r="H121" s="13"/>
      <c r="I121" s="13"/>
    </row>
    <row r="122" spans="1:9" x14ac:dyDescent="0.25">
      <c r="A122" s="16"/>
      <c r="B122" s="16"/>
      <c r="C122" s="17"/>
      <c r="D122" s="13"/>
      <c r="E122" s="13"/>
      <c r="F122" s="28"/>
      <c r="G122" s="13"/>
      <c r="H122" s="13"/>
      <c r="I122" s="13"/>
    </row>
    <row r="123" spans="1:9" x14ac:dyDescent="0.25">
      <c r="A123" s="16"/>
      <c r="B123" s="16"/>
      <c r="C123" s="17"/>
      <c r="D123" s="13"/>
      <c r="E123" s="13"/>
      <c r="F123" s="28"/>
      <c r="G123" s="13"/>
      <c r="H123" s="13"/>
      <c r="I123" s="13"/>
    </row>
    <row r="124" spans="1:9" x14ac:dyDescent="0.25">
      <c r="A124" s="16"/>
      <c r="B124" s="16"/>
      <c r="C124" s="17"/>
      <c r="D124" s="13"/>
      <c r="E124" s="13"/>
      <c r="F124" s="28"/>
      <c r="G124" s="13"/>
      <c r="H124" s="13"/>
      <c r="I124" s="13"/>
    </row>
    <row r="125" spans="1:9" x14ac:dyDescent="0.25">
      <c r="A125" s="16"/>
      <c r="B125" s="16"/>
      <c r="C125" s="17"/>
      <c r="D125" s="13"/>
      <c r="E125" s="13"/>
      <c r="F125" s="28"/>
      <c r="G125" s="13"/>
      <c r="H125" s="13"/>
      <c r="I125" s="13"/>
    </row>
    <row r="126" spans="1:9" x14ac:dyDescent="0.25">
      <c r="A126" s="16"/>
      <c r="B126" s="16"/>
      <c r="C126" s="17"/>
      <c r="D126" s="13"/>
      <c r="E126" s="13"/>
      <c r="F126" s="28"/>
      <c r="G126" s="13"/>
      <c r="H126" s="13"/>
      <c r="I126" s="13"/>
    </row>
    <row r="127" spans="1:9" x14ac:dyDescent="0.25">
      <c r="A127" s="16"/>
      <c r="B127" s="16"/>
      <c r="C127" s="17"/>
      <c r="D127" s="13"/>
      <c r="E127" s="13"/>
      <c r="F127" s="28"/>
      <c r="G127" s="13"/>
      <c r="H127" s="13"/>
      <c r="I127" s="13"/>
    </row>
    <row r="128" spans="1:9" x14ac:dyDescent="0.25">
      <c r="A128" s="16"/>
      <c r="B128" s="16"/>
      <c r="C128" s="17"/>
      <c r="D128" s="13"/>
      <c r="E128" s="13"/>
      <c r="F128" s="28"/>
      <c r="G128" s="13"/>
      <c r="H128" s="13"/>
      <c r="I128" s="13"/>
    </row>
    <row r="129" spans="1:9" x14ac:dyDescent="0.25">
      <c r="A129" s="16"/>
      <c r="B129" s="16"/>
      <c r="C129" s="17"/>
      <c r="D129" s="13"/>
      <c r="E129" s="13"/>
      <c r="F129" s="28"/>
      <c r="G129" s="13"/>
      <c r="H129" s="13"/>
      <c r="I129" s="13"/>
    </row>
    <row r="130" spans="1:9" x14ac:dyDescent="0.25">
      <c r="A130" s="16"/>
      <c r="B130" s="16"/>
      <c r="C130" s="17"/>
      <c r="D130" s="13"/>
      <c r="E130" s="13"/>
      <c r="F130" s="28"/>
      <c r="G130" s="13"/>
      <c r="H130" s="13"/>
      <c r="I130" s="13"/>
    </row>
    <row r="131" spans="1:9" x14ac:dyDescent="0.25">
      <c r="A131" s="16"/>
      <c r="B131" s="16"/>
      <c r="C131" s="17"/>
      <c r="D131" s="13"/>
      <c r="E131" s="13"/>
      <c r="F131" s="28"/>
      <c r="G131" s="13"/>
      <c r="H131" s="13"/>
      <c r="I131" s="13"/>
    </row>
    <row r="132" spans="1:9" x14ac:dyDescent="0.25">
      <c r="A132" s="16"/>
      <c r="B132" s="16"/>
      <c r="C132" s="17"/>
      <c r="D132" s="13"/>
      <c r="E132" s="13"/>
      <c r="F132" s="28"/>
      <c r="G132" s="13"/>
      <c r="H132" s="13"/>
      <c r="I132" s="13"/>
    </row>
    <row r="133" spans="1:9" x14ac:dyDescent="0.25">
      <c r="A133" s="16"/>
      <c r="B133" s="16"/>
      <c r="C133" s="17"/>
      <c r="D133" s="13"/>
      <c r="E133" s="13"/>
      <c r="F133" s="28"/>
      <c r="G133" s="13"/>
      <c r="H133" s="13"/>
      <c r="I133" s="13"/>
    </row>
    <row r="134" spans="1:9" x14ac:dyDescent="0.25">
      <c r="A134" s="16"/>
      <c r="B134" s="16"/>
      <c r="C134" s="17"/>
      <c r="D134" s="13"/>
      <c r="E134" s="13"/>
      <c r="F134" s="28"/>
      <c r="G134" s="13"/>
      <c r="H134" s="13"/>
      <c r="I134" s="13"/>
    </row>
    <row r="135" spans="1:9" x14ac:dyDescent="0.25">
      <c r="A135" s="16"/>
      <c r="B135" s="16"/>
      <c r="C135" s="17"/>
      <c r="D135" s="13"/>
      <c r="E135" s="13"/>
      <c r="F135" s="28"/>
      <c r="G135" s="13"/>
      <c r="H135" s="13"/>
      <c r="I135" s="13"/>
    </row>
    <row r="136" spans="1:9" x14ac:dyDescent="0.25">
      <c r="A136" s="16"/>
      <c r="B136" s="16"/>
      <c r="C136" s="17"/>
      <c r="D136" s="13"/>
      <c r="E136" s="13"/>
      <c r="F136" s="28"/>
      <c r="G136" s="13"/>
      <c r="H136" s="13"/>
      <c r="I136" s="13"/>
    </row>
    <row r="137" spans="1:9" x14ac:dyDescent="0.25">
      <c r="A137" s="16"/>
      <c r="B137" s="16"/>
      <c r="C137" s="17"/>
      <c r="D137" s="13"/>
      <c r="E137" s="13"/>
      <c r="F137" s="28"/>
      <c r="G137" s="13"/>
      <c r="H137" s="13"/>
      <c r="I137" s="13"/>
    </row>
    <row r="138" spans="1:9" x14ac:dyDescent="0.25">
      <c r="A138" s="16"/>
      <c r="B138" s="16"/>
      <c r="C138" s="17"/>
      <c r="D138" s="13"/>
      <c r="E138" s="13"/>
      <c r="F138" s="28"/>
      <c r="G138" s="13"/>
      <c r="H138" s="13"/>
      <c r="I138" s="13"/>
    </row>
    <row r="139" spans="1:9" x14ac:dyDescent="0.25">
      <c r="A139" s="16"/>
      <c r="B139" s="16"/>
      <c r="C139" s="17"/>
      <c r="D139" s="13"/>
      <c r="E139" s="13"/>
      <c r="F139" s="28"/>
      <c r="G139" s="13"/>
      <c r="H139" s="13"/>
      <c r="I139" s="13"/>
    </row>
    <row r="140" spans="1:9" x14ac:dyDescent="0.25">
      <c r="A140" s="16"/>
      <c r="B140" s="16"/>
      <c r="C140" s="17"/>
      <c r="D140" s="13"/>
      <c r="E140" s="13"/>
      <c r="F140" s="28"/>
      <c r="G140" s="13"/>
      <c r="H140" s="13"/>
      <c r="I140" s="13"/>
    </row>
    <row r="141" spans="1:9" x14ac:dyDescent="0.25">
      <c r="A141" s="16"/>
      <c r="B141" s="16"/>
      <c r="C141" s="17"/>
      <c r="D141" s="13"/>
      <c r="E141" s="13"/>
      <c r="F141" s="28"/>
      <c r="G141" s="13"/>
      <c r="H141" s="13"/>
      <c r="I141" s="13"/>
    </row>
    <row r="142" spans="1:9" x14ac:dyDescent="0.25">
      <c r="A142" s="16"/>
      <c r="B142" s="16"/>
      <c r="C142" s="17"/>
      <c r="D142" s="13"/>
      <c r="E142" s="13"/>
      <c r="F142" s="28"/>
      <c r="G142" s="13"/>
      <c r="H142" s="13"/>
      <c r="I142" s="13"/>
    </row>
    <row r="143" spans="1:9" x14ac:dyDescent="0.25">
      <c r="A143" s="16"/>
      <c r="B143" s="16"/>
      <c r="C143" s="17"/>
      <c r="D143" s="13"/>
      <c r="E143" s="13"/>
      <c r="F143" s="28"/>
      <c r="G143" s="13"/>
      <c r="H143" s="13"/>
      <c r="I143" s="13"/>
    </row>
    <row r="144" spans="1:9" x14ac:dyDescent="0.25">
      <c r="A144" s="16"/>
      <c r="B144" s="16"/>
      <c r="C144" s="17"/>
      <c r="D144" s="13"/>
      <c r="E144" s="13"/>
      <c r="F144" s="28"/>
      <c r="G144" s="13"/>
      <c r="H144" s="13"/>
      <c r="I144" s="13"/>
    </row>
    <row r="145" spans="1:9" x14ac:dyDescent="0.25">
      <c r="A145" s="16"/>
      <c r="B145" s="16"/>
      <c r="C145" s="17"/>
      <c r="D145" s="13"/>
      <c r="E145" s="13"/>
      <c r="F145" s="28"/>
      <c r="G145" s="13"/>
      <c r="H145" s="13"/>
      <c r="I145" s="13"/>
    </row>
    <row r="146" spans="1:9" x14ac:dyDescent="0.25">
      <c r="A146" s="16"/>
      <c r="B146" s="16"/>
      <c r="C146" s="17"/>
      <c r="D146" s="13"/>
      <c r="E146" s="13"/>
      <c r="F146" s="28"/>
      <c r="G146" s="13"/>
      <c r="H146" s="13"/>
      <c r="I146" s="13"/>
    </row>
    <row r="147" spans="1:9" x14ac:dyDescent="0.25">
      <c r="A147" s="16"/>
      <c r="B147" s="16"/>
      <c r="C147" s="17"/>
      <c r="D147" s="13"/>
      <c r="E147" s="13"/>
      <c r="F147" s="28"/>
      <c r="G147" s="13"/>
      <c r="H147" s="13"/>
      <c r="I147" s="13"/>
    </row>
    <row r="148" spans="1:9" x14ac:dyDescent="0.25">
      <c r="A148" s="16"/>
      <c r="B148" s="16"/>
      <c r="C148" s="17"/>
      <c r="D148" s="13"/>
      <c r="E148" s="13"/>
      <c r="F148" s="28"/>
      <c r="G148" s="13"/>
      <c r="H148" s="13"/>
      <c r="I148" s="13"/>
    </row>
    <row r="149" spans="1:9" x14ac:dyDescent="0.25">
      <c r="A149" s="16"/>
      <c r="B149" s="16"/>
      <c r="C149" s="17"/>
      <c r="D149" s="13"/>
      <c r="E149" s="13"/>
      <c r="F149" s="28"/>
      <c r="G149" s="13"/>
      <c r="H149" s="13"/>
      <c r="I149" s="13"/>
    </row>
    <row r="150" spans="1:9" x14ac:dyDescent="0.25">
      <c r="A150" s="16"/>
      <c r="B150" s="16"/>
      <c r="C150" s="17"/>
      <c r="D150" s="13"/>
      <c r="E150" s="13"/>
      <c r="F150" s="28"/>
      <c r="G150" s="13"/>
      <c r="H150" s="13"/>
      <c r="I150" s="13"/>
    </row>
    <row r="151" spans="1:9" x14ac:dyDescent="0.25">
      <c r="A151" s="16"/>
      <c r="B151" s="16"/>
      <c r="C151" s="17"/>
      <c r="D151" s="13"/>
      <c r="E151" s="13"/>
      <c r="F151" s="28"/>
      <c r="G151" s="13"/>
      <c r="H151" s="13"/>
      <c r="I151" s="13"/>
    </row>
    <row r="152" spans="1:9" x14ac:dyDescent="0.25">
      <c r="A152" s="16"/>
      <c r="B152" s="16"/>
      <c r="C152" s="17"/>
      <c r="D152" s="13"/>
      <c r="E152" s="13"/>
      <c r="F152" s="28"/>
      <c r="G152" s="13"/>
      <c r="H152" s="13"/>
      <c r="I152" s="13"/>
    </row>
    <row r="153" spans="1:9" x14ac:dyDescent="0.25">
      <c r="A153" s="16"/>
      <c r="B153" s="16"/>
      <c r="C153" s="17"/>
      <c r="D153" s="13"/>
      <c r="E153" s="13"/>
      <c r="F153" s="28"/>
      <c r="G153" s="13"/>
      <c r="H153" s="13"/>
      <c r="I153" s="13"/>
    </row>
    <row r="154" spans="1:9" x14ac:dyDescent="0.25">
      <c r="A154" s="16"/>
      <c r="B154" s="16"/>
      <c r="C154" s="17"/>
      <c r="D154" s="13"/>
      <c r="E154" s="13"/>
      <c r="F154" s="28"/>
      <c r="G154" s="13"/>
      <c r="H154" s="13"/>
      <c r="I154" s="13"/>
    </row>
    <row r="155" spans="1:9" x14ac:dyDescent="0.25">
      <c r="A155" s="16"/>
      <c r="B155" s="16"/>
      <c r="C155" s="17"/>
      <c r="D155" s="13"/>
      <c r="E155" s="13"/>
      <c r="F155" s="28"/>
      <c r="G155" s="13"/>
      <c r="H155" s="13"/>
      <c r="I155" s="13"/>
    </row>
    <row r="156" spans="1:9" x14ac:dyDescent="0.25">
      <c r="A156" s="16"/>
      <c r="B156" s="16"/>
      <c r="C156" s="17"/>
      <c r="D156" s="13"/>
      <c r="E156" s="13"/>
      <c r="F156" s="28"/>
      <c r="G156" s="13"/>
      <c r="H156" s="13"/>
      <c r="I156" s="13"/>
    </row>
    <row r="157" spans="1:9" x14ac:dyDescent="0.25">
      <c r="A157" s="16"/>
      <c r="B157" s="16"/>
      <c r="C157" s="17"/>
      <c r="D157" s="13"/>
      <c r="E157" s="13"/>
      <c r="F157" s="28"/>
      <c r="G157" s="13"/>
      <c r="H157" s="13"/>
      <c r="I157" s="13"/>
    </row>
    <row r="158" spans="1:9" x14ac:dyDescent="0.25">
      <c r="A158" s="16"/>
      <c r="B158" s="16"/>
      <c r="C158" s="17"/>
      <c r="D158" s="13"/>
      <c r="E158" s="13"/>
      <c r="F158" s="28"/>
      <c r="G158" s="13"/>
      <c r="H158" s="13"/>
      <c r="I158" s="13"/>
    </row>
    <row r="159" spans="1:9" x14ac:dyDescent="0.25">
      <c r="A159" s="16"/>
      <c r="B159" s="16"/>
      <c r="C159" s="17"/>
      <c r="D159" s="13"/>
      <c r="E159" s="13"/>
      <c r="F159" s="28"/>
      <c r="G159" s="13"/>
      <c r="H159" s="13"/>
      <c r="I159" s="13"/>
    </row>
    <row r="160" spans="1:9" x14ac:dyDescent="0.25">
      <c r="A160" s="16"/>
      <c r="B160" s="16"/>
      <c r="C160" s="17"/>
      <c r="D160" s="13"/>
      <c r="E160" s="13"/>
      <c r="F160" s="28"/>
      <c r="G160" s="13"/>
      <c r="H160" s="13"/>
      <c r="I160" s="13"/>
    </row>
    <row r="161" spans="1:9" x14ac:dyDescent="0.25">
      <c r="A161" s="16"/>
      <c r="B161" s="16"/>
      <c r="C161" s="17"/>
      <c r="D161" s="13"/>
      <c r="E161" s="13"/>
      <c r="F161" s="28"/>
      <c r="G161" s="13"/>
      <c r="H161" s="13"/>
      <c r="I161" s="13"/>
    </row>
    <row r="162" spans="1:9" x14ac:dyDescent="0.25">
      <c r="A162" s="16"/>
      <c r="B162" s="16"/>
      <c r="C162" s="17"/>
      <c r="D162" s="13"/>
      <c r="E162" s="13"/>
      <c r="F162" s="28"/>
      <c r="G162" s="13"/>
      <c r="H162" s="13"/>
      <c r="I162" s="13"/>
    </row>
    <row r="163" spans="1:9" x14ac:dyDescent="0.25">
      <c r="A163" s="16"/>
      <c r="B163" s="16"/>
      <c r="C163" s="17"/>
      <c r="D163" s="13"/>
      <c r="E163" s="13"/>
      <c r="F163" s="28"/>
      <c r="G163" s="13"/>
      <c r="H163" s="13"/>
      <c r="I163" s="13"/>
    </row>
    <row r="164" spans="1:9" x14ac:dyDescent="0.25">
      <c r="A164" s="16"/>
      <c r="B164" s="16"/>
      <c r="C164" s="17"/>
      <c r="D164" s="13"/>
      <c r="E164" s="13"/>
      <c r="F164" s="28"/>
      <c r="G164" s="13"/>
      <c r="H164" s="13"/>
      <c r="I164" s="13"/>
    </row>
    <row r="165" spans="1:9" x14ac:dyDescent="0.25">
      <c r="A165" s="16"/>
      <c r="B165" s="16"/>
      <c r="C165" s="17"/>
      <c r="D165" s="13"/>
      <c r="E165" s="13"/>
      <c r="F165" s="28"/>
      <c r="G165" s="13"/>
      <c r="H165" s="13"/>
      <c r="I165" s="13"/>
    </row>
    <row r="166" spans="1:9" x14ac:dyDescent="0.25">
      <c r="A166" s="16"/>
      <c r="B166" s="16"/>
      <c r="C166" s="17"/>
      <c r="D166" s="13"/>
      <c r="E166" s="13"/>
      <c r="F166" s="28"/>
      <c r="G166" s="13"/>
      <c r="H166" s="13"/>
      <c r="I166" s="13"/>
    </row>
    <row r="167" spans="1:9" x14ac:dyDescent="0.25">
      <c r="A167" s="16"/>
      <c r="B167" s="16"/>
      <c r="C167" s="17"/>
      <c r="D167" s="13"/>
      <c r="E167" s="13"/>
      <c r="F167" s="28"/>
      <c r="G167" s="13"/>
      <c r="H167" s="13"/>
      <c r="I167" s="13"/>
    </row>
    <row r="168" spans="1:9" x14ac:dyDescent="0.25">
      <c r="A168" s="16"/>
      <c r="B168" s="16"/>
      <c r="C168" s="17"/>
      <c r="D168" s="13"/>
      <c r="E168" s="13"/>
      <c r="F168" s="28"/>
      <c r="G168" s="13"/>
      <c r="H168" s="13"/>
      <c r="I168" s="13"/>
    </row>
    <row r="169" spans="1:9" x14ac:dyDescent="0.25">
      <c r="A169" s="16"/>
      <c r="B169" s="16"/>
      <c r="C169" s="17"/>
      <c r="D169" s="13"/>
      <c r="E169" s="13"/>
      <c r="F169" s="28"/>
      <c r="G169" s="13"/>
      <c r="H169" s="13"/>
      <c r="I169" s="13"/>
    </row>
    <row r="170" spans="1:9" x14ac:dyDescent="0.25">
      <c r="A170" s="16"/>
      <c r="B170" s="16"/>
      <c r="C170" s="17"/>
      <c r="D170" s="13"/>
      <c r="E170" s="13"/>
      <c r="F170" s="28"/>
      <c r="G170" s="13"/>
      <c r="H170" s="13"/>
      <c r="I170" s="13"/>
    </row>
    <row r="171" spans="1:9" x14ac:dyDescent="0.25">
      <c r="A171" s="16"/>
      <c r="B171" s="16"/>
      <c r="C171" s="17"/>
      <c r="D171" s="13"/>
      <c r="E171" s="13"/>
      <c r="F171" s="28"/>
      <c r="G171" s="13"/>
      <c r="H171" s="13"/>
      <c r="I171" s="13"/>
    </row>
    <row r="172" spans="1:9" x14ac:dyDescent="0.25">
      <c r="A172" s="16"/>
      <c r="B172" s="16"/>
      <c r="C172" s="17"/>
      <c r="D172" s="13"/>
      <c r="E172" s="13"/>
      <c r="F172" s="28"/>
      <c r="G172" s="13"/>
      <c r="H172" s="13"/>
      <c r="I172" s="13"/>
    </row>
    <row r="173" spans="1:9" x14ac:dyDescent="0.25">
      <c r="A173" s="16"/>
      <c r="B173" s="16"/>
      <c r="C173" s="17"/>
      <c r="D173" s="13"/>
      <c r="E173" s="13"/>
      <c r="F173" s="28"/>
      <c r="G173" s="13"/>
      <c r="H173" s="13"/>
      <c r="I173" s="13"/>
    </row>
    <row r="174" spans="1:9" x14ac:dyDescent="0.25">
      <c r="A174" s="16"/>
      <c r="B174" s="16"/>
      <c r="C174" s="17"/>
      <c r="D174" s="13"/>
      <c r="E174" s="13"/>
      <c r="F174" s="28"/>
      <c r="G174" s="13"/>
      <c r="H174" s="13"/>
      <c r="I174" s="13"/>
    </row>
    <row r="175" spans="1:9" x14ac:dyDescent="0.25">
      <c r="A175" s="16"/>
      <c r="B175" s="16"/>
      <c r="C175" s="17"/>
      <c r="D175" s="13"/>
      <c r="E175" s="13"/>
      <c r="F175" s="28"/>
      <c r="G175" s="13"/>
      <c r="H175" s="13"/>
      <c r="I175" s="13"/>
    </row>
    <row r="176" spans="1:9" x14ac:dyDescent="0.25">
      <c r="A176" s="16"/>
      <c r="B176" s="16"/>
      <c r="C176" s="17"/>
      <c r="D176" s="13"/>
      <c r="E176" s="13"/>
      <c r="F176" s="28"/>
      <c r="G176" s="13"/>
      <c r="H176" s="13"/>
      <c r="I176" s="13"/>
    </row>
    <row r="177" spans="1:9" x14ac:dyDescent="0.25">
      <c r="A177" s="16"/>
      <c r="B177" s="16"/>
      <c r="C177" s="17"/>
      <c r="D177" s="13"/>
      <c r="E177" s="13"/>
      <c r="F177" s="28"/>
      <c r="G177" s="13"/>
      <c r="H177" s="13"/>
      <c r="I177" s="13"/>
    </row>
    <row r="178" spans="1:9" x14ac:dyDescent="0.25">
      <c r="A178" s="16"/>
      <c r="B178" s="16"/>
      <c r="C178" s="17"/>
      <c r="D178" s="13"/>
      <c r="E178" s="13"/>
      <c r="F178" s="28"/>
      <c r="G178" s="13"/>
      <c r="H178" s="13"/>
      <c r="I178" s="13"/>
    </row>
    <row r="179" spans="1:9" x14ac:dyDescent="0.25">
      <c r="A179" s="16"/>
      <c r="B179" s="16"/>
      <c r="C179" s="17"/>
      <c r="D179" s="13"/>
      <c r="E179" s="13"/>
      <c r="F179" s="28"/>
      <c r="G179" s="13"/>
      <c r="H179" s="13"/>
      <c r="I179" s="13"/>
    </row>
    <row r="180" spans="1:9" x14ac:dyDescent="0.25">
      <c r="A180" s="16"/>
      <c r="B180" s="16"/>
      <c r="C180" s="17"/>
      <c r="D180" s="13"/>
      <c r="E180" s="13"/>
      <c r="F180" s="28"/>
      <c r="G180" s="13"/>
      <c r="H180" s="13"/>
      <c r="I180" s="13"/>
    </row>
    <row r="181" spans="1:9" x14ac:dyDescent="0.25">
      <c r="A181" s="16"/>
      <c r="B181" s="16"/>
      <c r="C181" s="17"/>
      <c r="D181" s="13"/>
      <c r="E181" s="13"/>
      <c r="F181" s="28"/>
      <c r="G181" s="13"/>
      <c r="H181" s="13"/>
      <c r="I181" s="13"/>
    </row>
    <row r="182" spans="1:9" x14ac:dyDescent="0.25">
      <c r="A182" s="16"/>
      <c r="B182" s="16"/>
      <c r="C182" s="17"/>
      <c r="D182" s="13"/>
      <c r="E182" s="13"/>
      <c r="F182" s="28"/>
      <c r="G182" s="13"/>
      <c r="H182" s="13"/>
      <c r="I182" s="13"/>
    </row>
    <row r="183" spans="1:9" x14ac:dyDescent="0.25">
      <c r="A183" s="16"/>
      <c r="B183" s="16"/>
      <c r="C183" s="17"/>
      <c r="D183" s="13"/>
      <c r="E183" s="13"/>
      <c r="F183" s="28"/>
      <c r="G183" s="13"/>
      <c r="H183" s="13"/>
      <c r="I183" s="13"/>
    </row>
    <row r="184" spans="1:9" x14ac:dyDescent="0.25">
      <c r="A184" s="16"/>
      <c r="B184" s="16"/>
      <c r="C184" s="17"/>
      <c r="D184" s="13"/>
      <c r="E184" s="13"/>
      <c r="F184" s="28"/>
      <c r="G184" s="13"/>
      <c r="H184" s="13"/>
      <c r="I184" s="13"/>
    </row>
    <row r="185" spans="1:9" x14ac:dyDescent="0.25">
      <c r="A185" s="16"/>
      <c r="B185" s="16"/>
      <c r="C185" s="17"/>
      <c r="D185" s="13"/>
      <c r="E185" s="13"/>
      <c r="F185" s="28"/>
      <c r="G185" s="13"/>
      <c r="H185" s="13"/>
      <c r="I185" s="13"/>
    </row>
    <row r="186" spans="1:9" x14ac:dyDescent="0.25">
      <c r="A186" s="16"/>
      <c r="B186" s="16"/>
      <c r="C186" s="17"/>
      <c r="D186" s="13"/>
      <c r="E186" s="13"/>
      <c r="F186" s="28"/>
      <c r="G186" s="13"/>
      <c r="H186" s="13"/>
      <c r="I186" s="13"/>
    </row>
    <row r="187" spans="1:9" x14ac:dyDescent="0.25">
      <c r="A187" s="16"/>
      <c r="B187" s="16"/>
      <c r="C187" s="17"/>
      <c r="D187" s="13"/>
      <c r="E187" s="13"/>
      <c r="F187" s="28"/>
      <c r="G187" s="13"/>
      <c r="H187" s="13"/>
      <c r="I187" s="13"/>
    </row>
    <row r="188" spans="1:9" x14ac:dyDescent="0.25">
      <c r="A188" s="16"/>
      <c r="B188" s="16"/>
      <c r="C188" s="17"/>
      <c r="D188" s="13"/>
      <c r="E188" s="13"/>
      <c r="F188" s="28"/>
      <c r="G188" s="13"/>
      <c r="H188" s="13"/>
      <c r="I188" s="13"/>
    </row>
    <row r="189" spans="1:9" x14ac:dyDescent="0.25">
      <c r="A189" s="16"/>
      <c r="B189" s="16"/>
      <c r="C189" s="17"/>
      <c r="D189" s="13"/>
      <c r="E189" s="13"/>
      <c r="F189" s="28"/>
      <c r="G189" s="13"/>
      <c r="H189" s="13"/>
      <c r="I189" s="13"/>
    </row>
    <row r="190" spans="1:9" x14ac:dyDescent="0.25">
      <c r="A190" s="16"/>
      <c r="B190" s="16"/>
      <c r="C190" s="16"/>
      <c r="D190" s="13"/>
      <c r="E190" s="13"/>
      <c r="F190" s="28"/>
      <c r="G190" s="13"/>
      <c r="H190" s="13"/>
      <c r="I190" s="13"/>
    </row>
    <row r="191" spans="1:9" x14ac:dyDescent="0.25">
      <c r="A191" s="16"/>
      <c r="B191" s="16"/>
      <c r="C191" s="16"/>
      <c r="D191" s="13"/>
      <c r="E191" s="13"/>
      <c r="F191" s="28"/>
      <c r="G191" s="13"/>
      <c r="H191" s="13"/>
      <c r="I191" s="13"/>
    </row>
    <row r="192" spans="1:9" x14ac:dyDescent="0.25">
      <c r="A192" s="16"/>
      <c r="B192" s="16"/>
      <c r="C192" s="16"/>
      <c r="D192" s="13"/>
      <c r="E192" s="13"/>
      <c r="F192" s="28"/>
      <c r="G192" s="13"/>
      <c r="H192" s="13"/>
      <c r="I192" s="13"/>
    </row>
    <row r="193" spans="1:9" x14ac:dyDescent="0.25">
      <c r="A193" s="16"/>
      <c r="B193" s="16"/>
      <c r="C193" s="16"/>
      <c r="D193" s="13"/>
      <c r="E193" s="13"/>
      <c r="F193" s="28"/>
      <c r="G193" s="13"/>
      <c r="H193" s="13"/>
      <c r="I193" s="13"/>
    </row>
    <row r="194" spans="1:9" x14ac:dyDescent="0.25">
      <c r="A194" s="16"/>
      <c r="B194" s="16"/>
      <c r="C194" s="16"/>
      <c r="D194" s="13"/>
      <c r="E194" s="13"/>
      <c r="F194" s="28"/>
      <c r="G194" s="13"/>
      <c r="H194" s="13"/>
      <c r="I194" s="13"/>
    </row>
    <row r="195" spans="1:9" x14ac:dyDescent="0.25">
      <c r="A195" s="16"/>
      <c r="B195" s="16"/>
      <c r="C195" s="16"/>
      <c r="D195" s="13"/>
      <c r="E195" s="13"/>
      <c r="F195" s="28"/>
      <c r="G195" s="13"/>
      <c r="H195" s="13"/>
      <c r="I195" s="13"/>
    </row>
    <row r="196" spans="1:9" x14ac:dyDescent="0.25">
      <c r="A196" s="16"/>
      <c r="B196" s="16"/>
      <c r="C196" s="16"/>
      <c r="D196" s="13"/>
      <c r="E196" s="13"/>
      <c r="F196" s="28"/>
      <c r="G196" s="13"/>
      <c r="H196" s="13"/>
      <c r="I196" s="13"/>
    </row>
    <row r="197" spans="1:9" x14ac:dyDescent="0.25">
      <c r="A197" s="16"/>
      <c r="B197" s="16"/>
      <c r="C197" s="16"/>
      <c r="D197" s="13"/>
      <c r="E197" s="13"/>
      <c r="F197" s="28"/>
      <c r="G197" s="13"/>
      <c r="H197" s="13"/>
      <c r="I197" s="13"/>
    </row>
    <row r="198" spans="1:9" x14ac:dyDescent="0.25">
      <c r="A198" s="16"/>
      <c r="B198" s="16"/>
      <c r="C198" s="16"/>
      <c r="D198" s="13"/>
      <c r="E198" s="13"/>
      <c r="F198" s="28"/>
      <c r="G198" s="13"/>
      <c r="H198" s="13"/>
      <c r="I198" s="13"/>
    </row>
    <row r="199" spans="1:9" x14ac:dyDescent="0.25">
      <c r="A199" s="16"/>
      <c r="B199" s="16"/>
      <c r="C199" s="16"/>
      <c r="D199" s="13"/>
      <c r="E199" s="13"/>
      <c r="F199" s="28"/>
      <c r="G199" s="13"/>
      <c r="H199" s="13"/>
      <c r="I199" s="13"/>
    </row>
    <row r="200" spans="1:9" x14ac:dyDescent="0.25">
      <c r="A200" s="16"/>
      <c r="B200" s="16"/>
      <c r="C200" s="16"/>
      <c r="D200" s="13"/>
      <c r="E200" s="13"/>
      <c r="F200" s="28"/>
      <c r="G200" s="13"/>
      <c r="H200" s="13"/>
      <c r="I200" s="13"/>
    </row>
    <row r="201" spans="1:9" x14ac:dyDescent="0.25">
      <c r="A201" s="16"/>
      <c r="B201" s="16"/>
      <c r="C201" s="16"/>
      <c r="D201" s="13"/>
      <c r="E201" s="13"/>
      <c r="F201" s="28"/>
      <c r="G201" s="13"/>
      <c r="H201" s="13"/>
      <c r="I201" s="13"/>
    </row>
    <row r="202" spans="1:9" x14ac:dyDescent="0.25">
      <c r="A202" s="16"/>
      <c r="B202" s="16"/>
      <c r="C202" s="16"/>
      <c r="D202" s="13"/>
      <c r="E202" s="13"/>
      <c r="F202" s="28"/>
      <c r="G202" s="13"/>
      <c r="H202" s="13"/>
      <c r="I202" s="13"/>
    </row>
    <row r="203" spans="1:9" x14ac:dyDescent="0.25">
      <c r="A203" s="16"/>
      <c r="B203" s="16"/>
      <c r="C203" s="16"/>
      <c r="D203" s="13"/>
      <c r="E203" s="13"/>
      <c r="F203" s="28"/>
      <c r="G203" s="13"/>
      <c r="H203" s="13"/>
      <c r="I203" s="13"/>
    </row>
    <row r="204" spans="1:9" x14ac:dyDescent="0.25">
      <c r="A204" s="16"/>
      <c r="B204" s="16"/>
      <c r="C204" s="16"/>
      <c r="D204" s="13"/>
      <c r="E204" s="13"/>
      <c r="F204" s="28"/>
      <c r="G204" s="13"/>
      <c r="H204" s="13"/>
      <c r="I204" s="13"/>
    </row>
    <row r="205" spans="1:9" x14ac:dyDescent="0.25">
      <c r="A205" s="16"/>
      <c r="B205" s="16"/>
      <c r="C205" s="16"/>
      <c r="D205" s="13"/>
      <c r="E205" s="13"/>
      <c r="F205" s="28"/>
      <c r="G205" s="13"/>
      <c r="H205" s="13"/>
      <c r="I205" s="13"/>
    </row>
    <row r="206" spans="1:9" x14ac:dyDescent="0.25">
      <c r="A206" s="16"/>
      <c r="B206" s="16"/>
      <c r="C206" s="16"/>
      <c r="D206" s="13"/>
      <c r="E206" s="13"/>
      <c r="F206" s="28"/>
      <c r="G206" s="13"/>
      <c r="H206" s="13"/>
      <c r="I206" s="13"/>
    </row>
    <row r="207" spans="1:9" x14ac:dyDescent="0.25">
      <c r="A207" s="16"/>
      <c r="B207" s="16"/>
      <c r="C207" s="16"/>
      <c r="D207" s="13"/>
      <c r="E207" s="13"/>
      <c r="F207" s="28"/>
      <c r="G207" s="13"/>
      <c r="H207" s="13"/>
      <c r="I207" s="13"/>
    </row>
    <row r="208" spans="1:9" x14ac:dyDescent="0.25">
      <c r="A208" s="16"/>
      <c r="B208" s="16"/>
      <c r="C208" s="16"/>
      <c r="D208" s="13"/>
      <c r="E208" s="13"/>
      <c r="F208" s="28"/>
      <c r="G208" s="13"/>
      <c r="H208" s="13"/>
      <c r="I208" s="13"/>
    </row>
    <row r="209" spans="1:9" x14ac:dyDescent="0.25">
      <c r="A209" s="16"/>
      <c r="B209" s="16"/>
      <c r="C209" s="16"/>
      <c r="D209" s="13"/>
      <c r="E209" s="13"/>
      <c r="F209" s="28"/>
      <c r="G209" s="13"/>
      <c r="H209" s="13"/>
      <c r="I209" s="13"/>
    </row>
    <row r="210" spans="1:9" x14ac:dyDescent="0.25">
      <c r="A210" s="16"/>
      <c r="B210" s="16"/>
      <c r="C210" s="16"/>
      <c r="D210" s="13"/>
      <c r="E210" s="13"/>
      <c r="F210" s="28"/>
      <c r="G210" s="13"/>
      <c r="H210" s="13"/>
      <c r="I210" s="13"/>
    </row>
    <row r="211" spans="1:9" x14ac:dyDescent="0.25">
      <c r="A211" s="16"/>
      <c r="B211" s="16"/>
      <c r="C211" s="16"/>
      <c r="D211" s="13"/>
      <c r="E211" s="13"/>
      <c r="F211" s="28"/>
      <c r="G211" s="13"/>
      <c r="H211" s="13"/>
      <c r="I211" s="13"/>
    </row>
    <row r="212" spans="1:9" x14ac:dyDescent="0.25">
      <c r="A212" s="16"/>
      <c r="B212" s="16"/>
      <c r="C212" s="16"/>
      <c r="D212" s="13"/>
      <c r="E212" s="13"/>
      <c r="F212" s="28"/>
      <c r="G212" s="13"/>
      <c r="H212" s="13"/>
      <c r="I212" s="13"/>
    </row>
    <row r="213" spans="1:9" x14ac:dyDescent="0.25">
      <c r="A213" s="16"/>
      <c r="B213" s="16"/>
      <c r="C213" s="16"/>
      <c r="D213" s="13"/>
      <c r="E213" s="13"/>
      <c r="F213" s="28"/>
      <c r="G213" s="13"/>
      <c r="H213" s="13"/>
      <c r="I213" s="13"/>
    </row>
    <row r="214" spans="1:9" x14ac:dyDescent="0.25">
      <c r="A214" s="16"/>
      <c r="B214" s="16"/>
      <c r="C214" s="16"/>
      <c r="D214" s="13"/>
      <c r="E214" s="13"/>
      <c r="F214" s="28"/>
      <c r="G214" s="13"/>
      <c r="H214" s="13"/>
      <c r="I214" s="13"/>
    </row>
    <row r="215" spans="1:9" x14ac:dyDescent="0.25">
      <c r="A215" s="16"/>
      <c r="B215" s="16"/>
      <c r="C215" s="16"/>
      <c r="D215" s="13"/>
      <c r="E215" s="13"/>
      <c r="F215" s="28"/>
      <c r="G215" s="13"/>
      <c r="H215" s="13"/>
      <c r="I215" s="13"/>
    </row>
    <row r="216" spans="1:9" x14ac:dyDescent="0.25">
      <c r="A216" s="16"/>
      <c r="B216" s="16"/>
      <c r="C216" s="16"/>
      <c r="D216" s="13"/>
      <c r="E216" s="13"/>
      <c r="F216" s="28"/>
      <c r="G216" s="13"/>
      <c r="H216" s="13"/>
      <c r="I216" s="13"/>
    </row>
    <row r="217" spans="1:9" x14ac:dyDescent="0.25">
      <c r="A217" s="16"/>
      <c r="B217" s="16"/>
      <c r="C217" s="16"/>
      <c r="D217" s="13"/>
      <c r="E217" s="13"/>
      <c r="F217" s="28"/>
      <c r="G217" s="13"/>
      <c r="H217" s="13"/>
      <c r="I217" s="13"/>
    </row>
    <row r="218" spans="1:9" x14ac:dyDescent="0.25">
      <c r="A218" s="16"/>
      <c r="B218" s="16"/>
      <c r="C218" s="16"/>
      <c r="D218" s="13"/>
      <c r="E218" s="13"/>
      <c r="F218" s="28"/>
      <c r="G218" s="13"/>
      <c r="H218" s="13"/>
      <c r="I218" s="13"/>
    </row>
    <row r="219" spans="1:9" x14ac:dyDescent="0.25">
      <c r="A219" s="16"/>
      <c r="B219" s="16"/>
      <c r="C219" s="16"/>
      <c r="D219" s="13"/>
      <c r="E219" s="13"/>
      <c r="F219" s="28"/>
      <c r="G219" s="13"/>
      <c r="H219" s="13"/>
      <c r="I219" s="13"/>
    </row>
    <row r="220" spans="1:9" x14ac:dyDescent="0.25">
      <c r="A220" s="16"/>
      <c r="B220" s="16"/>
      <c r="C220" s="16"/>
      <c r="D220" s="13"/>
      <c r="E220" s="13"/>
      <c r="F220" s="28"/>
      <c r="G220" s="13"/>
      <c r="H220" s="13"/>
      <c r="I220" s="13"/>
    </row>
    <row r="221" spans="1:9" x14ac:dyDescent="0.25">
      <c r="A221" s="16"/>
      <c r="B221" s="16"/>
      <c r="C221" s="16"/>
      <c r="D221" s="13"/>
      <c r="E221" s="13"/>
      <c r="F221" s="28"/>
      <c r="G221" s="13"/>
      <c r="H221" s="13"/>
      <c r="I221" s="13"/>
    </row>
    <row r="222" spans="1:9" x14ac:dyDescent="0.25">
      <c r="A222" s="16"/>
      <c r="B222" s="16"/>
      <c r="C222" s="16"/>
      <c r="D222" s="13"/>
      <c r="E222" s="13"/>
      <c r="F222" s="28"/>
      <c r="G222" s="13"/>
      <c r="H222" s="13"/>
      <c r="I222" s="13"/>
    </row>
    <row r="223" spans="1:9" x14ac:dyDescent="0.25">
      <c r="A223" s="16"/>
      <c r="B223" s="16"/>
      <c r="C223" s="16"/>
      <c r="D223" s="13"/>
      <c r="E223" s="13"/>
      <c r="F223" s="28"/>
      <c r="G223" s="13"/>
      <c r="H223" s="13"/>
      <c r="I223" s="13"/>
    </row>
    <row r="224" spans="1:9" x14ac:dyDescent="0.25">
      <c r="A224" s="16"/>
      <c r="B224" s="16"/>
      <c r="C224" s="16"/>
      <c r="D224" s="13"/>
      <c r="E224" s="13"/>
      <c r="F224" s="28"/>
      <c r="G224" s="13"/>
      <c r="H224" s="13"/>
      <c r="I224" s="13"/>
    </row>
    <row r="225" spans="1:9" x14ac:dyDescent="0.25">
      <c r="A225" s="16"/>
      <c r="B225" s="16"/>
      <c r="C225" s="16"/>
      <c r="D225" s="13"/>
      <c r="E225" s="13"/>
      <c r="F225" s="28"/>
      <c r="G225" s="13"/>
      <c r="H225" s="13"/>
      <c r="I225" s="13"/>
    </row>
    <row r="226" spans="1:9" x14ac:dyDescent="0.25">
      <c r="A226" s="16"/>
      <c r="B226" s="16"/>
      <c r="C226" s="16"/>
      <c r="D226" s="13"/>
      <c r="E226" s="13"/>
      <c r="F226" s="28"/>
      <c r="G226" s="13"/>
      <c r="H226" s="13"/>
      <c r="I226" s="13"/>
    </row>
    <row r="227" spans="1:9" x14ac:dyDescent="0.25">
      <c r="A227" s="16"/>
      <c r="B227" s="16"/>
      <c r="C227" s="16"/>
      <c r="D227" s="13"/>
      <c r="E227" s="13"/>
      <c r="F227" s="28"/>
      <c r="G227" s="13"/>
      <c r="H227" s="13"/>
      <c r="I227" s="13"/>
    </row>
    <row r="228" spans="1:9" x14ac:dyDescent="0.25">
      <c r="A228" s="16"/>
      <c r="B228" s="16"/>
      <c r="C228" s="16"/>
      <c r="D228" s="13"/>
      <c r="E228" s="13"/>
      <c r="F228" s="28"/>
      <c r="G228" s="13"/>
      <c r="H228" s="13"/>
      <c r="I228" s="13"/>
    </row>
    <row r="229" spans="1:9" x14ac:dyDescent="0.25">
      <c r="A229" s="16"/>
      <c r="B229" s="16"/>
      <c r="C229" s="16"/>
      <c r="D229" s="13"/>
      <c r="E229" s="13"/>
      <c r="F229" s="28"/>
      <c r="G229" s="13"/>
      <c r="H229" s="13"/>
      <c r="I229" s="13"/>
    </row>
    <row r="230" spans="1:9" x14ac:dyDescent="0.25">
      <c r="A230" s="16"/>
      <c r="B230" s="16"/>
      <c r="C230" s="16"/>
      <c r="D230" s="13"/>
      <c r="E230" s="13"/>
      <c r="F230" s="28"/>
      <c r="G230" s="13"/>
      <c r="H230" s="13"/>
      <c r="I230" s="13"/>
    </row>
    <row r="231" spans="1:9" x14ac:dyDescent="0.25">
      <c r="A231" s="16"/>
      <c r="B231" s="16"/>
      <c r="C231" s="16"/>
      <c r="D231" s="16"/>
      <c r="E231" s="18"/>
      <c r="F231" s="29"/>
      <c r="G231" s="16"/>
      <c r="H231" s="16"/>
      <c r="I231" s="16"/>
    </row>
    <row r="232" spans="1:9" x14ac:dyDescent="0.25">
      <c r="A232" s="16"/>
      <c r="B232" s="16"/>
      <c r="C232" s="16"/>
      <c r="D232" s="16"/>
      <c r="E232" s="18"/>
      <c r="F232" s="29"/>
      <c r="G232" s="16"/>
      <c r="H232" s="16"/>
      <c r="I232" s="16"/>
    </row>
    <row r="233" spans="1:9" x14ac:dyDescent="0.25">
      <c r="A233" s="16"/>
      <c r="B233" s="16"/>
      <c r="C233" s="16"/>
      <c r="D233" s="16"/>
      <c r="E233" s="18"/>
      <c r="F233" s="29"/>
      <c r="G233" s="16"/>
      <c r="H233" s="16"/>
      <c r="I233" s="16"/>
    </row>
    <row r="234" spans="1:9" x14ac:dyDescent="0.25">
      <c r="A234" s="16"/>
      <c r="B234" s="16"/>
      <c r="C234" s="16"/>
      <c r="D234" s="16"/>
      <c r="E234" s="18"/>
      <c r="F234" s="29"/>
      <c r="G234" s="16"/>
      <c r="H234" s="16"/>
      <c r="I234" s="16"/>
    </row>
    <row r="235" spans="1:9" x14ac:dyDescent="0.25">
      <c r="A235" s="16"/>
      <c r="B235" s="16"/>
      <c r="C235" s="16"/>
      <c r="D235" s="16"/>
      <c r="E235" s="18"/>
      <c r="F235" s="29"/>
      <c r="G235" s="16"/>
      <c r="H235" s="16"/>
      <c r="I235" s="16"/>
    </row>
    <row r="236" spans="1:9" x14ac:dyDescent="0.25">
      <c r="A236" s="16"/>
      <c r="B236" s="16"/>
      <c r="C236" s="16"/>
      <c r="D236" s="16"/>
      <c r="E236" s="18"/>
      <c r="F236" s="29"/>
      <c r="G236" s="16"/>
      <c r="H236" s="16"/>
      <c r="I236" s="16"/>
    </row>
    <row r="237" spans="1:9" x14ac:dyDescent="0.25">
      <c r="A237" s="16"/>
      <c r="B237" s="16"/>
      <c r="C237" s="16"/>
      <c r="D237" s="16"/>
      <c r="E237" s="18"/>
      <c r="F237" s="29"/>
      <c r="G237" s="16"/>
      <c r="H237" s="16"/>
      <c r="I237" s="16"/>
    </row>
    <row r="238" spans="1:9" x14ac:dyDescent="0.25">
      <c r="A238" s="16"/>
      <c r="B238" s="16"/>
      <c r="C238" s="16"/>
      <c r="D238" s="16"/>
      <c r="E238" s="18"/>
      <c r="F238" s="29"/>
      <c r="G238" s="16"/>
      <c r="H238" s="16"/>
      <c r="I238" s="16"/>
    </row>
    <row r="239" spans="1:9" x14ac:dyDescent="0.25">
      <c r="A239" s="16"/>
      <c r="B239" s="16"/>
      <c r="C239" s="16"/>
      <c r="D239" s="16"/>
      <c r="E239" s="18"/>
      <c r="F239" s="29"/>
      <c r="G239" s="16"/>
      <c r="H239" s="16"/>
      <c r="I239" s="16"/>
    </row>
    <row r="240" spans="1:9" x14ac:dyDescent="0.25">
      <c r="A240" s="16"/>
      <c r="B240" s="16"/>
      <c r="C240" s="16"/>
      <c r="D240" s="16"/>
      <c r="E240" s="18"/>
      <c r="F240" s="29"/>
      <c r="G240" s="16"/>
      <c r="H240" s="16"/>
      <c r="I240" s="16"/>
    </row>
    <row r="241" spans="1:9" x14ac:dyDescent="0.25">
      <c r="A241" s="16"/>
      <c r="B241" s="16"/>
      <c r="C241" s="16"/>
      <c r="D241" s="16"/>
      <c r="E241" s="18"/>
      <c r="F241" s="29"/>
      <c r="G241" s="16"/>
      <c r="H241" s="16"/>
      <c r="I241" s="16"/>
    </row>
    <row r="242" spans="1:9" x14ac:dyDescent="0.25">
      <c r="A242" s="16"/>
      <c r="B242" s="16"/>
      <c r="C242" s="16"/>
      <c r="D242" s="16"/>
      <c r="E242" s="18"/>
      <c r="F242" s="29"/>
      <c r="G242" s="16"/>
      <c r="H242" s="16"/>
      <c r="I242" s="16"/>
    </row>
    <row r="243" spans="1:9" x14ac:dyDescent="0.25">
      <c r="A243" s="16"/>
      <c r="B243" s="16"/>
      <c r="C243" s="16"/>
      <c r="D243" s="16"/>
      <c r="E243" s="18"/>
      <c r="F243" s="29"/>
      <c r="G243" s="16"/>
      <c r="H243" s="16"/>
      <c r="I243" s="16"/>
    </row>
    <row r="244" spans="1:9" x14ac:dyDescent="0.25">
      <c r="A244" s="16"/>
      <c r="B244" s="16"/>
      <c r="C244" s="16"/>
      <c r="D244" s="16"/>
      <c r="E244" s="18"/>
      <c r="F244" s="29"/>
      <c r="G244" s="16"/>
      <c r="H244" s="16"/>
      <c r="I244" s="16"/>
    </row>
    <row r="245" spans="1:9" x14ac:dyDescent="0.25">
      <c r="A245" s="16"/>
      <c r="B245" s="16"/>
      <c r="C245" s="16"/>
      <c r="D245" s="16"/>
      <c r="E245" s="18"/>
      <c r="F245" s="29"/>
      <c r="G245" s="16"/>
      <c r="H245" s="16"/>
      <c r="I245" s="16"/>
    </row>
    <row r="246" spans="1:9" x14ac:dyDescent="0.25">
      <c r="A246" s="16"/>
      <c r="B246" s="16"/>
      <c r="C246" s="16"/>
      <c r="D246" s="16"/>
      <c r="E246" s="18"/>
      <c r="F246" s="29"/>
      <c r="G246" s="16"/>
      <c r="H246" s="16"/>
      <c r="I246" s="16"/>
    </row>
    <row r="247" spans="1:9" x14ac:dyDescent="0.25">
      <c r="A247" s="16"/>
      <c r="B247" s="16"/>
      <c r="C247" s="16"/>
      <c r="D247" s="16"/>
      <c r="E247" s="18"/>
      <c r="F247" s="29"/>
      <c r="G247" s="16"/>
      <c r="H247" s="16"/>
      <c r="I247" s="16"/>
    </row>
    <row r="248" spans="1:9" x14ac:dyDescent="0.25">
      <c r="A248" s="16"/>
      <c r="B248" s="16"/>
      <c r="C248" s="16"/>
      <c r="D248" s="16"/>
      <c r="E248" s="18"/>
      <c r="F248" s="29"/>
      <c r="G248" s="16"/>
      <c r="H248" s="16"/>
      <c r="I248" s="16"/>
    </row>
    <row r="249" spans="1:9" x14ac:dyDescent="0.25">
      <c r="A249" s="16"/>
      <c r="B249" s="16"/>
      <c r="C249" s="16"/>
      <c r="D249" s="16"/>
      <c r="E249" s="18"/>
      <c r="F249" s="29"/>
      <c r="G249" s="16"/>
      <c r="H249" s="16"/>
      <c r="I249" s="16"/>
    </row>
    <row r="250" spans="1:9" x14ac:dyDescent="0.25">
      <c r="A250" s="16"/>
      <c r="B250" s="16"/>
      <c r="C250" s="16"/>
      <c r="D250" s="16"/>
      <c r="E250" s="18"/>
      <c r="F250" s="29"/>
      <c r="G250" s="16"/>
      <c r="H250" s="16"/>
      <c r="I250" s="16"/>
    </row>
    <row r="251" spans="1:9" x14ac:dyDescent="0.25">
      <c r="A251" s="16"/>
      <c r="B251" s="16"/>
      <c r="C251" s="16"/>
      <c r="D251" s="16"/>
      <c r="E251" s="18"/>
      <c r="F251" s="29"/>
      <c r="G251" s="16"/>
      <c r="H251" s="16"/>
      <c r="I251" s="16"/>
    </row>
    <row r="252" spans="1:9" x14ac:dyDescent="0.25">
      <c r="A252" s="16"/>
      <c r="B252" s="16"/>
      <c r="C252" s="16"/>
      <c r="D252" s="16"/>
      <c r="E252" s="18"/>
      <c r="F252" s="29"/>
      <c r="G252" s="16"/>
      <c r="H252" s="16"/>
      <c r="I252" s="16"/>
    </row>
    <row r="253" spans="1:9" x14ac:dyDescent="0.25">
      <c r="A253" s="16"/>
      <c r="B253" s="16"/>
      <c r="C253" s="16"/>
      <c r="D253" s="16"/>
      <c r="E253" s="18"/>
      <c r="F253" s="29"/>
      <c r="G253" s="16"/>
      <c r="H253" s="16"/>
      <c r="I253" s="16"/>
    </row>
    <row r="254" spans="1:9" x14ac:dyDescent="0.25">
      <c r="A254" s="16"/>
      <c r="B254" s="16"/>
      <c r="C254" s="16"/>
      <c r="D254" s="16"/>
      <c r="E254" s="18"/>
      <c r="F254" s="29"/>
      <c r="G254" s="16"/>
      <c r="H254" s="16"/>
      <c r="I254" s="16"/>
    </row>
    <row r="255" spans="1:9" x14ac:dyDescent="0.25">
      <c r="A255" s="16"/>
      <c r="B255" s="16"/>
      <c r="C255" s="16"/>
      <c r="D255" s="16"/>
      <c r="E255" s="18"/>
      <c r="F255" s="29"/>
      <c r="G255" s="16"/>
      <c r="H255" s="16"/>
      <c r="I255" s="16"/>
    </row>
    <row r="256" spans="1:9" x14ac:dyDescent="0.25">
      <c r="A256" s="16"/>
      <c r="B256" s="16"/>
      <c r="C256" s="16"/>
      <c r="D256" s="16"/>
      <c r="E256" s="18"/>
      <c r="F256" s="29"/>
      <c r="G256" s="16"/>
      <c r="H256" s="16"/>
      <c r="I256" s="16"/>
    </row>
    <row r="257" spans="1:9" x14ac:dyDescent="0.25">
      <c r="A257" s="16"/>
      <c r="B257" s="16"/>
      <c r="C257" s="16"/>
      <c r="D257" s="16"/>
      <c r="E257" s="18"/>
      <c r="F257" s="29"/>
      <c r="G257" s="16"/>
      <c r="H257" s="16"/>
      <c r="I257" s="16"/>
    </row>
    <row r="258" spans="1:9" x14ac:dyDescent="0.25">
      <c r="A258" s="16"/>
      <c r="B258" s="16"/>
      <c r="C258" s="16"/>
      <c r="D258" s="16"/>
      <c r="E258" s="18"/>
      <c r="F258" s="29"/>
      <c r="G258" s="16"/>
      <c r="H258" s="16"/>
      <c r="I258" s="16"/>
    </row>
    <row r="259" spans="1:9" x14ac:dyDescent="0.25">
      <c r="A259" s="16"/>
      <c r="B259" s="16"/>
      <c r="C259" s="16"/>
      <c r="D259" s="16"/>
      <c r="E259" s="18"/>
      <c r="F259" s="29"/>
      <c r="G259" s="16"/>
      <c r="H259" s="16"/>
      <c r="I259" s="16"/>
    </row>
    <row r="260" spans="1:9" x14ac:dyDescent="0.25">
      <c r="A260" s="16"/>
      <c r="B260" s="16"/>
      <c r="C260" s="16"/>
      <c r="D260" s="16"/>
      <c r="E260" s="18"/>
      <c r="F260" s="29"/>
      <c r="G260" s="16"/>
      <c r="H260" s="16"/>
      <c r="I260" s="16"/>
    </row>
    <row r="261" spans="1:9" x14ac:dyDescent="0.25">
      <c r="A261" s="16"/>
      <c r="B261" s="16"/>
      <c r="C261" s="16"/>
      <c r="D261" s="16"/>
      <c r="E261" s="18"/>
      <c r="F261" s="29"/>
      <c r="G261" s="16"/>
      <c r="H261" s="16"/>
      <c r="I261" s="16"/>
    </row>
    <row r="262" spans="1:9" x14ac:dyDescent="0.25">
      <c r="A262" s="16"/>
      <c r="B262" s="16"/>
      <c r="C262" s="16"/>
      <c r="D262" s="16"/>
      <c r="E262" s="18"/>
      <c r="F262" s="29"/>
      <c r="G262" s="16"/>
      <c r="H262" s="16"/>
      <c r="I262" s="16"/>
    </row>
    <row r="263" spans="1:9" x14ac:dyDescent="0.25">
      <c r="A263" s="16"/>
      <c r="B263" s="16"/>
      <c r="C263" s="16"/>
      <c r="D263" s="16"/>
      <c r="E263" s="18"/>
      <c r="F263" s="29"/>
      <c r="G263" s="16"/>
      <c r="H263" s="16"/>
      <c r="I263" s="16"/>
    </row>
    <row r="264" spans="1:9" x14ac:dyDescent="0.25">
      <c r="A264" s="16"/>
      <c r="B264" s="16"/>
      <c r="C264" s="16"/>
      <c r="D264" s="16"/>
      <c r="E264" s="18"/>
      <c r="F264" s="29"/>
      <c r="G264" s="16"/>
      <c r="H264" s="16"/>
      <c r="I264" s="16"/>
    </row>
    <row r="265" spans="1:9" x14ac:dyDescent="0.25">
      <c r="A265" s="16"/>
      <c r="B265" s="16"/>
      <c r="C265" s="16"/>
      <c r="D265" s="16"/>
      <c r="E265" s="18"/>
      <c r="F265" s="29"/>
      <c r="G265" s="16"/>
      <c r="H265" s="16"/>
      <c r="I265" s="16"/>
    </row>
    <row r="266" spans="1:9" x14ac:dyDescent="0.25">
      <c r="A266" s="16"/>
      <c r="B266" s="16"/>
      <c r="C266" s="16"/>
      <c r="D266" s="16"/>
      <c r="E266" s="18"/>
      <c r="F266" s="29"/>
      <c r="G266" s="16"/>
      <c r="H266" s="16"/>
      <c r="I266" s="16"/>
    </row>
    <row r="267" spans="1:9" x14ac:dyDescent="0.25">
      <c r="A267" s="16"/>
      <c r="B267" s="16"/>
      <c r="C267" s="16"/>
      <c r="D267" s="16"/>
      <c r="E267" s="18"/>
      <c r="F267" s="29"/>
      <c r="G267" s="16"/>
      <c r="H267" s="16"/>
      <c r="I267" s="16"/>
    </row>
    <row r="268" spans="1:9" x14ac:dyDescent="0.25">
      <c r="A268" s="16"/>
      <c r="B268" s="16"/>
      <c r="C268" s="16"/>
      <c r="D268" s="16"/>
      <c r="E268" s="18"/>
      <c r="F268" s="29"/>
      <c r="G268" s="16"/>
      <c r="H268" s="16"/>
      <c r="I268" s="16"/>
    </row>
    <row r="269" spans="1:9" x14ac:dyDescent="0.25">
      <c r="A269" s="16"/>
      <c r="B269" s="16"/>
      <c r="C269" s="16"/>
      <c r="D269" s="16"/>
      <c r="E269" s="18"/>
      <c r="F269" s="29"/>
      <c r="G269" s="16"/>
      <c r="H269" s="16"/>
      <c r="I269" s="16"/>
    </row>
    <row r="270" spans="1:9" x14ac:dyDescent="0.25">
      <c r="A270" s="16"/>
      <c r="B270" s="16"/>
      <c r="C270" s="16"/>
      <c r="D270" s="16"/>
      <c r="E270" s="18"/>
      <c r="F270" s="29"/>
      <c r="G270" s="16"/>
      <c r="H270" s="16"/>
      <c r="I270" s="16"/>
    </row>
    <row r="271" spans="1:9" x14ac:dyDescent="0.25">
      <c r="A271" s="16"/>
      <c r="B271" s="16"/>
      <c r="C271" s="16"/>
      <c r="D271" s="16"/>
      <c r="E271" s="18"/>
      <c r="F271" s="29"/>
      <c r="G271" s="16"/>
      <c r="H271" s="16"/>
      <c r="I271" s="16"/>
    </row>
    <row r="272" spans="1:9" x14ac:dyDescent="0.25">
      <c r="A272" s="16"/>
      <c r="B272" s="16"/>
      <c r="C272" s="16"/>
      <c r="D272" s="16"/>
      <c r="E272" s="18"/>
      <c r="F272" s="29"/>
      <c r="G272" s="16"/>
      <c r="H272" s="16"/>
      <c r="I272" s="16"/>
    </row>
    <row r="273" spans="1:9" x14ac:dyDescent="0.25">
      <c r="A273" s="16"/>
      <c r="B273" s="16"/>
      <c r="C273" s="16"/>
      <c r="D273" s="16"/>
      <c r="E273" s="18"/>
      <c r="F273" s="29"/>
      <c r="G273" s="16"/>
      <c r="H273" s="16"/>
      <c r="I273" s="16"/>
    </row>
    <row r="274" spans="1:9" x14ac:dyDescent="0.25">
      <c r="A274" s="16"/>
      <c r="B274" s="16"/>
      <c r="C274" s="16"/>
      <c r="D274" s="16"/>
      <c r="E274" s="18"/>
      <c r="F274" s="29"/>
      <c r="G274" s="16"/>
      <c r="H274" s="16"/>
      <c r="I274" s="16"/>
    </row>
    <row r="275" spans="1:9" x14ac:dyDescent="0.25">
      <c r="A275" s="16"/>
      <c r="B275" s="16"/>
      <c r="C275" s="16"/>
      <c r="D275" s="16"/>
      <c r="E275" s="18"/>
      <c r="F275" s="29"/>
      <c r="G275" s="16"/>
      <c r="H275" s="16"/>
      <c r="I275" s="16"/>
    </row>
    <row r="276" spans="1:9" x14ac:dyDescent="0.25">
      <c r="A276" s="16"/>
      <c r="B276" s="16"/>
      <c r="C276" s="16"/>
      <c r="D276" s="16"/>
      <c r="E276" s="18"/>
      <c r="F276" s="29"/>
      <c r="G276" s="16"/>
      <c r="H276" s="16"/>
      <c r="I276" s="16"/>
    </row>
    <row r="277" spans="1:9" x14ac:dyDescent="0.25">
      <c r="A277" s="16"/>
      <c r="B277" s="16"/>
      <c r="C277" s="16"/>
      <c r="D277" s="16"/>
      <c r="E277" s="18"/>
      <c r="F277" s="29"/>
      <c r="G277" s="16"/>
      <c r="H277" s="16"/>
      <c r="I277" s="16"/>
    </row>
    <row r="278" spans="1:9" x14ac:dyDescent="0.25">
      <c r="A278" s="16"/>
      <c r="B278" s="16"/>
      <c r="C278" s="16"/>
      <c r="D278" s="16"/>
      <c r="E278" s="18"/>
      <c r="F278" s="29"/>
      <c r="G278" s="16"/>
      <c r="H278" s="16"/>
      <c r="I278" s="16"/>
    </row>
    <row r="279" spans="1:9" x14ac:dyDescent="0.25">
      <c r="A279" s="16"/>
      <c r="B279" s="16"/>
      <c r="C279" s="16"/>
      <c r="D279" s="16"/>
      <c r="E279" s="18"/>
      <c r="F279" s="29"/>
      <c r="G279" s="16"/>
      <c r="H279" s="16"/>
      <c r="I279" s="16"/>
    </row>
    <row r="280" spans="1:9" x14ac:dyDescent="0.25">
      <c r="A280" s="16"/>
      <c r="B280" s="16"/>
      <c r="C280" s="16"/>
      <c r="D280" s="16"/>
      <c r="E280" s="18"/>
      <c r="F280" s="29"/>
      <c r="G280" s="16"/>
      <c r="H280" s="16"/>
      <c r="I280" s="16"/>
    </row>
    <row r="281" spans="1:9" x14ac:dyDescent="0.25">
      <c r="A281" s="16"/>
      <c r="B281" s="16"/>
      <c r="C281" s="16"/>
      <c r="D281" s="16"/>
      <c r="E281" s="18"/>
      <c r="F281" s="29"/>
      <c r="G281" s="16"/>
      <c r="H281" s="16"/>
      <c r="I281" s="16"/>
    </row>
    <row r="282" spans="1:9" x14ac:dyDescent="0.25">
      <c r="A282" s="16"/>
      <c r="B282" s="16"/>
      <c r="C282" s="16"/>
      <c r="D282" s="16"/>
      <c r="E282" s="18"/>
      <c r="F282" s="29"/>
      <c r="G282" s="16"/>
      <c r="H282" s="16"/>
      <c r="I282" s="16"/>
    </row>
    <row r="283" spans="1:9" x14ac:dyDescent="0.25">
      <c r="A283" s="16"/>
      <c r="B283" s="16"/>
      <c r="C283" s="16"/>
      <c r="D283" s="16"/>
      <c r="E283" s="18"/>
      <c r="F283" s="29"/>
      <c r="G283" s="16"/>
      <c r="H283" s="16"/>
      <c r="I283" s="16"/>
    </row>
    <row r="284" spans="1:9" x14ac:dyDescent="0.25">
      <c r="A284" s="16"/>
      <c r="B284" s="16"/>
      <c r="C284" s="16"/>
      <c r="D284" s="16"/>
      <c r="E284" s="18"/>
      <c r="F284" s="29"/>
      <c r="G284" s="16"/>
      <c r="H284" s="16"/>
      <c r="I284" s="16"/>
    </row>
    <row r="285" spans="1:9" x14ac:dyDescent="0.25">
      <c r="A285" s="16"/>
      <c r="B285" s="16"/>
      <c r="C285" s="16"/>
      <c r="D285" s="16"/>
      <c r="E285" s="18"/>
      <c r="F285" s="29"/>
      <c r="G285" s="16"/>
      <c r="H285" s="16"/>
      <c r="I285" s="16"/>
    </row>
    <row r="286" spans="1:9" x14ac:dyDescent="0.25">
      <c r="A286" s="16"/>
      <c r="B286" s="16"/>
      <c r="C286" s="16"/>
      <c r="D286" s="16"/>
      <c r="E286" s="18"/>
      <c r="F286" s="29"/>
      <c r="G286" s="16"/>
      <c r="H286" s="16"/>
      <c r="I286" s="16"/>
    </row>
    <row r="287" spans="1:9" x14ac:dyDescent="0.25">
      <c r="A287" s="16"/>
      <c r="B287" s="16"/>
      <c r="C287" s="16"/>
      <c r="D287" s="16"/>
      <c r="E287" s="18"/>
      <c r="F287" s="29"/>
      <c r="G287" s="16"/>
      <c r="H287" s="16"/>
      <c r="I287" s="16"/>
    </row>
    <row r="288" spans="1:9" x14ac:dyDescent="0.25">
      <c r="A288" s="16"/>
      <c r="B288" s="16"/>
      <c r="C288" s="16"/>
      <c r="D288" s="16"/>
      <c r="E288" s="18"/>
      <c r="F288" s="29"/>
      <c r="G288" s="16"/>
      <c r="H288" s="16"/>
      <c r="I288" s="16"/>
    </row>
    <row r="289" spans="1:9" x14ac:dyDescent="0.25">
      <c r="A289" s="16"/>
      <c r="B289" s="16"/>
      <c r="C289" s="16"/>
      <c r="D289" s="16"/>
      <c r="E289" s="18"/>
      <c r="F289" s="29"/>
      <c r="G289" s="16"/>
      <c r="H289" s="16"/>
      <c r="I289" s="16"/>
    </row>
    <row r="290" spans="1:9" x14ac:dyDescent="0.25">
      <c r="A290" s="16"/>
      <c r="B290" s="16"/>
      <c r="C290" s="16"/>
      <c r="D290" s="16"/>
      <c r="E290" s="18"/>
      <c r="F290" s="29"/>
      <c r="G290" s="16"/>
      <c r="H290" s="16"/>
      <c r="I290" s="16"/>
    </row>
    <row r="291" spans="1:9" x14ac:dyDescent="0.25">
      <c r="A291" s="16"/>
      <c r="B291" s="16"/>
      <c r="C291" s="16"/>
      <c r="D291" s="16"/>
      <c r="E291" s="18"/>
      <c r="F291" s="29"/>
      <c r="G291" s="16"/>
      <c r="H291" s="16"/>
      <c r="I291" s="16"/>
    </row>
    <row r="292" spans="1:9" x14ac:dyDescent="0.25">
      <c r="A292" s="16"/>
      <c r="B292" s="16"/>
      <c r="C292" s="16"/>
      <c r="D292" s="16"/>
      <c r="E292" s="18"/>
      <c r="F292" s="29"/>
      <c r="G292" s="16"/>
      <c r="H292" s="16"/>
      <c r="I292" s="16"/>
    </row>
    <row r="293" spans="1:9" x14ac:dyDescent="0.25">
      <c r="A293" s="16"/>
      <c r="B293" s="16"/>
      <c r="C293" s="16"/>
      <c r="D293" s="16"/>
      <c r="E293" s="18"/>
      <c r="F293" s="29"/>
      <c r="G293" s="16"/>
      <c r="H293" s="16"/>
      <c r="I293" s="16"/>
    </row>
    <row r="294" spans="1:9" x14ac:dyDescent="0.25">
      <c r="A294" s="16"/>
      <c r="B294" s="16"/>
      <c r="C294" s="16"/>
      <c r="D294" s="16"/>
      <c r="E294" s="18"/>
      <c r="F294" s="29"/>
      <c r="G294" s="16"/>
      <c r="H294" s="16"/>
      <c r="I294" s="16"/>
    </row>
    <row r="295" spans="1:9" x14ac:dyDescent="0.25">
      <c r="A295" s="16"/>
      <c r="B295" s="16"/>
      <c r="C295" s="16"/>
      <c r="D295" s="16"/>
      <c r="E295" s="18"/>
      <c r="F295" s="29"/>
      <c r="G295" s="16"/>
      <c r="H295" s="16"/>
      <c r="I295" s="16"/>
    </row>
    <row r="296" spans="1:9" x14ac:dyDescent="0.25">
      <c r="A296" s="16"/>
      <c r="B296" s="16"/>
      <c r="C296" s="16"/>
      <c r="D296" s="16"/>
      <c r="E296" s="18"/>
      <c r="F296" s="29"/>
      <c r="G296" s="16"/>
      <c r="H296" s="16"/>
      <c r="I296" s="16"/>
    </row>
    <row r="297" spans="1:9" x14ac:dyDescent="0.25">
      <c r="A297" s="16"/>
      <c r="B297" s="16"/>
      <c r="C297" s="16"/>
      <c r="D297" s="16"/>
      <c r="E297" s="18"/>
      <c r="F297" s="29"/>
      <c r="G297" s="16"/>
      <c r="H297" s="16"/>
      <c r="I297" s="16"/>
    </row>
    <row r="298" spans="1:9" x14ac:dyDescent="0.25">
      <c r="A298" s="16"/>
      <c r="B298" s="16"/>
      <c r="C298" s="16"/>
      <c r="D298" s="16"/>
      <c r="E298" s="18"/>
      <c r="F298" s="29"/>
      <c r="G298" s="16"/>
      <c r="H298" s="16"/>
      <c r="I298" s="16"/>
    </row>
    <row r="299" spans="1:9" x14ac:dyDescent="0.25">
      <c r="A299" s="16"/>
      <c r="B299" s="16"/>
      <c r="C299" s="16"/>
      <c r="D299" s="16"/>
      <c r="E299" s="18"/>
      <c r="F299" s="29"/>
      <c r="G299" s="16"/>
      <c r="H299" s="16"/>
      <c r="I299" s="16"/>
    </row>
    <row r="300" spans="1:9" x14ac:dyDescent="0.25">
      <c r="A300" s="16"/>
      <c r="B300" s="16"/>
      <c r="C300" s="16"/>
      <c r="D300" s="16"/>
      <c r="E300" s="18"/>
      <c r="F300" s="29"/>
      <c r="G300" s="16"/>
      <c r="H300" s="16"/>
      <c r="I300" s="16"/>
    </row>
    <row r="301" spans="1:9" x14ac:dyDescent="0.25">
      <c r="A301" s="16"/>
      <c r="B301" s="16"/>
      <c r="C301" s="16"/>
      <c r="D301" s="16"/>
      <c r="E301" s="18"/>
      <c r="F301" s="29"/>
      <c r="G301" s="16"/>
      <c r="H301" s="16"/>
      <c r="I301" s="16"/>
    </row>
    <row r="302" spans="1:9" x14ac:dyDescent="0.25">
      <c r="A302" s="16"/>
      <c r="B302" s="16"/>
      <c r="C302" s="16"/>
      <c r="D302" s="16"/>
      <c r="E302" s="18"/>
      <c r="F302" s="29"/>
      <c r="G302" s="16"/>
      <c r="H302" s="16"/>
      <c r="I302" s="16"/>
    </row>
    <row r="303" spans="1:9" x14ac:dyDescent="0.25">
      <c r="A303" s="16"/>
      <c r="B303" s="16"/>
      <c r="C303" s="16"/>
      <c r="D303" s="16"/>
      <c r="E303" s="18"/>
      <c r="F303" s="29"/>
      <c r="G303" s="16"/>
      <c r="H303" s="16"/>
      <c r="I303" s="16"/>
    </row>
    <row r="304" spans="1:9" x14ac:dyDescent="0.25">
      <c r="A304" s="16"/>
      <c r="B304" s="16"/>
      <c r="C304" s="16"/>
      <c r="D304" s="16"/>
      <c r="E304" s="18"/>
      <c r="F304" s="29"/>
      <c r="G304" s="16"/>
      <c r="H304" s="16"/>
      <c r="I304" s="16"/>
    </row>
    <row r="305" spans="1:9" x14ac:dyDescent="0.25">
      <c r="A305" s="16"/>
      <c r="B305" s="16"/>
      <c r="C305" s="16"/>
      <c r="D305" s="16"/>
      <c r="E305" s="18"/>
      <c r="F305" s="29"/>
      <c r="G305" s="16"/>
      <c r="H305" s="16"/>
      <c r="I305" s="16"/>
    </row>
    <row r="306" spans="1:9" x14ac:dyDescent="0.25">
      <c r="A306" s="16"/>
      <c r="B306" s="16"/>
      <c r="C306" s="16"/>
      <c r="D306" s="16"/>
      <c r="E306" s="18"/>
      <c r="F306" s="29"/>
      <c r="G306" s="16"/>
      <c r="H306" s="16"/>
      <c r="I306" s="16"/>
    </row>
    <row r="307" spans="1:9" x14ac:dyDescent="0.25">
      <c r="A307" s="16"/>
      <c r="B307" s="16"/>
      <c r="C307" s="16"/>
      <c r="D307" s="16"/>
      <c r="E307" s="18"/>
      <c r="F307" s="29"/>
      <c r="G307" s="16"/>
      <c r="H307" s="16"/>
      <c r="I307" s="16"/>
    </row>
    <row r="308" spans="1:9" x14ac:dyDescent="0.25">
      <c r="A308" s="16"/>
      <c r="B308" s="16"/>
      <c r="C308" s="16"/>
      <c r="D308" s="16"/>
      <c r="E308" s="18"/>
      <c r="F308" s="29"/>
      <c r="G308" s="16"/>
      <c r="H308" s="16"/>
      <c r="I308" s="16"/>
    </row>
    <row r="309" spans="1:9" x14ac:dyDescent="0.25">
      <c r="A309" s="16"/>
      <c r="B309" s="16"/>
      <c r="C309" s="16"/>
      <c r="D309" s="16"/>
      <c r="E309" s="18"/>
      <c r="F309" s="29"/>
      <c r="G309" s="16"/>
      <c r="H309" s="16"/>
      <c r="I309" s="16"/>
    </row>
    <row r="310" spans="1:9" x14ac:dyDescent="0.25">
      <c r="A310" s="16"/>
      <c r="B310" s="16"/>
      <c r="C310" s="16"/>
      <c r="D310" s="16"/>
      <c r="E310" s="18"/>
      <c r="F310" s="29"/>
      <c r="G310" s="16"/>
      <c r="H310" s="16"/>
      <c r="I310" s="16"/>
    </row>
    <row r="311" spans="1:9" x14ac:dyDescent="0.25">
      <c r="A311" s="16"/>
      <c r="B311" s="16"/>
      <c r="C311" s="16"/>
      <c r="D311" s="16"/>
      <c r="E311" s="18"/>
      <c r="F311" s="29"/>
      <c r="G311" s="16"/>
      <c r="H311" s="16"/>
      <c r="I311" s="16"/>
    </row>
    <row r="312" spans="1:9" x14ac:dyDescent="0.25">
      <c r="A312" s="16"/>
      <c r="B312" s="16"/>
      <c r="C312" s="16"/>
      <c r="D312" s="16"/>
      <c r="E312" s="18"/>
      <c r="F312" s="29"/>
      <c r="G312" s="16"/>
      <c r="H312" s="16"/>
      <c r="I312" s="16"/>
    </row>
    <row r="313" spans="1:9" x14ac:dyDescent="0.25">
      <c r="A313" s="16"/>
      <c r="B313" s="16"/>
      <c r="C313" s="16"/>
      <c r="D313" s="16"/>
      <c r="E313" s="18"/>
      <c r="F313" s="29"/>
      <c r="G313" s="16"/>
      <c r="H313" s="16"/>
      <c r="I313" s="16"/>
    </row>
    <row r="314" spans="1:9" x14ac:dyDescent="0.25">
      <c r="A314" s="16"/>
      <c r="B314" s="16"/>
      <c r="C314" s="16"/>
      <c r="D314" s="16"/>
      <c r="E314" s="18"/>
      <c r="F314" s="29"/>
      <c r="G314" s="16"/>
      <c r="H314" s="16"/>
      <c r="I314" s="16"/>
    </row>
    <row r="315" spans="1:9" x14ac:dyDescent="0.25">
      <c r="A315" s="16"/>
      <c r="B315" s="16"/>
      <c r="C315" s="16"/>
      <c r="D315" s="16"/>
      <c r="E315" s="18"/>
      <c r="F315" s="29"/>
      <c r="G315" s="16"/>
      <c r="H315" s="16"/>
      <c r="I315" s="16"/>
    </row>
    <row r="316" spans="1:9" x14ac:dyDescent="0.25">
      <c r="A316" s="16"/>
      <c r="B316" s="16"/>
      <c r="C316" s="16"/>
      <c r="D316" s="16"/>
      <c r="E316" s="18"/>
      <c r="F316" s="29"/>
      <c r="G316" s="16"/>
      <c r="H316" s="16"/>
      <c r="I316" s="16"/>
    </row>
    <row r="317" spans="1:9" x14ac:dyDescent="0.25">
      <c r="A317" s="16"/>
      <c r="B317" s="16"/>
      <c r="C317" s="16"/>
      <c r="D317" s="16"/>
      <c r="E317" s="18"/>
      <c r="F317" s="29"/>
      <c r="G317" s="16"/>
      <c r="H317" s="16"/>
      <c r="I317" s="16"/>
    </row>
    <row r="318" spans="1:9" x14ac:dyDescent="0.25">
      <c r="A318" s="16"/>
      <c r="B318" s="16"/>
      <c r="C318" s="16"/>
      <c r="D318" s="16"/>
      <c r="E318" s="18"/>
      <c r="F318" s="29"/>
      <c r="G318" s="16"/>
      <c r="H318" s="16"/>
      <c r="I318" s="16"/>
    </row>
    <row r="319" spans="1:9" x14ac:dyDescent="0.25">
      <c r="A319" s="16"/>
      <c r="B319" s="16"/>
      <c r="C319" s="16"/>
      <c r="D319" s="16"/>
      <c r="E319" s="18"/>
      <c r="F319" s="29"/>
      <c r="G319" s="16"/>
      <c r="H319" s="16"/>
      <c r="I319" s="16"/>
    </row>
    <row r="320" spans="1:9" x14ac:dyDescent="0.25">
      <c r="A320" s="16"/>
      <c r="B320" s="16"/>
      <c r="C320" s="16"/>
      <c r="D320" s="16"/>
      <c r="E320" s="18"/>
      <c r="F320" s="29"/>
      <c r="G320" s="16"/>
      <c r="H320" s="16"/>
      <c r="I320" s="16"/>
    </row>
    <row r="321" spans="1:9" x14ac:dyDescent="0.25">
      <c r="A321" s="16"/>
      <c r="B321" s="16"/>
      <c r="C321" s="16"/>
      <c r="D321" s="16"/>
      <c r="E321" s="18"/>
      <c r="F321" s="29"/>
      <c r="G321" s="16"/>
      <c r="H321" s="16"/>
      <c r="I321" s="16"/>
    </row>
    <row r="322" spans="1:9" x14ac:dyDescent="0.25">
      <c r="A322" s="16"/>
      <c r="B322" s="16"/>
      <c r="C322" s="16"/>
      <c r="D322" s="16"/>
      <c r="E322" s="18"/>
      <c r="F322" s="29"/>
      <c r="G322" s="16"/>
      <c r="H322" s="16"/>
      <c r="I322" s="16"/>
    </row>
    <row r="323" spans="1:9" x14ac:dyDescent="0.25">
      <c r="A323" s="16"/>
      <c r="B323" s="16"/>
      <c r="C323" s="16"/>
      <c r="D323" s="16"/>
      <c r="E323" s="18"/>
      <c r="F323" s="29"/>
      <c r="G323" s="16"/>
      <c r="H323" s="16"/>
      <c r="I323" s="16"/>
    </row>
    <row r="324" spans="1:9" x14ac:dyDescent="0.25">
      <c r="A324" s="16"/>
      <c r="B324" s="16"/>
      <c r="C324" s="16"/>
      <c r="D324" s="16"/>
      <c r="E324" s="18"/>
      <c r="F324" s="29"/>
      <c r="G324" s="16"/>
      <c r="H324" s="16"/>
      <c r="I324" s="16"/>
    </row>
    <row r="325" spans="1:9" x14ac:dyDescent="0.25">
      <c r="A325" s="16"/>
      <c r="B325" s="16"/>
      <c r="C325" s="16"/>
      <c r="D325" s="16"/>
      <c r="E325" s="18"/>
      <c r="F325" s="29"/>
      <c r="G325" s="16"/>
      <c r="H325" s="16"/>
      <c r="I325" s="16"/>
    </row>
    <row r="326" spans="1:9" x14ac:dyDescent="0.25">
      <c r="A326" s="16"/>
      <c r="B326" s="16"/>
      <c r="C326" s="16"/>
      <c r="D326" s="16"/>
      <c r="E326" s="18"/>
      <c r="F326" s="29"/>
      <c r="G326" s="16"/>
      <c r="H326" s="16"/>
      <c r="I326" s="16"/>
    </row>
    <row r="327" spans="1:9" x14ac:dyDescent="0.25">
      <c r="A327" s="16"/>
      <c r="B327" s="16"/>
      <c r="C327" s="16"/>
      <c r="D327" s="16"/>
      <c r="E327" s="18"/>
      <c r="F327" s="29"/>
      <c r="G327" s="16"/>
      <c r="H327" s="16"/>
      <c r="I327" s="16"/>
    </row>
    <row r="328" spans="1:9" x14ac:dyDescent="0.25">
      <c r="A328" s="16"/>
      <c r="B328" s="16"/>
      <c r="C328" s="16"/>
      <c r="D328" s="16"/>
      <c r="E328" s="18"/>
      <c r="F328" s="29"/>
      <c r="G328" s="16"/>
      <c r="H328" s="16"/>
      <c r="I328" s="16"/>
    </row>
    <row r="329" spans="1:9" x14ac:dyDescent="0.25">
      <c r="A329" s="16"/>
      <c r="B329" s="16"/>
      <c r="C329" s="16"/>
      <c r="D329" s="16"/>
      <c r="E329" s="18"/>
      <c r="F329" s="29"/>
      <c r="G329" s="16"/>
      <c r="H329" s="16"/>
      <c r="I329" s="16"/>
    </row>
    <row r="330" spans="1:9" x14ac:dyDescent="0.25">
      <c r="A330" s="16"/>
      <c r="B330" s="16"/>
      <c r="C330" s="16"/>
      <c r="D330" s="16"/>
      <c r="E330" s="18"/>
      <c r="F330" s="29"/>
      <c r="G330" s="16"/>
      <c r="H330" s="16"/>
      <c r="I330" s="16"/>
    </row>
    <row r="331" spans="1:9" x14ac:dyDescent="0.25">
      <c r="A331" s="16"/>
      <c r="B331" s="16"/>
      <c r="C331" s="16"/>
      <c r="D331" s="16"/>
      <c r="E331" s="18"/>
      <c r="F331" s="29"/>
      <c r="G331" s="16"/>
      <c r="H331" s="16"/>
      <c r="I331" s="16"/>
    </row>
    <row r="332" spans="1:9" x14ac:dyDescent="0.25">
      <c r="A332" s="16"/>
      <c r="B332" s="16"/>
      <c r="C332" s="16"/>
      <c r="D332" s="16"/>
      <c r="E332" s="18"/>
      <c r="F332" s="29"/>
      <c r="G332" s="16"/>
      <c r="H332" s="16"/>
      <c r="I332" s="16"/>
    </row>
    <row r="333" spans="1:9" x14ac:dyDescent="0.25">
      <c r="A333" s="16"/>
      <c r="B333" s="16"/>
      <c r="C333" s="16"/>
      <c r="D333" s="16"/>
      <c r="E333" s="18"/>
      <c r="F333" s="29"/>
      <c r="G333" s="16"/>
      <c r="H333" s="16"/>
      <c r="I333" s="16"/>
    </row>
    <row r="334" spans="1:9" x14ac:dyDescent="0.25">
      <c r="A334" s="16"/>
      <c r="B334" s="16"/>
      <c r="C334" s="16"/>
      <c r="D334" s="16"/>
      <c r="E334" s="18"/>
      <c r="F334" s="29"/>
      <c r="G334" s="16"/>
      <c r="H334" s="16"/>
      <c r="I334" s="16"/>
    </row>
    <row r="335" spans="1:9" x14ac:dyDescent="0.25">
      <c r="A335" s="16"/>
      <c r="B335" s="16"/>
      <c r="C335" s="16"/>
      <c r="D335" s="16"/>
      <c r="E335" s="18"/>
      <c r="F335" s="29"/>
      <c r="G335" s="16"/>
      <c r="H335" s="16"/>
      <c r="I335" s="16"/>
    </row>
    <row r="336" spans="1:9" x14ac:dyDescent="0.25">
      <c r="A336" s="16"/>
      <c r="B336" s="16"/>
      <c r="C336" s="16"/>
      <c r="D336" s="16"/>
      <c r="E336" s="18"/>
      <c r="F336" s="29"/>
      <c r="G336" s="16"/>
      <c r="H336" s="16"/>
      <c r="I336" s="16"/>
    </row>
    <row r="337" spans="1:9" x14ac:dyDescent="0.25">
      <c r="A337" s="16"/>
      <c r="B337" s="16"/>
      <c r="C337" s="16"/>
      <c r="D337" s="16"/>
      <c r="E337" s="18"/>
      <c r="F337" s="29"/>
      <c r="G337" s="16"/>
      <c r="H337" s="16"/>
      <c r="I337" s="16"/>
    </row>
    <row r="338" spans="1:9" x14ac:dyDescent="0.25">
      <c r="A338" s="16"/>
      <c r="B338" s="16"/>
      <c r="C338" s="16"/>
      <c r="D338" s="16"/>
      <c r="E338" s="18"/>
      <c r="F338" s="29"/>
      <c r="G338" s="16"/>
      <c r="H338" s="16"/>
      <c r="I338" s="16"/>
    </row>
    <row r="339" spans="1:9" x14ac:dyDescent="0.25">
      <c r="A339" s="16"/>
      <c r="B339" s="16"/>
      <c r="C339" s="16"/>
      <c r="D339" s="16"/>
      <c r="E339" s="18"/>
      <c r="F339" s="29"/>
      <c r="G339" s="16"/>
      <c r="H339" s="16"/>
      <c r="I339" s="16"/>
    </row>
    <row r="340" spans="1:9" x14ac:dyDescent="0.25">
      <c r="A340" s="16"/>
      <c r="B340" s="16"/>
      <c r="C340" s="16"/>
      <c r="D340" s="16"/>
      <c r="E340" s="18"/>
      <c r="F340" s="29"/>
      <c r="G340" s="16"/>
      <c r="H340" s="16"/>
      <c r="I340" s="16"/>
    </row>
    <row r="341" spans="1:9" x14ac:dyDescent="0.25">
      <c r="A341" s="16"/>
      <c r="B341" s="16"/>
      <c r="C341" s="16"/>
      <c r="D341" s="16"/>
      <c r="E341" s="18"/>
      <c r="F341" s="29"/>
      <c r="G341" s="16"/>
      <c r="H341" s="16"/>
      <c r="I341" s="16"/>
    </row>
    <row r="342" spans="1:9" x14ac:dyDescent="0.25">
      <c r="A342" s="16"/>
      <c r="B342" s="16"/>
      <c r="C342" s="16"/>
      <c r="D342" s="16"/>
      <c r="E342" s="18"/>
      <c r="F342" s="29"/>
      <c r="G342" s="16"/>
      <c r="H342" s="16"/>
      <c r="I342" s="16"/>
    </row>
    <row r="343" spans="1:9" x14ac:dyDescent="0.25">
      <c r="A343" s="16"/>
      <c r="B343" s="16"/>
      <c r="C343" s="16"/>
      <c r="D343" s="16"/>
      <c r="E343" s="18"/>
      <c r="F343" s="29"/>
      <c r="G343" s="16"/>
      <c r="H343" s="16"/>
      <c r="I343" s="16"/>
    </row>
    <row r="344" spans="1:9" x14ac:dyDescent="0.25">
      <c r="A344" s="16"/>
      <c r="B344" s="16"/>
      <c r="C344" s="16"/>
      <c r="D344" s="16"/>
      <c r="E344" s="18"/>
      <c r="F344" s="29"/>
      <c r="G344" s="16"/>
      <c r="H344" s="16"/>
      <c r="I344" s="16"/>
    </row>
    <row r="345" spans="1:9" x14ac:dyDescent="0.25">
      <c r="A345" s="16"/>
      <c r="B345" s="16"/>
      <c r="C345" s="16"/>
      <c r="D345" s="16"/>
      <c r="E345" s="18"/>
      <c r="F345" s="29"/>
      <c r="G345" s="16"/>
      <c r="H345" s="16"/>
      <c r="I345" s="16"/>
    </row>
    <row r="346" spans="1:9" x14ac:dyDescent="0.25">
      <c r="A346" s="16"/>
      <c r="B346" s="16"/>
      <c r="C346" s="16"/>
      <c r="D346" s="16"/>
      <c r="E346" s="18"/>
      <c r="F346" s="29"/>
      <c r="G346" s="16"/>
      <c r="H346" s="16"/>
      <c r="I346" s="16"/>
    </row>
    <row r="347" spans="1:9" x14ac:dyDescent="0.25">
      <c r="A347" s="16"/>
      <c r="B347" s="16"/>
      <c r="C347" s="16"/>
      <c r="D347" s="16"/>
      <c r="E347" s="18"/>
      <c r="F347" s="29"/>
      <c r="G347" s="16"/>
      <c r="H347" s="16"/>
      <c r="I347" s="16"/>
    </row>
    <row r="348" spans="1:9" x14ac:dyDescent="0.25">
      <c r="A348" s="16"/>
      <c r="B348" s="16"/>
      <c r="C348" s="16"/>
      <c r="D348" s="16"/>
      <c r="E348" s="18"/>
      <c r="F348" s="29"/>
      <c r="G348" s="16"/>
      <c r="H348" s="16"/>
      <c r="I348" s="16"/>
    </row>
    <row r="349" spans="1:9" x14ac:dyDescent="0.25">
      <c r="A349" s="16"/>
      <c r="B349" s="16"/>
      <c r="C349" s="16"/>
      <c r="D349" s="16"/>
      <c r="E349" s="18"/>
      <c r="F349" s="29"/>
      <c r="G349" s="16"/>
      <c r="H349" s="16"/>
      <c r="I349" s="16"/>
    </row>
    <row r="350" spans="1:9" x14ac:dyDescent="0.25">
      <c r="A350" s="16"/>
      <c r="B350" s="16"/>
      <c r="C350" s="16"/>
      <c r="D350" s="16"/>
      <c r="E350" s="18"/>
      <c r="F350" s="29"/>
      <c r="G350" s="16"/>
      <c r="H350" s="16"/>
      <c r="I350" s="16"/>
    </row>
    <row r="351" spans="1:9" x14ac:dyDescent="0.25">
      <c r="A351" s="16"/>
      <c r="B351" s="16"/>
      <c r="C351" s="16"/>
      <c r="D351" s="16"/>
      <c r="E351" s="18"/>
      <c r="F351" s="29"/>
      <c r="G351" s="16"/>
      <c r="H351" s="16"/>
      <c r="I351" s="16"/>
    </row>
    <row r="352" spans="1:9" x14ac:dyDescent="0.25">
      <c r="A352" s="16"/>
      <c r="B352" s="16"/>
      <c r="C352" s="16"/>
      <c r="D352" s="16"/>
      <c r="E352" s="18"/>
      <c r="F352" s="29"/>
      <c r="G352" s="16"/>
      <c r="H352" s="16"/>
      <c r="I352" s="16"/>
    </row>
    <row r="353" spans="1:9" x14ac:dyDescent="0.25">
      <c r="A353" s="16"/>
      <c r="B353" s="16"/>
      <c r="C353" s="16"/>
      <c r="D353" s="16"/>
      <c r="E353" s="18"/>
      <c r="F353" s="29"/>
      <c r="G353" s="16"/>
      <c r="H353" s="16"/>
      <c r="I353" s="16"/>
    </row>
    <row r="354" spans="1:9" x14ac:dyDescent="0.25">
      <c r="A354" s="16"/>
      <c r="B354" s="16"/>
      <c r="C354" s="16"/>
      <c r="D354" s="16"/>
      <c r="E354" s="18"/>
      <c r="F354" s="29"/>
      <c r="G354" s="16"/>
      <c r="H354" s="16"/>
      <c r="I354" s="16"/>
    </row>
    <row r="355" spans="1:9" x14ac:dyDescent="0.25">
      <c r="A355" s="16"/>
      <c r="B355" s="16"/>
      <c r="C355" s="16"/>
      <c r="D355" s="16"/>
      <c r="E355" s="18"/>
      <c r="F355" s="29"/>
      <c r="G355" s="16"/>
      <c r="H355" s="16"/>
      <c r="I355" s="16"/>
    </row>
    <row r="356" spans="1:9" x14ac:dyDescent="0.25">
      <c r="A356" s="16"/>
      <c r="B356" s="16"/>
      <c r="C356" s="16"/>
      <c r="D356" s="16"/>
      <c r="E356" s="18"/>
      <c r="F356" s="29"/>
      <c r="G356" s="16"/>
      <c r="H356" s="16"/>
      <c r="I356" s="16"/>
    </row>
    <row r="357" spans="1:9" x14ac:dyDescent="0.25">
      <c r="A357" s="16"/>
      <c r="B357" s="16"/>
      <c r="C357" s="16"/>
      <c r="D357" s="16"/>
      <c r="E357" s="18"/>
      <c r="F357" s="29"/>
      <c r="G357" s="16"/>
      <c r="H357" s="16"/>
      <c r="I357" s="16"/>
    </row>
    <row r="358" spans="1:9" x14ac:dyDescent="0.25">
      <c r="A358" s="16"/>
      <c r="B358" s="16"/>
      <c r="C358" s="16"/>
      <c r="D358" s="16"/>
      <c r="E358" s="18"/>
      <c r="F358" s="29"/>
      <c r="G358" s="16"/>
      <c r="H358" s="16"/>
      <c r="I358" s="16"/>
    </row>
    <row r="359" spans="1:9" x14ac:dyDescent="0.25">
      <c r="A359" s="16"/>
      <c r="B359" s="16"/>
      <c r="C359" s="16"/>
      <c r="D359" s="16"/>
      <c r="E359" s="18"/>
      <c r="F359" s="29"/>
      <c r="G359" s="16"/>
      <c r="H359" s="16"/>
      <c r="I359" s="16"/>
    </row>
    <row r="360" spans="1:9" x14ac:dyDescent="0.25">
      <c r="A360" s="16"/>
      <c r="B360" s="16"/>
      <c r="C360" s="16"/>
      <c r="D360" s="16"/>
      <c r="E360" s="18"/>
      <c r="F360" s="29"/>
      <c r="G360" s="16"/>
      <c r="H360" s="16"/>
      <c r="I360" s="16"/>
    </row>
    <row r="361" spans="1:9" x14ac:dyDescent="0.25">
      <c r="A361" s="16"/>
      <c r="B361" s="16"/>
      <c r="C361" s="16"/>
      <c r="D361" s="16"/>
      <c r="E361" s="18"/>
      <c r="F361" s="29"/>
      <c r="G361" s="16"/>
      <c r="H361" s="16"/>
      <c r="I361" s="16"/>
    </row>
    <row r="362" spans="1:9" x14ac:dyDescent="0.25">
      <c r="A362" s="16"/>
      <c r="B362" s="16"/>
      <c r="C362" s="16"/>
      <c r="D362" s="16"/>
      <c r="E362" s="18"/>
      <c r="F362" s="29"/>
      <c r="G362" s="16"/>
      <c r="H362" s="16"/>
      <c r="I362" s="16"/>
    </row>
    <row r="363" spans="1:9" x14ac:dyDescent="0.25">
      <c r="A363" s="16"/>
      <c r="B363" s="16"/>
      <c r="C363" s="16"/>
      <c r="D363" s="16"/>
      <c r="E363" s="18"/>
      <c r="F363" s="29"/>
      <c r="G363" s="16"/>
      <c r="H363" s="16"/>
      <c r="I363" s="16"/>
    </row>
    <row r="364" spans="1:9" x14ac:dyDescent="0.25">
      <c r="A364" s="16"/>
      <c r="B364" s="16"/>
      <c r="C364" s="16"/>
      <c r="D364" s="16"/>
      <c r="E364" s="18"/>
      <c r="F364" s="29"/>
      <c r="G364" s="16"/>
      <c r="H364" s="16"/>
      <c r="I364" s="16"/>
    </row>
    <row r="365" spans="1:9" x14ac:dyDescent="0.25">
      <c r="A365" s="16"/>
      <c r="B365" s="16"/>
      <c r="C365" s="16"/>
      <c r="D365" s="16"/>
      <c r="E365" s="18"/>
      <c r="F365" s="29"/>
      <c r="G365" s="16"/>
      <c r="H365" s="16"/>
      <c r="I365" s="16"/>
    </row>
    <row r="366" spans="1:9" x14ac:dyDescent="0.25">
      <c r="A366" s="16"/>
      <c r="B366" s="16"/>
      <c r="C366" s="16"/>
      <c r="D366" s="16"/>
      <c r="E366" s="18"/>
      <c r="F366" s="29"/>
      <c r="G366" s="16"/>
      <c r="H366" s="16"/>
      <c r="I366" s="16"/>
    </row>
    <row r="367" spans="1:9" x14ac:dyDescent="0.25">
      <c r="A367" s="16"/>
      <c r="B367" s="16"/>
      <c r="C367" s="16"/>
      <c r="D367" s="16"/>
      <c r="E367" s="18"/>
      <c r="F367" s="29"/>
      <c r="G367" s="16"/>
      <c r="H367" s="16"/>
      <c r="I367" s="16"/>
    </row>
    <row r="368" spans="1:9" x14ac:dyDescent="0.25">
      <c r="A368" s="16"/>
      <c r="B368" s="16"/>
      <c r="C368" s="16"/>
      <c r="D368" s="16"/>
      <c r="E368" s="18"/>
      <c r="F368" s="29"/>
      <c r="G368" s="16"/>
      <c r="H368" s="16"/>
      <c r="I368" s="16"/>
    </row>
    <row r="369" spans="1:9" x14ac:dyDescent="0.25">
      <c r="A369" s="16"/>
      <c r="B369" s="16"/>
      <c r="C369" s="16"/>
      <c r="D369" s="16"/>
      <c r="E369" s="18"/>
      <c r="F369" s="29"/>
      <c r="G369" s="16"/>
      <c r="H369" s="16"/>
      <c r="I369" s="16"/>
    </row>
    <row r="370" spans="1:9" x14ac:dyDescent="0.25">
      <c r="A370" s="16"/>
      <c r="B370" s="16"/>
      <c r="C370" s="16"/>
      <c r="D370" s="16"/>
      <c r="E370" s="18"/>
      <c r="F370" s="29"/>
      <c r="G370" s="16"/>
      <c r="H370" s="16"/>
      <c r="I370" s="16"/>
    </row>
    <row r="371" spans="1:9" x14ac:dyDescent="0.25">
      <c r="A371" s="16"/>
      <c r="B371" s="16"/>
      <c r="C371" s="16"/>
      <c r="D371" s="16"/>
      <c r="E371" s="18"/>
      <c r="F371" s="29"/>
      <c r="G371" s="16"/>
      <c r="H371" s="16"/>
      <c r="I371" s="16"/>
    </row>
    <row r="372" spans="1:9" x14ac:dyDescent="0.25">
      <c r="A372" s="16"/>
      <c r="B372" s="16"/>
      <c r="C372" s="16"/>
      <c r="D372" s="16"/>
      <c r="E372" s="18"/>
      <c r="F372" s="29"/>
      <c r="G372" s="16"/>
      <c r="H372" s="16"/>
      <c r="I372" s="16"/>
    </row>
    <row r="373" spans="1:9" x14ac:dyDescent="0.25">
      <c r="A373" s="16"/>
      <c r="B373" s="16"/>
      <c r="C373" s="16"/>
      <c r="D373" s="16"/>
      <c r="E373" s="18"/>
      <c r="F373" s="29"/>
      <c r="G373" s="16"/>
      <c r="H373" s="16"/>
      <c r="I373" s="16"/>
    </row>
    <row r="374" spans="1:9" x14ac:dyDescent="0.25">
      <c r="A374" s="16"/>
      <c r="B374" s="16"/>
      <c r="C374" s="16"/>
      <c r="D374" s="16"/>
      <c r="E374" s="18"/>
      <c r="F374" s="29"/>
      <c r="G374" s="16"/>
      <c r="H374" s="16"/>
      <c r="I374" s="16"/>
    </row>
    <row r="375" spans="1:9" x14ac:dyDescent="0.25">
      <c r="A375" s="16"/>
      <c r="B375" s="16"/>
      <c r="C375" s="16"/>
      <c r="D375" s="16"/>
      <c r="E375" s="18"/>
      <c r="F375" s="29"/>
      <c r="G375" s="16"/>
      <c r="H375" s="16"/>
      <c r="I375" s="16"/>
    </row>
    <row r="376" spans="1:9" x14ac:dyDescent="0.25">
      <c r="A376" s="16"/>
      <c r="B376" s="16"/>
      <c r="C376" s="16"/>
      <c r="D376" s="16"/>
      <c r="E376" s="18"/>
      <c r="F376" s="29"/>
      <c r="G376" s="16"/>
      <c r="H376" s="16"/>
      <c r="I376" s="16"/>
    </row>
    <row r="377" spans="1:9" x14ac:dyDescent="0.25">
      <c r="A377" s="16"/>
      <c r="B377" s="16"/>
      <c r="C377" s="16"/>
      <c r="D377" s="16"/>
      <c r="E377" s="18"/>
      <c r="F377" s="29"/>
      <c r="G377" s="16"/>
      <c r="H377" s="16"/>
      <c r="I377" s="16"/>
    </row>
    <row r="378" spans="1:9" x14ac:dyDescent="0.25">
      <c r="A378" s="16"/>
      <c r="B378" s="16"/>
      <c r="C378" s="16"/>
      <c r="D378" s="16"/>
      <c r="E378" s="18"/>
      <c r="F378" s="29"/>
      <c r="G378" s="16"/>
      <c r="H378" s="16"/>
      <c r="I378" s="16"/>
    </row>
    <row r="379" spans="1:9" x14ac:dyDescent="0.25">
      <c r="A379" s="16"/>
      <c r="B379" s="16"/>
      <c r="C379" s="16"/>
      <c r="D379" s="16"/>
      <c r="E379" s="18"/>
      <c r="F379" s="29"/>
      <c r="G379" s="16"/>
      <c r="H379" s="16"/>
      <c r="I379" s="16"/>
    </row>
    <row r="380" spans="1:9" x14ac:dyDescent="0.25">
      <c r="A380" s="16"/>
      <c r="B380" s="16"/>
      <c r="C380" s="16"/>
      <c r="D380" s="16"/>
      <c r="E380" s="18"/>
      <c r="F380" s="29"/>
      <c r="G380" s="16"/>
      <c r="H380" s="16"/>
      <c r="I380" s="16"/>
    </row>
    <row r="381" spans="1:9" x14ac:dyDescent="0.25">
      <c r="A381" s="16"/>
      <c r="B381" s="16"/>
      <c r="C381" s="16"/>
      <c r="D381" s="16"/>
      <c r="E381" s="18"/>
      <c r="F381" s="29"/>
      <c r="G381" s="16"/>
      <c r="H381" s="16"/>
      <c r="I381" s="16"/>
    </row>
    <row r="382" spans="1:9" x14ac:dyDescent="0.25">
      <c r="A382" s="16"/>
      <c r="B382" s="16"/>
      <c r="C382" s="16"/>
      <c r="D382" s="16"/>
      <c r="E382" s="18"/>
      <c r="F382" s="29"/>
      <c r="G382" s="16"/>
      <c r="H382" s="16"/>
      <c r="I382" s="16"/>
    </row>
    <row r="383" spans="1:9" x14ac:dyDescent="0.25">
      <c r="A383" s="16"/>
      <c r="B383" s="16"/>
      <c r="C383" s="16"/>
      <c r="D383" s="16"/>
      <c r="E383" s="18"/>
      <c r="F383" s="29"/>
      <c r="G383" s="16"/>
      <c r="H383" s="16"/>
      <c r="I383" s="16"/>
    </row>
    <row r="384" spans="1:9" x14ac:dyDescent="0.25">
      <c r="A384" s="16"/>
      <c r="B384" s="16"/>
      <c r="C384" s="16"/>
      <c r="D384" s="16"/>
      <c r="E384" s="18"/>
      <c r="F384" s="29"/>
      <c r="G384" s="16"/>
      <c r="H384" s="16"/>
      <c r="I384" s="16"/>
    </row>
    <row r="385" spans="1:9" x14ac:dyDescent="0.25">
      <c r="A385" s="16"/>
      <c r="B385" s="16"/>
      <c r="C385" s="16"/>
      <c r="D385" s="16"/>
      <c r="E385" s="18"/>
      <c r="F385" s="29"/>
      <c r="G385" s="16"/>
      <c r="H385" s="16"/>
      <c r="I385" s="16"/>
    </row>
    <row r="386" spans="1:9" x14ac:dyDescent="0.25">
      <c r="A386" s="16"/>
      <c r="B386" s="16"/>
      <c r="C386" s="16"/>
      <c r="D386" s="16"/>
      <c r="E386" s="18"/>
      <c r="F386" s="29"/>
      <c r="G386" s="16"/>
      <c r="H386" s="16"/>
      <c r="I386" s="16"/>
    </row>
    <row r="387" spans="1:9" x14ac:dyDescent="0.25">
      <c r="A387" s="16"/>
      <c r="B387" s="16"/>
      <c r="C387" s="16"/>
      <c r="D387" s="16"/>
      <c r="E387" s="18"/>
      <c r="F387" s="29"/>
      <c r="G387" s="16"/>
      <c r="H387" s="16"/>
      <c r="I387" s="16"/>
    </row>
    <row r="388" spans="1:9" x14ac:dyDescent="0.25">
      <c r="A388" s="16"/>
      <c r="B388" s="16"/>
      <c r="C388" s="16"/>
      <c r="D388" s="16"/>
      <c r="E388" s="18"/>
      <c r="F388" s="29"/>
      <c r="G388" s="16"/>
      <c r="H388" s="16"/>
      <c r="I388" s="16"/>
    </row>
    <row r="389" spans="1:9" x14ac:dyDescent="0.25">
      <c r="A389" s="16"/>
      <c r="B389" s="16"/>
      <c r="C389" s="16"/>
      <c r="D389" s="16"/>
      <c r="E389" s="18"/>
      <c r="F389" s="29"/>
      <c r="G389" s="16"/>
      <c r="H389" s="16"/>
      <c r="I389" s="16"/>
    </row>
    <row r="390" spans="1:9" x14ac:dyDescent="0.25">
      <c r="A390" s="16"/>
      <c r="B390" s="16"/>
      <c r="C390" s="16"/>
      <c r="D390" s="16"/>
      <c r="E390" s="18"/>
      <c r="F390" s="29"/>
      <c r="G390" s="16"/>
      <c r="H390" s="16"/>
      <c r="I390" s="16"/>
    </row>
    <row r="391" spans="1:9" x14ac:dyDescent="0.25">
      <c r="A391" s="16"/>
      <c r="B391" s="16"/>
      <c r="C391" s="16"/>
      <c r="D391" s="16"/>
      <c r="E391" s="18"/>
      <c r="F391" s="29"/>
      <c r="G391" s="16"/>
      <c r="H391" s="16"/>
      <c r="I391" s="16"/>
    </row>
    <row r="392" spans="1:9" x14ac:dyDescent="0.25">
      <c r="A392" s="16"/>
      <c r="B392" s="16"/>
      <c r="C392" s="16"/>
      <c r="D392" s="16"/>
      <c r="E392" s="18"/>
      <c r="F392" s="29"/>
      <c r="G392" s="16"/>
      <c r="H392" s="16"/>
      <c r="I392" s="16"/>
    </row>
    <row r="393" spans="1:9" x14ac:dyDescent="0.25">
      <c r="A393" s="16"/>
      <c r="B393" s="16"/>
      <c r="C393" s="16"/>
      <c r="D393" s="16"/>
      <c r="E393" s="18"/>
      <c r="F393" s="29"/>
      <c r="G393" s="16"/>
      <c r="H393" s="16"/>
      <c r="I393" s="16"/>
    </row>
    <row r="394" spans="1:9" x14ac:dyDescent="0.25">
      <c r="A394" s="16"/>
      <c r="B394" s="16"/>
      <c r="C394" s="16"/>
      <c r="D394" s="16"/>
      <c r="E394" s="18"/>
      <c r="F394" s="29"/>
      <c r="G394" s="16"/>
      <c r="H394" s="16"/>
      <c r="I394" s="16"/>
    </row>
    <row r="395" spans="1:9" x14ac:dyDescent="0.25">
      <c r="A395" s="16"/>
      <c r="B395" s="16"/>
      <c r="C395" s="16"/>
      <c r="D395" s="16"/>
      <c r="E395" s="18"/>
      <c r="F395" s="29"/>
      <c r="G395" s="16"/>
      <c r="H395" s="16"/>
      <c r="I395" s="16"/>
    </row>
    <row r="396" spans="1:9" x14ac:dyDescent="0.25">
      <c r="A396" s="16"/>
      <c r="B396" s="16"/>
      <c r="C396" s="16"/>
      <c r="D396" s="16"/>
      <c r="E396" s="18"/>
      <c r="F396" s="29"/>
      <c r="G396" s="16"/>
      <c r="H396" s="16"/>
      <c r="I396" s="16"/>
    </row>
    <row r="397" spans="1:9" x14ac:dyDescent="0.25">
      <c r="A397" s="16"/>
      <c r="B397" s="16"/>
      <c r="C397" s="16"/>
      <c r="D397" s="16"/>
      <c r="E397" s="18"/>
      <c r="F397" s="29"/>
      <c r="G397" s="16"/>
      <c r="H397" s="16"/>
      <c r="I397" s="16"/>
    </row>
    <row r="398" spans="1:9" x14ac:dyDescent="0.25">
      <c r="A398" s="16"/>
      <c r="B398" s="16"/>
      <c r="C398" s="16"/>
      <c r="D398" s="16"/>
      <c r="E398" s="18"/>
      <c r="F398" s="29"/>
      <c r="G398" s="16"/>
      <c r="H398" s="16"/>
      <c r="I398" s="16"/>
    </row>
    <row r="399" spans="1:9" x14ac:dyDescent="0.25">
      <c r="A399" s="16"/>
      <c r="B399" s="16"/>
      <c r="C399" s="16"/>
      <c r="D399" s="16"/>
      <c r="E399" s="18"/>
      <c r="F399" s="29"/>
      <c r="G399" s="16"/>
      <c r="H399" s="16"/>
      <c r="I399" s="16"/>
    </row>
    <row r="400" spans="1:9" x14ac:dyDescent="0.25">
      <c r="A400" s="16"/>
      <c r="B400" s="16"/>
      <c r="C400" s="16"/>
      <c r="D400" s="16"/>
      <c r="E400" s="18"/>
      <c r="F400" s="29"/>
      <c r="G400" s="16"/>
      <c r="H400" s="16"/>
      <c r="I400" s="16"/>
    </row>
    <row r="401" spans="1:9" x14ac:dyDescent="0.25">
      <c r="A401" s="16"/>
      <c r="B401" s="16"/>
      <c r="C401" s="16"/>
      <c r="D401" s="16"/>
      <c r="E401" s="18"/>
      <c r="F401" s="29"/>
      <c r="G401" s="16"/>
      <c r="H401" s="16"/>
      <c r="I401" s="16"/>
    </row>
    <row r="402" spans="1:9" x14ac:dyDescent="0.25">
      <c r="A402" s="16"/>
      <c r="B402" s="16"/>
      <c r="C402" s="16"/>
      <c r="D402" s="16"/>
      <c r="E402" s="18"/>
      <c r="F402" s="29"/>
      <c r="G402" s="16"/>
      <c r="H402" s="16"/>
      <c r="I402" s="16"/>
    </row>
    <row r="403" spans="1:9" x14ac:dyDescent="0.25">
      <c r="A403" s="16"/>
      <c r="B403" s="16"/>
      <c r="C403" s="16"/>
      <c r="D403" s="16"/>
      <c r="E403" s="18"/>
      <c r="F403" s="29"/>
      <c r="G403" s="16"/>
      <c r="H403" s="16"/>
      <c r="I403" s="16"/>
    </row>
    <row r="404" spans="1:9" x14ac:dyDescent="0.25">
      <c r="A404" s="16"/>
      <c r="B404" s="16"/>
      <c r="C404" s="16"/>
      <c r="D404" s="16"/>
      <c r="E404" s="18"/>
      <c r="F404" s="29"/>
      <c r="G404" s="16"/>
      <c r="H404" s="16"/>
      <c r="I404" s="16"/>
    </row>
    <row r="405" spans="1:9" x14ac:dyDescent="0.25">
      <c r="A405" s="16"/>
      <c r="B405" s="16"/>
      <c r="C405" s="16"/>
      <c r="D405" s="16"/>
      <c r="E405" s="18"/>
      <c r="F405" s="29"/>
      <c r="G405" s="16"/>
      <c r="H405" s="16"/>
      <c r="I405" s="16"/>
    </row>
    <row r="406" spans="1:9" x14ac:dyDescent="0.25">
      <c r="A406" s="16"/>
      <c r="B406" s="16"/>
      <c r="C406" s="16"/>
      <c r="D406" s="16"/>
      <c r="E406" s="18"/>
      <c r="F406" s="29"/>
      <c r="G406" s="16"/>
      <c r="H406" s="16"/>
      <c r="I406" s="16"/>
    </row>
    <row r="407" spans="1:9" x14ac:dyDescent="0.25">
      <c r="A407" s="16"/>
      <c r="B407" s="16"/>
      <c r="C407" s="16"/>
      <c r="D407" s="16"/>
      <c r="E407" s="18"/>
      <c r="F407" s="29"/>
      <c r="G407" s="16"/>
      <c r="H407" s="16"/>
      <c r="I407" s="16"/>
    </row>
    <row r="408" spans="1:9" x14ac:dyDescent="0.25">
      <c r="A408" s="16"/>
      <c r="B408" s="16"/>
      <c r="C408" s="16"/>
      <c r="D408" s="16"/>
      <c r="E408" s="18"/>
      <c r="F408" s="29"/>
      <c r="G408" s="16"/>
      <c r="H408" s="16"/>
      <c r="I408" s="16"/>
    </row>
    <row r="409" spans="1:9" x14ac:dyDescent="0.25">
      <c r="A409" s="16"/>
      <c r="B409" s="16"/>
      <c r="C409" s="16"/>
      <c r="D409" s="16"/>
      <c r="E409" s="18"/>
      <c r="F409" s="29"/>
      <c r="G409" s="16"/>
      <c r="H409" s="16"/>
      <c r="I409" s="16"/>
    </row>
    <row r="410" spans="1:9" x14ac:dyDescent="0.25">
      <c r="A410" s="16"/>
      <c r="B410" s="16"/>
      <c r="C410" s="16"/>
      <c r="D410" s="16"/>
      <c r="E410" s="18"/>
      <c r="F410" s="29"/>
      <c r="G410" s="16"/>
      <c r="H410" s="16"/>
      <c r="I410" s="16"/>
    </row>
    <row r="411" spans="1:9" x14ac:dyDescent="0.25">
      <c r="A411" s="16"/>
      <c r="B411" s="16"/>
      <c r="C411" s="16"/>
      <c r="D411" s="16"/>
      <c r="E411" s="18"/>
      <c r="F411" s="29"/>
      <c r="G411" s="16"/>
      <c r="H411" s="16"/>
      <c r="I411" s="16"/>
    </row>
    <row r="412" spans="1:9" x14ac:dyDescent="0.25">
      <c r="A412" s="16"/>
      <c r="B412" s="16"/>
      <c r="C412" s="16"/>
      <c r="D412" s="16"/>
      <c r="E412" s="18"/>
      <c r="F412" s="29"/>
      <c r="G412" s="16"/>
      <c r="H412" s="16"/>
      <c r="I412" s="16"/>
    </row>
    <row r="413" spans="1:9" x14ac:dyDescent="0.25">
      <c r="A413" s="16"/>
      <c r="B413" s="16"/>
      <c r="C413" s="16"/>
      <c r="D413" s="16"/>
      <c r="E413" s="18"/>
      <c r="F413" s="29"/>
      <c r="G413" s="16"/>
      <c r="H413" s="16"/>
      <c r="I413" s="16"/>
    </row>
    <row r="414" spans="1:9" x14ac:dyDescent="0.25">
      <c r="A414" s="16"/>
      <c r="B414" s="16"/>
      <c r="C414" s="16"/>
      <c r="D414" s="16"/>
      <c r="E414" s="18"/>
      <c r="F414" s="29"/>
      <c r="G414" s="16"/>
      <c r="H414" s="16"/>
      <c r="I414" s="16"/>
    </row>
    <row r="415" spans="1:9" x14ac:dyDescent="0.25">
      <c r="A415" s="16"/>
      <c r="B415" s="16"/>
      <c r="C415" s="16"/>
      <c r="D415" s="16"/>
      <c r="E415" s="18"/>
      <c r="F415" s="29"/>
      <c r="G415" s="16"/>
      <c r="H415" s="16"/>
      <c r="I415" s="16"/>
    </row>
    <row r="416" spans="1:9" x14ac:dyDescent="0.25">
      <c r="A416" s="16"/>
      <c r="B416" s="16"/>
      <c r="C416" s="16"/>
      <c r="D416" s="16"/>
      <c r="E416" s="18"/>
      <c r="F416" s="29"/>
      <c r="G416" s="16"/>
      <c r="H416" s="16"/>
      <c r="I416" s="16"/>
    </row>
    <row r="417" spans="1:9" x14ac:dyDescent="0.25">
      <c r="A417" s="16"/>
      <c r="B417" s="16"/>
      <c r="C417" s="16"/>
      <c r="D417" s="16"/>
      <c r="E417" s="18"/>
      <c r="F417" s="29"/>
      <c r="G417" s="16"/>
      <c r="H417" s="16"/>
      <c r="I417" s="16"/>
    </row>
    <row r="418" spans="1:9" x14ac:dyDescent="0.25">
      <c r="A418" s="16"/>
      <c r="B418" s="16"/>
      <c r="C418" s="16"/>
      <c r="D418" s="16"/>
      <c r="E418" s="18"/>
      <c r="F418" s="29"/>
      <c r="G418" s="16"/>
      <c r="H418" s="16"/>
      <c r="I418" s="16"/>
    </row>
    <row r="419" spans="1:9" x14ac:dyDescent="0.25">
      <c r="A419" s="16"/>
      <c r="B419" s="16"/>
      <c r="C419" s="16"/>
      <c r="D419" s="16"/>
      <c r="E419" s="18"/>
      <c r="F419" s="29"/>
      <c r="G419" s="16"/>
      <c r="H419" s="16"/>
      <c r="I419" s="16"/>
    </row>
    <row r="420" spans="1:9" x14ac:dyDescent="0.25">
      <c r="A420" s="16"/>
      <c r="B420" s="16"/>
      <c r="C420" s="16"/>
      <c r="D420" s="16"/>
      <c r="E420" s="18"/>
      <c r="F420" s="29"/>
      <c r="G420" s="16"/>
      <c r="H420" s="16"/>
      <c r="I420" s="16"/>
    </row>
    <row r="421" spans="1:9" x14ac:dyDescent="0.25">
      <c r="A421" s="16"/>
      <c r="B421" s="16"/>
      <c r="C421" s="16"/>
      <c r="D421" s="16"/>
      <c r="E421" s="18"/>
      <c r="F421" s="29"/>
      <c r="G421" s="16"/>
      <c r="H421" s="16"/>
      <c r="I421" s="16"/>
    </row>
    <row r="422" spans="1:9" x14ac:dyDescent="0.25">
      <c r="A422" s="16"/>
      <c r="B422" s="16"/>
      <c r="C422" s="16"/>
      <c r="D422" s="16"/>
      <c r="E422" s="18"/>
      <c r="F422" s="29"/>
      <c r="G422" s="16"/>
      <c r="H422" s="16"/>
      <c r="I422" s="16"/>
    </row>
    <row r="423" spans="1:9" x14ac:dyDescent="0.25">
      <c r="A423" s="16"/>
      <c r="B423" s="16"/>
      <c r="C423" s="16"/>
      <c r="D423" s="16"/>
      <c r="E423" s="18"/>
      <c r="F423" s="29"/>
      <c r="G423" s="16"/>
      <c r="H423" s="16"/>
      <c r="I423" s="16"/>
    </row>
    <row r="424" spans="1:9" x14ac:dyDescent="0.25">
      <c r="A424" s="16"/>
      <c r="B424" s="16"/>
      <c r="C424" s="16"/>
      <c r="D424" s="16"/>
      <c r="E424" s="18"/>
      <c r="F424" s="29"/>
      <c r="G424" s="16"/>
      <c r="H424" s="16"/>
      <c r="I424" s="16"/>
    </row>
    <row r="425" spans="1:9" x14ac:dyDescent="0.25">
      <c r="A425" s="16"/>
      <c r="B425" s="16"/>
      <c r="C425" s="16"/>
      <c r="D425" s="16"/>
      <c r="E425" s="18"/>
      <c r="F425" s="29"/>
      <c r="G425" s="16"/>
      <c r="H425" s="16"/>
      <c r="I425" s="16"/>
    </row>
    <row r="426" spans="1:9" x14ac:dyDescent="0.25">
      <c r="A426" s="16"/>
      <c r="B426" s="16"/>
      <c r="C426" s="16"/>
      <c r="D426" s="16"/>
      <c r="E426" s="18"/>
      <c r="F426" s="29"/>
      <c r="G426" s="16"/>
      <c r="H426" s="16"/>
      <c r="I426" s="16"/>
    </row>
    <row r="427" spans="1:9" x14ac:dyDescent="0.25">
      <c r="A427" s="16"/>
      <c r="B427" s="16"/>
      <c r="C427" s="16"/>
      <c r="D427" s="16"/>
      <c r="E427" s="18"/>
      <c r="F427" s="29"/>
      <c r="G427" s="16"/>
      <c r="H427" s="16"/>
      <c r="I427" s="16"/>
    </row>
    <row r="428" spans="1:9" x14ac:dyDescent="0.25">
      <c r="A428" s="16"/>
      <c r="B428" s="16"/>
      <c r="C428" s="16"/>
      <c r="D428" s="16"/>
      <c r="E428" s="18"/>
      <c r="F428" s="29"/>
      <c r="G428" s="16"/>
      <c r="H428" s="16"/>
      <c r="I428" s="16"/>
    </row>
    <row r="429" spans="1:9" x14ac:dyDescent="0.25">
      <c r="A429" s="16"/>
      <c r="B429" s="16"/>
      <c r="C429" s="16"/>
      <c r="D429" s="16"/>
      <c r="E429" s="18"/>
      <c r="F429" s="29"/>
      <c r="G429" s="16"/>
      <c r="H429" s="16"/>
      <c r="I429" s="16"/>
    </row>
    <row r="430" spans="1:9" x14ac:dyDescent="0.25">
      <c r="A430" s="16"/>
      <c r="B430" s="16"/>
      <c r="C430" s="16"/>
      <c r="D430" s="16"/>
      <c r="E430" s="18"/>
      <c r="F430" s="29"/>
      <c r="G430" s="16"/>
      <c r="H430" s="16"/>
      <c r="I430" s="16"/>
    </row>
    <row r="431" spans="1:9" x14ac:dyDescent="0.25">
      <c r="A431" s="16"/>
      <c r="B431" s="16"/>
      <c r="C431" s="16"/>
      <c r="D431" s="16"/>
      <c r="E431" s="18"/>
      <c r="F431" s="29"/>
      <c r="G431" s="16"/>
      <c r="H431" s="16"/>
      <c r="I431" s="16"/>
    </row>
    <row r="432" spans="1:9" x14ac:dyDescent="0.25">
      <c r="A432" s="16"/>
      <c r="B432" s="16"/>
      <c r="C432" s="16"/>
      <c r="D432" s="16"/>
      <c r="E432" s="18"/>
      <c r="F432" s="29"/>
      <c r="G432" s="16"/>
      <c r="H432" s="16"/>
      <c r="I432" s="16"/>
    </row>
    <row r="433" spans="1:9" x14ac:dyDescent="0.25">
      <c r="A433" s="16"/>
      <c r="B433" s="16"/>
      <c r="C433" s="16"/>
      <c r="D433" s="16"/>
      <c r="E433" s="18"/>
      <c r="F433" s="29"/>
      <c r="G433" s="16"/>
      <c r="H433" s="16"/>
      <c r="I433" s="16"/>
    </row>
    <row r="434" spans="1:9" x14ac:dyDescent="0.25">
      <c r="A434" s="16"/>
      <c r="B434" s="16"/>
      <c r="C434" s="16"/>
      <c r="D434" s="16"/>
      <c r="E434" s="18"/>
      <c r="F434" s="29"/>
      <c r="G434" s="16"/>
      <c r="H434" s="16"/>
      <c r="I434" s="16"/>
    </row>
    <row r="435" spans="1:9" x14ac:dyDescent="0.25">
      <c r="A435" s="16"/>
      <c r="B435" s="16"/>
      <c r="C435" s="16"/>
      <c r="D435" s="16"/>
      <c r="E435" s="18"/>
      <c r="F435" s="29"/>
      <c r="G435" s="16"/>
      <c r="H435" s="16"/>
      <c r="I435" s="16"/>
    </row>
    <row r="436" spans="1:9" x14ac:dyDescent="0.25">
      <c r="A436" s="16"/>
      <c r="B436" s="16"/>
      <c r="C436" s="16"/>
      <c r="D436" s="16"/>
      <c r="E436" s="18"/>
      <c r="F436" s="29"/>
      <c r="G436" s="16"/>
      <c r="H436" s="16"/>
      <c r="I436" s="16"/>
    </row>
    <row r="437" spans="1:9" x14ac:dyDescent="0.25">
      <c r="A437" s="16"/>
      <c r="B437" s="16"/>
      <c r="C437" s="16"/>
      <c r="D437" s="16"/>
      <c r="E437" s="18"/>
      <c r="F437" s="29"/>
      <c r="G437" s="16"/>
      <c r="H437" s="16"/>
      <c r="I437" s="16"/>
    </row>
    <row r="438" spans="1:9" x14ac:dyDescent="0.25">
      <c r="A438" s="16"/>
      <c r="B438" s="16"/>
      <c r="C438" s="16"/>
      <c r="D438" s="16"/>
      <c r="E438" s="18"/>
      <c r="F438" s="29"/>
      <c r="G438" s="16"/>
      <c r="H438" s="16"/>
      <c r="I438" s="16"/>
    </row>
    <row r="439" spans="1:9" x14ac:dyDescent="0.25">
      <c r="A439" s="16"/>
      <c r="B439" s="16"/>
      <c r="C439" s="16"/>
      <c r="D439" s="16"/>
      <c r="E439" s="18"/>
      <c r="F439" s="29"/>
      <c r="G439" s="16"/>
      <c r="H439" s="16"/>
      <c r="I439" s="16"/>
    </row>
    <row r="440" spans="1:9" x14ac:dyDescent="0.25">
      <c r="A440" s="16"/>
      <c r="B440" s="16"/>
      <c r="C440" s="16"/>
      <c r="D440" s="16"/>
      <c r="E440" s="18"/>
      <c r="F440" s="29"/>
      <c r="G440" s="16"/>
      <c r="H440" s="16"/>
      <c r="I440" s="16"/>
    </row>
    <row r="441" spans="1:9" x14ac:dyDescent="0.25">
      <c r="A441" s="16"/>
      <c r="B441" s="16"/>
      <c r="C441" s="16"/>
      <c r="D441" s="16"/>
      <c r="E441" s="18"/>
      <c r="F441" s="29"/>
      <c r="G441" s="16"/>
      <c r="H441" s="16"/>
      <c r="I441" s="16"/>
    </row>
    <row r="442" spans="1:9" x14ac:dyDescent="0.25">
      <c r="A442" s="16"/>
      <c r="B442" s="16"/>
      <c r="C442" s="16"/>
      <c r="D442" s="16"/>
      <c r="E442" s="18"/>
      <c r="F442" s="29"/>
      <c r="G442" s="16"/>
      <c r="H442" s="16"/>
      <c r="I442" s="16"/>
    </row>
    <row r="443" spans="1:9" x14ac:dyDescent="0.25">
      <c r="A443" s="16"/>
      <c r="B443" s="16"/>
      <c r="C443" s="16"/>
      <c r="D443" s="16"/>
      <c r="E443" s="18"/>
      <c r="F443" s="29"/>
      <c r="G443" s="16"/>
      <c r="H443" s="16"/>
      <c r="I443" s="16"/>
    </row>
    <row r="444" spans="1:9" x14ac:dyDescent="0.25">
      <c r="A444" s="16"/>
      <c r="B444" s="16"/>
      <c r="C444" s="16"/>
      <c r="D444" s="16"/>
      <c r="E444" s="18"/>
      <c r="F444" s="29"/>
      <c r="G444" s="16"/>
      <c r="H444" s="16"/>
      <c r="I444" s="16"/>
    </row>
    <row r="445" spans="1:9" x14ac:dyDescent="0.25">
      <c r="A445" s="16"/>
      <c r="B445" s="16"/>
      <c r="C445" s="16"/>
      <c r="D445" s="16"/>
      <c r="E445" s="18"/>
      <c r="F445" s="29"/>
      <c r="G445" s="16"/>
      <c r="H445" s="16"/>
      <c r="I445" s="16"/>
    </row>
    <row r="446" spans="1:9" x14ac:dyDescent="0.25">
      <c r="A446" s="16"/>
      <c r="B446" s="16"/>
      <c r="C446" s="16"/>
      <c r="D446" s="16"/>
      <c r="E446" s="18"/>
      <c r="F446" s="29"/>
      <c r="G446" s="16"/>
      <c r="H446" s="16"/>
      <c r="I446" s="16"/>
    </row>
    <row r="447" spans="1:9" x14ac:dyDescent="0.25">
      <c r="A447" s="16"/>
      <c r="B447" s="16"/>
      <c r="C447" s="16"/>
      <c r="D447" s="16"/>
      <c r="E447" s="18"/>
      <c r="F447" s="29"/>
      <c r="G447" s="16"/>
      <c r="H447" s="16"/>
      <c r="I447" s="16"/>
    </row>
    <row r="448" spans="1:9" x14ac:dyDescent="0.25">
      <c r="A448" s="16"/>
      <c r="B448" s="16"/>
      <c r="C448" s="16"/>
      <c r="D448" s="16"/>
      <c r="E448" s="18"/>
      <c r="F448" s="29"/>
      <c r="G448" s="16"/>
      <c r="H448" s="16"/>
      <c r="I448" s="16"/>
    </row>
    <row r="449" spans="1:9" x14ac:dyDescent="0.25">
      <c r="A449" s="16"/>
      <c r="B449" s="16"/>
      <c r="C449" s="16"/>
      <c r="D449" s="16"/>
      <c r="E449" s="18"/>
      <c r="F449" s="29"/>
      <c r="G449" s="16"/>
      <c r="H449" s="16"/>
      <c r="I449" s="16"/>
    </row>
    <row r="450" spans="1:9" x14ac:dyDescent="0.25">
      <c r="A450" s="16"/>
      <c r="B450" s="16"/>
      <c r="C450" s="16"/>
      <c r="D450" s="16"/>
      <c r="E450" s="18"/>
      <c r="F450" s="29"/>
      <c r="G450" s="16"/>
      <c r="H450" s="16"/>
      <c r="I450" s="16"/>
    </row>
    <row r="451" spans="1:9" x14ac:dyDescent="0.25">
      <c r="A451" s="16"/>
      <c r="B451" s="16"/>
      <c r="C451" s="16"/>
      <c r="D451" s="16"/>
      <c r="E451" s="18"/>
      <c r="F451" s="29"/>
      <c r="G451" s="16"/>
      <c r="H451" s="16"/>
      <c r="I451" s="16"/>
    </row>
    <row r="452" spans="1:9" x14ac:dyDescent="0.25">
      <c r="A452" s="16"/>
      <c r="B452" s="16"/>
      <c r="C452" s="16"/>
      <c r="D452" s="16"/>
      <c r="E452" s="18"/>
      <c r="F452" s="29"/>
      <c r="G452" s="16"/>
      <c r="H452" s="16"/>
      <c r="I452" s="16"/>
    </row>
    <row r="453" spans="1:9" x14ac:dyDescent="0.25">
      <c r="A453" s="16"/>
      <c r="B453" s="16"/>
      <c r="C453" s="16"/>
      <c r="D453" s="16"/>
      <c r="E453" s="18"/>
      <c r="F453" s="29"/>
      <c r="G453" s="16"/>
      <c r="H453" s="16"/>
      <c r="I453" s="16"/>
    </row>
    <row r="454" spans="1:9" x14ac:dyDescent="0.25">
      <c r="A454" s="16"/>
      <c r="B454" s="16"/>
      <c r="C454" s="16"/>
      <c r="D454" s="16"/>
      <c r="E454" s="18"/>
      <c r="F454" s="29"/>
      <c r="G454" s="16"/>
      <c r="H454" s="16"/>
      <c r="I454" s="16"/>
    </row>
    <row r="455" spans="1:9" x14ac:dyDescent="0.25">
      <c r="A455" s="16"/>
      <c r="B455" s="16"/>
      <c r="C455" s="16"/>
      <c r="D455" s="16"/>
      <c r="E455" s="18"/>
      <c r="F455" s="29"/>
      <c r="G455" s="16"/>
      <c r="H455" s="16"/>
      <c r="I455" s="16"/>
    </row>
    <row r="456" spans="1:9" x14ac:dyDescent="0.25">
      <c r="A456" s="16"/>
      <c r="B456" s="16"/>
      <c r="C456" s="16"/>
      <c r="D456" s="16"/>
      <c r="E456" s="18"/>
      <c r="F456" s="29"/>
      <c r="G456" s="16"/>
      <c r="H456" s="16"/>
      <c r="I456" s="16"/>
    </row>
    <row r="457" spans="1:9" x14ac:dyDescent="0.25">
      <c r="A457" s="16"/>
      <c r="B457" s="16"/>
      <c r="C457" s="16"/>
      <c r="D457" s="16"/>
      <c r="E457" s="18"/>
      <c r="F457" s="29"/>
      <c r="G457" s="16"/>
      <c r="H457" s="16"/>
      <c r="I457" s="16"/>
    </row>
    <row r="458" spans="1:9" x14ac:dyDescent="0.25">
      <c r="A458" s="16"/>
      <c r="B458" s="16"/>
      <c r="C458" s="16"/>
      <c r="D458" s="16"/>
      <c r="E458" s="18"/>
      <c r="F458" s="29"/>
      <c r="G458" s="16"/>
      <c r="H458" s="16"/>
      <c r="I458" s="16"/>
    </row>
    <row r="459" spans="1:9" x14ac:dyDescent="0.25">
      <c r="A459" s="16"/>
      <c r="B459" s="16"/>
      <c r="C459" s="16"/>
      <c r="D459" s="16"/>
      <c r="E459" s="18"/>
      <c r="F459" s="29"/>
      <c r="G459" s="16"/>
      <c r="H459" s="16"/>
      <c r="I459" s="16"/>
    </row>
    <row r="460" spans="1:9" x14ac:dyDescent="0.25">
      <c r="A460" s="16"/>
      <c r="B460" s="16"/>
      <c r="C460" s="16"/>
      <c r="D460" s="16"/>
      <c r="E460" s="18"/>
      <c r="F460" s="29"/>
      <c r="G460" s="16"/>
      <c r="H460" s="16"/>
      <c r="I460" s="16"/>
    </row>
    <row r="461" spans="1:9" x14ac:dyDescent="0.25">
      <c r="A461" s="16"/>
      <c r="B461" s="16"/>
      <c r="C461" s="16"/>
      <c r="D461" s="16"/>
      <c r="E461" s="18"/>
      <c r="F461" s="29"/>
      <c r="G461" s="16"/>
      <c r="H461" s="16"/>
      <c r="I461" s="16"/>
    </row>
    <row r="462" spans="1:9" x14ac:dyDescent="0.25">
      <c r="A462" s="16"/>
      <c r="B462" s="16"/>
      <c r="C462" s="16"/>
      <c r="D462" s="16"/>
      <c r="E462" s="18"/>
      <c r="F462" s="29"/>
      <c r="G462" s="16"/>
      <c r="H462" s="16"/>
      <c r="I462" s="16"/>
    </row>
  </sheetData>
  <mergeCells count="1"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Oregon Employment Department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P. TURNER</dc:creator>
  <cp:lastModifiedBy>BRENDA P. TURNER</cp:lastModifiedBy>
  <dcterms:created xsi:type="dcterms:W3CDTF">2013-04-12T17:33:24Z</dcterms:created>
  <dcterms:modified xsi:type="dcterms:W3CDTF">2013-04-12T18:53:32Z</dcterms:modified>
</cp:coreProperties>
</file>