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3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Records3.xml" ContentType="application/vnd.openxmlformats-officedocument.spreadsheetml.pivotCacheRecord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B24" i="1" l="1"/>
  <c r="B10" i="1"/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J27" i="1" l="1"/>
  <c r="J28" i="1"/>
  <c r="J29" i="1"/>
  <c r="J30" i="1"/>
  <c r="J31" i="1"/>
  <c r="J32" i="1"/>
  <c r="J33" i="1"/>
  <c r="J34" i="1"/>
  <c r="J35" i="1"/>
  <c r="K35" i="1" l="1"/>
  <c r="K34" i="1"/>
  <c r="K32" i="1"/>
  <c r="K30" i="1"/>
  <c r="K28" i="1"/>
  <c r="K33" i="1"/>
  <c r="K31" i="1"/>
  <c r="K29" i="1"/>
  <c r="K27" i="1"/>
  <c r="M43" i="1"/>
  <c r="D27" i="1" l="1"/>
  <c r="F27" i="1"/>
  <c r="H27" i="1"/>
  <c r="D28" i="1"/>
  <c r="F28" i="1"/>
  <c r="H28" i="1"/>
  <c r="D29" i="1"/>
  <c r="F29" i="1"/>
  <c r="H29" i="1"/>
  <c r="D30" i="1"/>
  <c r="F30" i="1"/>
  <c r="H30" i="1"/>
  <c r="D31" i="1"/>
  <c r="F31" i="1"/>
  <c r="H31" i="1"/>
  <c r="D32" i="1"/>
  <c r="F32" i="1"/>
  <c r="H32" i="1"/>
  <c r="D33" i="1"/>
  <c r="F33" i="1"/>
  <c r="H33" i="1"/>
  <c r="D34" i="1"/>
  <c r="F34" i="1"/>
  <c r="H34" i="1"/>
  <c r="D35" i="1"/>
  <c r="F35" i="1"/>
  <c r="H35" i="1"/>
  <c r="B28" i="1"/>
  <c r="B29" i="1"/>
  <c r="B30" i="1"/>
  <c r="B31" i="1"/>
  <c r="B32" i="1"/>
  <c r="B33" i="1"/>
  <c r="B34" i="1"/>
  <c r="B35" i="1"/>
  <c r="B27" i="1"/>
  <c r="G35" i="1" l="1"/>
  <c r="C35" i="1"/>
  <c r="I35" i="1"/>
  <c r="E35" i="1"/>
  <c r="C27" i="1"/>
  <c r="C34" i="1"/>
  <c r="C32" i="1"/>
  <c r="C30" i="1"/>
  <c r="C28" i="1"/>
  <c r="I34" i="1"/>
  <c r="E34" i="1"/>
  <c r="G33" i="1"/>
  <c r="I32" i="1"/>
  <c r="E32" i="1"/>
  <c r="G31" i="1"/>
  <c r="I30" i="1"/>
  <c r="E30" i="1"/>
  <c r="G29" i="1"/>
  <c r="I28" i="1"/>
  <c r="E28" i="1"/>
  <c r="G27" i="1"/>
  <c r="C33" i="1"/>
  <c r="C31" i="1"/>
  <c r="C29" i="1"/>
  <c r="G34" i="1"/>
  <c r="I33" i="1"/>
  <c r="E33" i="1"/>
  <c r="G32" i="1"/>
  <c r="I31" i="1"/>
  <c r="E31" i="1"/>
  <c r="G30" i="1"/>
  <c r="I29" i="1"/>
  <c r="E29" i="1"/>
  <c r="G28" i="1"/>
  <c r="I27" i="1"/>
  <c r="E27" i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27" i="1"/>
  <c r="N27" i="1" s="1"/>
  <c r="M14" i="1"/>
  <c r="M15" i="1"/>
  <c r="M16" i="1"/>
  <c r="M17" i="1"/>
  <c r="M18" i="1"/>
  <c r="M19" i="1"/>
  <c r="M20" i="1"/>
  <c r="M21" i="1"/>
  <c r="M13" i="1"/>
  <c r="F4" i="3"/>
  <c r="F6" i="3"/>
  <c r="F7" i="3"/>
  <c r="F8" i="3"/>
  <c r="F9" i="3"/>
  <c r="F10" i="3"/>
  <c r="F11" i="3"/>
  <c r="F3" i="3"/>
  <c r="H14" i="1" l="1"/>
  <c r="H15" i="5"/>
  <c r="D14" i="1"/>
  <c r="D15" i="5"/>
  <c r="D21" i="1"/>
  <c r="D22" i="5"/>
  <c r="D19" i="1"/>
  <c r="D20" i="5"/>
  <c r="D17" i="1"/>
  <c r="D18" i="5"/>
  <c r="D15" i="1"/>
  <c r="D16" i="5"/>
  <c r="B14" i="1"/>
  <c r="B15" i="5"/>
  <c r="J14" i="1"/>
  <c r="J15" i="5"/>
  <c r="F14" i="1"/>
  <c r="F15" i="5"/>
  <c r="D13" i="1"/>
  <c r="D14" i="5"/>
  <c r="J20" i="1"/>
  <c r="J21" i="5"/>
  <c r="B18" i="1"/>
  <c r="B19" i="5"/>
  <c r="B16" i="1"/>
  <c r="B17" i="5"/>
  <c r="H21" i="1" l="1"/>
  <c r="H22" i="5"/>
  <c r="D20" i="1"/>
  <c r="D21" i="5"/>
  <c r="F16" i="1"/>
  <c r="F17" i="5"/>
  <c r="H17" i="1"/>
  <c r="H18" i="5"/>
  <c r="J18" i="1"/>
  <c r="J19" i="5"/>
  <c r="H13" i="1"/>
  <c r="H14" i="5"/>
  <c r="F21" i="1"/>
  <c r="F22" i="5"/>
  <c r="F20" i="1"/>
  <c r="F21" i="5"/>
  <c r="F15" i="1"/>
  <c r="F16" i="5"/>
  <c r="D16" i="1"/>
  <c r="D17" i="5"/>
  <c r="B17" i="1"/>
  <c r="B18" i="5"/>
  <c r="J17" i="1"/>
  <c r="J18" i="5"/>
  <c r="H18" i="1"/>
  <c r="H19" i="5"/>
  <c r="F19" i="1"/>
  <c r="F20" i="5"/>
  <c r="F13" i="1"/>
  <c r="F14" i="5"/>
  <c r="H20" i="1"/>
  <c r="H21" i="5"/>
  <c r="B20" i="1"/>
  <c r="B21" i="5"/>
  <c r="B21" i="1"/>
  <c r="B22" i="5"/>
  <c r="H15" i="1"/>
  <c r="H16" i="5"/>
  <c r="J16" i="1"/>
  <c r="J17" i="5"/>
  <c r="F18" i="1"/>
  <c r="F19" i="5"/>
  <c r="H19" i="1"/>
  <c r="H20" i="5"/>
  <c r="B13" i="1"/>
  <c r="B14" i="5"/>
  <c r="J21" i="1"/>
  <c r="J22" i="5"/>
  <c r="B15" i="1"/>
  <c r="B16" i="5"/>
  <c r="J15" i="1"/>
  <c r="J16" i="5"/>
  <c r="H16" i="1"/>
  <c r="I20" i="1" s="1"/>
  <c r="H17" i="5"/>
  <c r="I17" i="5" s="1"/>
  <c r="F17" i="1"/>
  <c r="G16" i="1" s="1"/>
  <c r="F18" i="5"/>
  <c r="G18" i="5" s="1"/>
  <c r="D18" i="1"/>
  <c r="D19" i="5"/>
  <c r="E19" i="5" s="1"/>
  <c r="B19" i="1"/>
  <c r="B20" i="5"/>
  <c r="C20" i="5" s="1"/>
  <c r="J19" i="1"/>
  <c r="J20" i="5"/>
  <c r="J13" i="1"/>
  <c r="K20" i="1" s="1"/>
  <c r="N20" i="1" s="1"/>
  <c r="J14" i="5"/>
  <c r="K14" i="5" s="1"/>
  <c r="K16" i="1"/>
  <c r="N16" i="1" s="1"/>
  <c r="K15" i="1"/>
  <c r="N15" i="1" s="1"/>
  <c r="K13" i="1"/>
  <c r="K18" i="1"/>
  <c r="N18" i="1" s="1"/>
  <c r="K14" i="1"/>
  <c r="N14" i="1" s="1"/>
  <c r="E20" i="1"/>
  <c r="C20" i="1"/>
  <c r="I21" i="1"/>
  <c r="I17" i="1"/>
  <c r="G20" i="1"/>
  <c r="G15" i="1"/>
  <c r="E13" i="1"/>
  <c r="C17" i="1"/>
  <c r="I18" i="1"/>
  <c r="G19" i="1"/>
  <c r="G13" i="1"/>
  <c r="I15" i="1"/>
  <c r="G18" i="1"/>
  <c r="I19" i="1"/>
  <c r="C16" i="1"/>
  <c r="C15" i="1"/>
  <c r="I16" i="1"/>
  <c r="G17" i="1"/>
  <c r="E18" i="1"/>
  <c r="C19" i="1"/>
  <c r="C21" i="1"/>
  <c r="E14" i="1"/>
  <c r="E15" i="1"/>
  <c r="E19" i="1"/>
  <c r="C14" i="1"/>
  <c r="C18" i="1"/>
  <c r="C13" i="1"/>
  <c r="I13" i="1"/>
  <c r="G21" i="1"/>
  <c r="I14" i="1"/>
  <c r="E16" i="1"/>
  <c r="G14" i="1"/>
  <c r="E17" i="1"/>
  <c r="E21" i="1"/>
  <c r="L7" i="1"/>
  <c r="M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K19" i="1" l="1"/>
  <c r="N19" i="1" s="1"/>
  <c r="K21" i="1"/>
  <c r="N21" i="1" s="1"/>
  <c r="K17" i="1"/>
  <c r="N17" i="1" s="1"/>
  <c r="C19" i="5"/>
  <c r="H4" i="1"/>
  <c r="H5" i="5"/>
  <c r="D4" i="1"/>
  <c r="D5" i="5"/>
  <c r="J5" i="1"/>
  <c r="J6" i="5"/>
  <c r="F5" i="1"/>
  <c r="F6" i="5"/>
  <c r="B6" i="1"/>
  <c r="B7" i="5"/>
  <c r="H6" i="1"/>
  <c r="H7" i="5"/>
  <c r="D6" i="1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4" i="1"/>
  <c r="B5" i="5"/>
  <c r="J4" i="1"/>
  <c r="J5" i="5"/>
  <c r="F4" i="1"/>
  <c r="F5" i="5"/>
  <c r="B5" i="1"/>
  <c r="B6" i="5"/>
  <c r="H5" i="1"/>
  <c r="H6" i="5"/>
  <c r="D5" i="1"/>
  <c r="D7" i="1" s="1"/>
  <c r="D6" i="5"/>
  <c r="J6" i="1"/>
  <c r="J7" i="5"/>
  <c r="F6" i="1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N13" i="1"/>
  <c r="J7" i="1"/>
  <c r="M4" i="1"/>
  <c r="M5" i="1"/>
  <c r="F7" i="1" l="1"/>
  <c r="H7" i="1"/>
  <c r="B7" i="1"/>
  <c r="F8" i="5"/>
  <c r="G44" i="5" s="1"/>
  <c r="J8" i="5"/>
  <c r="K44" i="5" s="1"/>
  <c r="B8" i="5"/>
  <c r="C5" i="5" s="1"/>
  <c r="G6" i="5"/>
  <c r="D8" i="5"/>
  <c r="E44" i="5" s="1"/>
  <c r="H8" i="5"/>
  <c r="I44" i="5" s="1"/>
  <c r="K5" i="1"/>
  <c r="N5" i="1" s="1"/>
  <c r="N43" i="1"/>
  <c r="K6" i="1"/>
  <c r="N6" i="1" s="1"/>
  <c r="K4" i="1"/>
  <c r="N4" i="1" s="1"/>
  <c r="I6" i="1"/>
  <c r="G4" i="1"/>
  <c r="E6" i="1"/>
  <c r="C4" i="1"/>
  <c r="I4" i="1"/>
  <c r="G6" i="1"/>
  <c r="E4" i="1"/>
  <c r="I5" i="1"/>
  <c r="E5" i="1"/>
  <c r="C5" i="1"/>
  <c r="C6" i="1"/>
  <c r="G5" i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<sst xmlns="http://schemas.openxmlformats.org/spreadsheetml/2006/main" count="316" uniqueCount="60">
  <si>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</si>
  <si>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</si>
  <si>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</si>
  <si>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</si>
  <si>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</si>
  <si>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</si>
  <si>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</si>
  <si>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</si>
  <si>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</si>
  <si>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</si>
  <si>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</si>
  <si>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</si>
  <si>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</si>
  <si>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</si>
  <si>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</si>
  <si>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</si>
  <si>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</si>
  <si>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</si>
  <si>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</si>
  <si>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</si>
  <si>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</si>
  <si>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</si>
  <si>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</si>
  <si>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</si>
  <si>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</si>
  <si>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</si>
  <si>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</si>
  <si>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</si>
  <si>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</si>
  <si>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</si>
  <si>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</si>
  <si>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</si>
  <si>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</si>
  <si>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</si>
  <si>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</si>
  <si>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</si>
  <si>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</si>
  <si>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</si>
  <si>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</si>
  <si>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</si>
  <si>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</si>
  <si>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</si>
  <si>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</si>
  <si>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</si>
  <si>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</si>
  <si>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</si>
  <si>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</si>
  <si>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</si>
  <si>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</si>
  <si>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</si>
  <si>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</si>
  <si>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</si>
  <si>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</si>
  <si>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</si>
  <si>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</si>
  <si>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</si>
  <si>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</si>
  <si>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</si>
  <si>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</si>
  <si>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5 Year MSJC MVC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</si>
</sst>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40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3" fillId="0" borderId="36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40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1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40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5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23" fillId="0" borderId="36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0" fontId="30" fillId="0" borderId="12" xfId="0" applyFont="1" applyBorder="1"/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9" fontId="29" fillId="0" borderId="53" xfId="2" applyNumberFormat="1" applyFont="1" applyBorder="1" applyAlignment="1">
      <alignment horizontal="center" vertical="center"/>
    </xf>
    <xf numFmtId="0" fontId="16" fillId="0" borderId="54" xfId="2" applyFont="1" applyBorder="1" applyAlignment="1">
      <alignment horizontal="right"/>
    </xf>
    <xf numFmtId="0" fontId="22" fillId="0" borderId="54" xfId="2" applyFont="1" applyBorder="1" applyAlignment="1">
      <alignment horizontal="center"/>
    </xf>
    <xf numFmtId="0" fontId="30" fillId="0" borderId="14" xfId="0" applyFont="1" applyBorder="1"/>
    <xf numFmtId="0" fontId="25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1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6" xfId="117" applyNumberFormat="1" applyFont="1" applyBorder="1" applyAlignment="1">
      <alignment horizontal="center" vertical="center"/>
    </xf>
    <xf numFmtId="10" fontId="23" fillId="0" borderId="55" xfId="117" applyNumberFormat="1" applyFont="1" applyBorder="1" applyAlignment="1">
      <alignment horizontal="center" vertical="center"/>
    </xf>
    <xf numFmtId="10" fontId="29" fillId="0" borderId="46" xfId="117" applyNumberFormat="1" applyFont="1" applyBorder="1" applyAlignment="1">
      <alignment horizontal="center" vertical="center"/>
    </xf>
    <xf numFmtId="0" fontId="30" fillId="0" borderId="51" xfId="0" applyFont="1" applyBorder="1"/>
    <xf numFmtId="0" fontId="30" fillId="0" borderId="52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6" xfId="2" applyFont="1" applyBorder="1" applyAlignment="1">
      <alignment horizontal="center" vertical="center"/>
    </xf>
    <xf numFmtId="3" fontId="33" fillId="0" borderId="56" xfId="118" applyNumberFormat="1" applyFont="1" applyBorder="1" applyAlignment="1"/>
    <xf numFmtId="0" fontId="0" fillId="0" borderId="56" xfId="0" applyBorder="1"/>
    <xf numFmtId="0" fontId="0" fillId="0" borderId="48" xfId="0" applyBorder="1"/>
    <xf numFmtId="0" fontId="0" fillId="0" borderId="22" xfId="0" applyBorder="1"/>
    <xf numFmtId="0" fontId="0" fillId="0" borderId="0" xfId="0" applyBorder="1"/>
    <xf numFmtId="0" fontId="0" fillId="0" borderId="57" xfId="0" applyBorder="1"/>
    <xf numFmtId="0" fontId="19" fillId="0" borderId="54" xfId="49" applyBorder="1" applyAlignment="1" applyProtection="1"/>
    <xf numFmtId="0" fontId="0" fillId="0" borderId="55" xfId="0" applyBorder="1"/>
    <xf numFmtId="0" fontId="0" fillId="0" borderId="46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164" fontId="16" fillId="34" borderId="58" xfId="0" applyNumberFormat="1" applyFont="1" applyFill="1" applyBorder="1"/>
    <xf numFmtId="0" fontId="25" fillId="0" borderId="40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4" fillId="0" borderId="40" xfId="2" applyFont="1" applyBorder="1" applyAlignment="1">
      <alignment horizontal="center"/>
    </xf>
    <xf numFmtId="0" fontId="24" fillId="0" borderId="39" xfId="2" applyFont="1" applyBorder="1" applyAlignment="1">
      <alignment horizontal="center"/>
    </xf>
    <xf numFmtId="0" fontId="24" fillId="0" borderId="28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3" fontId="23" fillId="0" borderId="44" xfId="2" applyNumberFormat="1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42" xfId="2" applyFont="1" applyBorder="1" applyAlignment="1">
      <alignment horizont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7658</c:v>
                </c:pt>
                <c:pt idx="1">
                  <c:v>8341</c:v>
                </c:pt>
                <c:pt idx="2">
                  <c:v>8198</c:v>
                </c:pt>
                <c:pt idx="3">
                  <c:v>7167</c:v>
                </c:pt>
                <c:pt idx="4">
                  <c:v>6625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5063</c:v>
                </c:pt>
                <c:pt idx="1">
                  <c:v>5799</c:v>
                </c:pt>
                <c:pt idx="2">
                  <c:v>5955</c:v>
                </c:pt>
                <c:pt idx="3">
                  <c:v>5447</c:v>
                </c:pt>
                <c:pt idx="4">
                  <c:v>5206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92</c:v>
                </c:pt>
                <c:pt idx="1">
                  <c:v>188</c:v>
                </c:pt>
                <c:pt idx="2">
                  <c:v>150</c:v>
                </c:pt>
                <c:pt idx="3">
                  <c:v>128</c:v>
                </c:pt>
                <c:pt idx="4">
                  <c:v>103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8079232"/>
        <c:axId val="138085504"/>
      </c:barChart>
      <c:catAx>
        <c:axId val="13807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38085504"/>
        <c:crosses val="autoZero"/>
        <c:auto val="1"/>
        <c:lblAlgn val="ctr"/>
        <c:lblOffset val="100"/>
        <c:noMultiLvlLbl val="0"/>
      </c:catAx>
      <c:valAx>
        <c:axId val="138085504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8079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6073</c:v>
                </c:pt>
                <c:pt idx="1">
                  <c:v>6628</c:v>
                </c:pt>
                <c:pt idx="2">
                  <c:v>6423</c:v>
                </c:pt>
                <c:pt idx="3">
                  <c:v>5563</c:v>
                </c:pt>
                <c:pt idx="4">
                  <c:v>4964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3497</c:v>
                </c:pt>
                <c:pt idx="1">
                  <c:v>4002</c:v>
                </c:pt>
                <c:pt idx="2">
                  <c:v>4289</c:v>
                </c:pt>
                <c:pt idx="3">
                  <c:v>4143</c:v>
                </c:pt>
                <c:pt idx="4">
                  <c:v>4339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939</c:v>
                </c:pt>
                <c:pt idx="1">
                  <c:v>1137</c:v>
                </c:pt>
                <c:pt idx="2">
                  <c:v>1013</c:v>
                </c:pt>
                <c:pt idx="3">
                  <c:v>670</c:v>
                </c:pt>
                <c:pt idx="4">
                  <c:v>455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819</c:v>
                </c:pt>
                <c:pt idx="1">
                  <c:v>951</c:v>
                </c:pt>
                <c:pt idx="2">
                  <c:v>926</c:v>
                </c:pt>
                <c:pt idx="3">
                  <c:v>805</c:v>
                </c:pt>
                <c:pt idx="4">
                  <c:v>727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621</c:v>
                </c:pt>
                <c:pt idx="1">
                  <c:v>647</c:v>
                </c:pt>
                <c:pt idx="2">
                  <c:v>609</c:v>
                </c:pt>
                <c:pt idx="3">
                  <c:v>507</c:v>
                </c:pt>
                <c:pt idx="4">
                  <c:v>455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453</c:v>
                </c:pt>
                <c:pt idx="1">
                  <c:v>489</c:v>
                </c:pt>
                <c:pt idx="2">
                  <c:v>443</c:v>
                </c:pt>
                <c:pt idx="3">
                  <c:v>414</c:v>
                </c:pt>
                <c:pt idx="4">
                  <c:v>325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204</c:v>
                </c:pt>
                <c:pt idx="1">
                  <c:v>242</c:v>
                </c:pt>
                <c:pt idx="2">
                  <c:v>463</c:v>
                </c:pt>
                <c:pt idx="3">
                  <c:v>574</c:v>
                </c:pt>
                <c:pt idx="4">
                  <c:v>636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130</c:v>
                </c:pt>
                <c:pt idx="1">
                  <c:v>144</c:v>
                </c:pt>
                <c:pt idx="2">
                  <c:v>122</c:v>
                </c:pt>
                <c:pt idx="3">
                  <c:v>89</c:v>
                </c:pt>
                <c:pt idx="4">
                  <c:v>66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88</c:v>
                </c:pt>
                <c:pt idx="1">
                  <c:v>100</c:v>
                </c:pt>
                <c:pt idx="2">
                  <c:v>87</c:v>
                </c:pt>
                <c:pt idx="3">
                  <c:v>62</c:v>
                </c:pt>
                <c:pt idx="4">
                  <c:v>47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8179328"/>
        <c:axId val="138181248"/>
      </c:barChart>
      <c:catAx>
        <c:axId val="13817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38181248"/>
        <c:crosses val="autoZero"/>
        <c:auto val="1"/>
        <c:lblAlgn val="ctr"/>
        <c:lblOffset val="100"/>
        <c:noMultiLvlLbl val="0"/>
      </c:catAx>
      <c:valAx>
        <c:axId val="13818124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179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297</c:v>
                </c:pt>
                <c:pt idx="1">
                  <c:v>427</c:v>
                </c:pt>
                <c:pt idx="2">
                  <c:v>337</c:v>
                </c:pt>
                <c:pt idx="3">
                  <c:v>134</c:v>
                </c:pt>
                <c:pt idx="4">
                  <c:v>105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3297</c:v>
                </c:pt>
                <c:pt idx="1">
                  <c:v>3740</c:v>
                </c:pt>
                <c:pt idx="2">
                  <c:v>3641</c:v>
                </c:pt>
                <c:pt idx="3">
                  <c:v>2877</c:v>
                </c:pt>
                <c:pt idx="4">
                  <c:v>2586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4371</c:v>
                </c:pt>
                <c:pt idx="1">
                  <c:v>4888</c:v>
                </c:pt>
                <c:pt idx="2">
                  <c:v>4940</c:v>
                </c:pt>
                <c:pt idx="3">
                  <c:v>4919</c:v>
                </c:pt>
                <c:pt idx="4">
                  <c:v>4966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1505</c:v>
                </c:pt>
                <c:pt idx="1">
                  <c:v>1639</c:v>
                </c:pt>
                <c:pt idx="2">
                  <c:v>1739</c:v>
                </c:pt>
                <c:pt idx="3">
                  <c:v>1645</c:v>
                </c:pt>
                <c:pt idx="4">
                  <c:v>1471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865</c:v>
                </c:pt>
                <c:pt idx="1">
                  <c:v>1007</c:v>
                </c:pt>
                <c:pt idx="2">
                  <c:v>995</c:v>
                </c:pt>
                <c:pt idx="3">
                  <c:v>902</c:v>
                </c:pt>
                <c:pt idx="4">
                  <c:v>825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730</c:v>
                </c:pt>
                <c:pt idx="1">
                  <c:v>764</c:v>
                </c:pt>
                <c:pt idx="2">
                  <c:v>768</c:v>
                </c:pt>
                <c:pt idx="3">
                  <c:v>639</c:v>
                </c:pt>
                <c:pt idx="4">
                  <c:v>582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1116</c:v>
                </c:pt>
                <c:pt idx="1">
                  <c:v>1215</c:v>
                </c:pt>
                <c:pt idx="2">
                  <c:v>1212</c:v>
                </c:pt>
                <c:pt idx="3">
                  <c:v>1053</c:v>
                </c:pt>
                <c:pt idx="4">
                  <c:v>876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631</c:v>
                </c:pt>
                <c:pt idx="1">
                  <c:v>648</c:v>
                </c:pt>
                <c:pt idx="2">
                  <c:v>670</c:v>
                </c:pt>
                <c:pt idx="3">
                  <c:v>573</c:v>
                </c:pt>
                <c:pt idx="4">
                  <c:v>523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9469952"/>
        <c:axId val="139471872"/>
      </c:barChart>
      <c:catAx>
        <c:axId val="1394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39471872"/>
        <c:crosses val="autoZero"/>
        <c:auto val="1"/>
        <c:lblAlgn val="ctr"/>
        <c:lblOffset val="100"/>
        <c:noMultiLvlLbl val="0"/>
      </c:catAx>
      <c:valAx>
        <c:axId val="13947187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9469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gender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Ethnic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SPS/BASE/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297</v>
          </cell>
          <cell r="C5">
            <v>427</v>
          </cell>
          <cell r="D5">
            <v>337</v>
          </cell>
          <cell r="E5">
            <v>134</v>
          </cell>
          <cell r="F5">
            <v>105</v>
          </cell>
          <cell r="G5">
            <v>1300</v>
          </cell>
        </row>
        <row r="6">
          <cell r="A6" t="str">
            <v>18 &amp; 19</v>
          </cell>
          <cell r="B6">
            <v>3297</v>
          </cell>
          <cell r="C6">
            <v>3740</v>
          </cell>
          <cell r="D6">
            <v>3641</v>
          </cell>
          <cell r="E6">
            <v>2877</v>
          </cell>
          <cell r="F6">
            <v>2586</v>
          </cell>
          <cell r="G6">
            <v>16141</v>
          </cell>
        </row>
        <row r="7">
          <cell r="A7" t="str">
            <v>20 to 24</v>
          </cell>
          <cell r="B7">
            <v>4371</v>
          </cell>
          <cell r="C7">
            <v>4888</v>
          </cell>
          <cell r="D7">
            <v>4940</v>
          </cell>
          <cell r="E7">
            <v>4919</v>
          </cell>
          <cell r="F7">
            <v>4966</v>
          </cell>
          <cell r="G7">
            <v>24084</v>
          </cell>
        </row>
        <row r="8">
          <cell r="A8" t="str">
            <v>25 to 29</v>
          </cell>
          <cell r="B8">
            <v>1505</v>
          </cell>
          <cell r="C8">
            <v>1639</v>
          </cell>
          <cell r="D8">
            <v>1739</v>
          </cell>
          <cell r="E8">
            <v>1645</v>
          </cell>
          <cell r="F8">
            <v>1471</v>
          </cell>
          <cell r="G8">
            <v>7999</v>
          </cell>
        </row>
        <row r="9">
          <cell r="A9" t="str">
            <v>30 to 34</v>
          </cell>
          <cell r="B9">
            <v>865</v>
          </cell>
          <cell r="C9">
            <v>1007</v>
          </cell>
          <cell r="D9">
            <v>995</v>
          </cell>
          <cell r="E9">
            <v>902</v>
          </cell>
          <cell r="F9">
            <v>825</v>
          </cell>
          <cell r="G9">
            <v>4594</v>
          </cell>
        </row>
        <row r="10">
          <cell r="A10" t="str">
            <v>35 to 39</v>
          </cell>
          <cell r="B10">
            <v>730</v>
          </cell>
          <cell r="C10">
            <v>764</v>
          </cell>
          <cell r="D10">
            <v>768</v>
          </cell>
          <cell r="E10">
            <v>639</v>
          </cell>
          <cell r="F10">
            <v>582</v>
          </cell>
          <cell r="G10">
            <v>3483</v>
          </cell>
        </row>
        <row r="11">
          <cell r="A11" t="str">
            <v>40 to 49</v>
          </cell>
          <cell r="B11">
            <v>1116</v>
          </cell>
          <cell r="C11">
            <v>1215</v>
          </cell>
          <cell r="D11">
            <v>1212</v>
          </cell>
          <cell r="E11">
            <v>1053</v>
          </cell>
          <cell r="F11">
            <v>876</v>
          </cell>
          <cell r="G11">
            <v>5472</v>
          </cell>
        </row>
        <row r="12">
          <cell r="A12" t="str">
            <v>50 +</v>
          </cell>
          <cell r="B12">
            <v>631</v>
          </cell>
          <cell r="C12">
            <v>648</v>
          </cell>
          <cell r="D12">
            <v>670</v>
          </cell>
          <cell r="E12">
            <v>573</v>
          </cell>
          <cell r="F12">
            <v>523</v>
          </cell>
          <cell r="G12">
            <v>3045</v>
          </cell>
        </row>
        <row r="13">
          <cell r="A13" t="str">
            <v>unknown</v>
          </cell>
          <cell r="B13">
            <v>1</v>
          </cell>
          <cell r="C13"/>
          <cell r="D13">
            <v>1</v>
          </cell>
          <cell r="E13"/>
          <cell r="F13"/>
          <cell r="G13">
            <v>2</v>
          </cell>
        </row>
        <row r="14">
          <cell r="A14" t="str">
            <v>Grand Total</v>
          </cell>
          <cell r="B14">
            <v>12813</v>
          </cell>
          <cell r="C14">
            <v>14328</v>
          </cell>
          <cell r="D14">
            <v>14303</v>
          </cell>
          <cell r="E14">
            <v>12742</v>
          </cell>
          <cell r="F14">
            <v>11934</v>
          </cell>
          <cell r="G14">
            <v>66120</v>
          </cell>
        </row>
        <row r="21">
          <cell r="B21"/>
          <cell r="C21"/>
          <cell r="D21"/>
          <cell r="E21"/>
          <cell r="F21"/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5063</v>
          </cell>
          <cell r="C5">
            <v>5799</v>
          </cell>
          <cell r="D5">
            <v>5955</v>
          </cell>
          <cell r="E5">
            <v>5447</v>
          </cell>
          <cell r="F5">
            <v>5206</v>
          </cell>
          <cell r="G5">
            <v>27470</v>
          </cell>
        </row>
        <row r="6">
          <cell r="A6" t="str">
            <v>F</v>
          </cell>
          <cell r="B6">
            <v>7658</v>
          </cell>
          <cell r="C6">
            <v>8341</v>
          </cell>
          <cell r="D6">
            <v>8198</v>
          </cell>
          <cell r="E6">
            <v>7167</v>
          </cell>
          <cell r="F6">
            <v>6625</v>
          </cell>
          <cell r="G6">
            <v>37989</v>
          </cell>
        </row>
        <row r="7">
          <cell r="A7" t="str">
            <v>(blank)</v>
          </cell>
          <cell r="B7">
            <v>92</v>
          </cell>
          <cell r="C7">
            <v>188</v>
          </cell>
          <cell r="D7">
            <v>150</v>
          </cell>
          <cell r="E7">
            <v>128</v>
          </cell>
          <cell r="F7">
            <v>103</v>
          </cell>
          <cell r="G7">
            <v>661</v>
          </cell>
        </row>
        <row r="8">
          <cell r="A8" t="str">
            <v>Grand Total</v>
          </cell>
          <cell r="B8">
            <v>12813</v>
          </cell>
          <cell r="C8">
            <v>14328</v>
          </cell>
          <cell r="D8">
            <v>14303</v>
          </cell>
          <cell r="E8">
            <v>12742</v>
          </cell>
          <cell r="F8">
            <v>11934</v>
          </cell>
          <cell r="G8">
            <v>66120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3482</v>
          </cell>
          <cell r="C4">
            <v>3985</v>
          </cell>
          <cell r="D4">
            <v>4154</v>
          </cell>
          <cell r="E4">
            <v>4015</v>
          </cell>
          <cell r="F4">
            <v>4213</v>
          </cell>
        </row>
        <row r="5">
          <cell r="A5" t="str">
            <v>Grand Total</v>
          </cell>
          <cell r="B5">
            <v>15</v>
          </cell>
          <cell r="C5">
            <v>17</v>
          </cell>
          <cell r="D5">
            <v>135</v>
          </cell>
          <cell r="E5">
            <v>128</v>
          </cell>
          <cell r="F5">
            <v>126</v>
          </cell>
        </row>
        <row r="6">
          <cell r="A6" t="str">
            <v>Hispanic</v>
          </cell>
          <cell r="B6">
            <v>3497</v>
          </cell>
          <cell r="C6">
            <v>4002</v>
          </cell>
          <cell r="D6">
            <v>4289</v>
          </cell>
          <cell r="E6">
            <v>4143</v>
          </cell>
          <cell r="F6">
            <v>4339</v>
          </cell>
        </row>
        <row r="7">
          <cell r="A7"/>
        </row>
        <row r="8">
          <cell r="A8"/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6073</v>
          </cell>
          <cell r="C5">
            <v>6628</v>
          </cell>
          <cell r="D5">
            <v>6423</v>
          </cell>
          <cell r="E5">
            <v>5563</v>
          </cell>
          <cell r="F5">
            <v>4964</v>
          </cell>
          <cell r="G5">
            <v>29651</v>
          </cell>
        </row>
        <row r="6">
          <cell r="A6" t="str">
            <v>B</v>
          </cell>
          <cell r="B6">
            <v>819</v>
          </cell>
          <cell r="C6">
            <v>951</v>
          </cell>
          <cell r="D6">
            <v>926</v>
          </cell>
          <cell r="E6">
            <v>805</v>
          </cell>
          <cell r="F6">
            <v>727</v>
          </cell>
          <cell r="G6">
            <v>4228</v>
          </cell>
        </row>
        <row r="7">
          <cell r="A7" t="str">
            <v>A</v>
          </cell>
          <cell r="B7">
            <v>453</v>
          </cell>
          <cell r="C7">
            <v>489</v>
          </cell>
          <cell r="D7">
            <v>443</v>
          </cell>
          <cell r="E7">
            <v>414</v>
          </cell>
          <cell r="F7">
            <v>325</v>
          </cell>
          <cell r="G7">
            <v>2124</v>
          </cell>
        </row>
        <row r="8">
          <cell r="A8" t="str">
            <v>N</v>
          </cell>
          <cell r="B8">
            <v>130</v>
          </cell>
          <cell r="C8">
            <v>144</v>
          </cell>
          <cell r="D8">
            <v>122</v>
          </cell>
          <cell r="E8">
            <v>89</v>
          </cell>
          <cell r="F8">
            <v>66</v>
          </cell>
          <cell r="G8">
            <v>551</v>
          </cell>
        </row>
        <row r="9">
          <cell r="A9" t="str">
            <v>F</v>
          </cell>
          <cell r="B9">
            <v>621</v>
          </cell>
          <cell r="C9">
            <v>647</v>
          </cell>
          <cell r="D9">
            <v>609</v>
          </cell>
          <cell r="E9">
            <v>507</v>
          </cell>
          <cell r="F9">
            <v>455</v>
          </cell>
          <cell r="G9">
            <v>2839</v>
          </cell>
        </row>
        <row r="10">
          <cell r="A10" t="str">
            <v>P</v>
          </cell>
          <cell r="B10">
            <v>88</v>
          </cell>
          <cell r="C10">
            <v>100</v>
          </cell>
          <cell r="D10">
            <v>87</v>
          </cell>
          <cell r="E10">
            <v>62</v>
          </cell>
          <cell r="F10">
            <v>47</v>
          </cell>
          <cell r="G10">
            <v>384</v>
          </cell>
        </row>
        <row r="11">
          <cell r="A11" t="str">
            <v>Grand Total</v>
          </cell>
          <cell r="B11">
            <v>8184</v>
          </cell>
          <cell r="C11">
            <v>8959</v>
          </cell>
          <cell r="D11">
            <v>8610</v>
          </cell>
          <cell r="E11">
            <v>7440</v>
          </cell>
          <cell r="F11">
            <v>6584</v>
          </cell>
          <cell r="G11">
            <v>39777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/>
          <cell r="C5">
            <v>939</v>
          </cell>
          <cell r="D5">
            <v>1137</v>
          </cell>
          <cell r="E5">
            <v>1013</v>
          </cell>
          <cell r="F5">
            <v>670</v>
          </cell>
          <cell r="G5">
            <v>455</v>
          </cell>
        </row>
        <row r="6">
          <cell r="A6" t="str">
            <v>U</v>
          </cell>
          <cell r="B6" t="str">
            <v>Grand Total</v>
          </cell>
          <cell r="C6">
            <v>939</v>
          </cell>
          <cell r="D6">
            <v>1137</v>
          </cell>
          <cell r="E6">
            <v>1013</v>
          </cell>
          <cell r="F6">
            <v>670</v>
          </cell>
          <cell r="G6">
            <v>455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193</v>
          </cell>
          <cell r="D5">
            <v>230</v>
          </cell>
          <cell r="E5">
            <v>391</v>
          </cell>
          <cell r="F5">
            <v>489</v>
          </cell>
          <cell r="G5">
            <v>556</v>
          </cell>
        </row>
      </sheetData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5373171295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92" maxValue="7658"/>
    </cacheField>
    <cacheField name="AY07-08%" numFmtId="0">
      <sharedItems containsSemiMixedTypes="0" containsString="0" containsNumber="1" minValue="7.18020760165457E-3" maxValue="0.59767423710294232"/>
    </cacheField>
    <cacheField name="AY08-09#" numFmtId="0">
      <sharedItems containsSemiMixedTypes="0" containsString="0" containsNumber="1" containsInteger="1" minValue="188" maxValue="8341"/>
    </cacheField>
    <cacheField name="AY08-09%" numFmtId="0">
      <sharedItems containsSemiMixedTypes="0" containsString="0" containsNumber="1" minValue="1.3121161362367392E-2" maxValue="0.58214684533780015"/>
    </cacheField>
    <cacheField name="AY09-10#" numFmtId="0">
      <sharedItems containsSemiMixedTypes="0" containsString="0" containsNumber="1" containsInteger="1" minValue="150" maxValue="8198"/>
    </cacheField>
    <cacheField name="AY09-10%" numFmtId="0">
      <sharedItems containsSemiMixedTypes="0" containsString="0" containsNumber="1" minValue="1.0487310354471089E-2" maxValue="0.57316646857302667"/>
    </cacheField>
    <cacheField name="AY10-11#" numFmtId="0">
      <sharedItems containsSemiMixedTypes="0" containsString="0" containsNumber="1" containsInteger="1" minValue="128" maxValue="7167"/>
    </cacheField>
    <cacheField name="AY10-11%" numFmtId="0">
      <sharedItems containsSemiMixedTypes="0" containsString="0" containsNumber="1" minValue="1.0045518756867053E-2" maxValue="0.56247056976926701"/>
    </cacheField>
    <cacheField name="AY11-12#" numFmtId="0">
      <sharedItems containsSemiMixedTypes="0" containsString="0" containsNumber="1" containsInteger="1" minValue="103" maxValue="6625"/>
    </cacheField>
    <cacheField name="AY11-12%" numFmtId="0">
      <sharedItems containsSemiMixedTypes="0" containsString="0" containsNumber="1" minValue="8.6308027484498073E-3" maxValue="0.55513658454834924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53770486108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88" maxValue="6073"/>
    </cacheField>
    <cacheField name="AY07-08%" numFmtId="0">
      <sharedItems containsSemiMixedTypes="0" containsString="0" containsNumber="1" minValue="6.8621334996880846E-3" maxValue="0.47356519026824706"/>
    </cacheField>
    <cacheField name="AY08-09#" numFmtId="0">
      <sharedItems containsSemiMixedTypes="0" containsString="0" containsNumber="1" containsInteger="1" minValue="100" maxValue="6628"/>
    </cacheField>
    <cacheField name="AY08-09%" numFmtId="0">
      <sharedItems containsSemiMixedTypes="0" containsString="0" containsNumber="1" minValue="6.9735006973500697E-3" maxValue="0.4622036262203626"/>
    </cacheField>
    <cacheField name="AY09-10#" numFmtId="0">
      <sharedItems containsSemiMixedTypes="0" containsString="0" containsNumber="1" containsInteger="1" minValue="87" maxValue="6423"/>
    </cacheField>
    <cacheField name="AY09-10%" numFmtId="0">
      <sharedItems containsSemiMixedTypes="0" containsString="0" containsNumber="1" minValue="6.0521739130434786E-3" maxValue="0.44681739130434783"/>
    </cacheField>
    <cacheField name="AY10-11#" numFmtId="0">
      <sharedItems containsSemiMixedTypes="0" containsString="0" containsNumber="1" containsInteger="1" minValue="62" maxValue="5563"/>
    </cacheField>
    <cacheField name="AY10-11%" numFmtId="0">
      <sharedItems containsSemiMixedTypes="0" containsString="0" containsNumber="1" minValue="4.8335542215638891E-3" maxValue="0.43369455055741796"/>
    </cacheField>
    <cacheField name="AY11-12#" numFmtId="0">
      <sharedItems containsSemiMixedTypes="0" containsString="0" containsNumber="1" containsInteger="1" minValue="47" maxValue="4964"/>
    </cacheField>
    <cacheField name="AY11-12%" numFmtId="0">
      <sharedItems containsSemiMixedTypes="0" containsString="0" containsNumber="1" minValue="3.9121025470284666E-3" maxValue="0.4131846179457299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53858101851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4371"/>
    </cacheField>
    <cacheField name="AY07-08%" numFmtId="0">
      <sharedItems containsSemiMixedTypes="0" containsString="0" containsNumber="1" minValue="7.804573480059315E-5" maxValue="0.34113790681339262"/>
    </cacheField>
    <cacheField name="AY08-09#" numFmtId="0">
      <sharedItems containsSemiMixedTypes="0" containsString="0" containsNumber="1" containsInteger="1" minValue="0" maxValue="4888"/>
    </cacheField>
    <cacheField name="AY08-09%" numFmtId="0">
      <sharedItems containsSemiMixedTypes="0" containsString="0" containsNumber="1" minValue="0" maxValue="0.34115019542155223"/>
    </cacheField>
    <cacheField name="AY09-10#" numFmtId="0">
      <sharedItems containsSemiMixedTypes="0" containsString="0" containsNumber="1" containsInteger="1" minValue="1" maxValue="4940"/>
    </cacheField>
    <cacheField name="AY09-10%" numFmtId="0">
      <sharedItems containsSemiMixedTypes="0" containsString="0" containsNumber="1" minValue="6.9915402363140606E-5" maxValue="0.34538208767391454"/>
    </cacheField>
    <cacheField name="AY10-11#" numFmtId="0">
      <sharedItems containsSemiMixedTypes="0" containsString="0" containsNumber="1" containsInteger="1" minValue="0" maxValue="4919"/>
    </cacheField>
    <cacheField name="AY10-11%" numFmtId="0">
      <sharedItems containsSemiMixedTypes="0" containsString="0" containsNumber="1" minValue="0" maxValue="0.38604614660178938"/>
    </cacheField>
    <cacheField name="AY11-12#" numFmtId="0">
      <sharedItems containsSemiMixedTypes="0" containsString="0" containsNumber="1" containsInteger="1" minValue="0" maxValue="4966"/>
    </cacheField>
    <cacheField name="AY11-12%" numFmtId="0">
      <sharedItems containsSemiMixedTypes="0" containsString="0" containsNumber="1" minValue="0" maxValue="0.4161220043572984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7658"/>
    <n v="0.59767423710294232"/>
    <n v="8341"/>
    <n v="0.58214684533780015"/>
    <n v="8198"/>
    <n v="0.57316646857302667"/>
    <n v="7167"/>
    <n v="0.56247056976926701"/>
    <n v="6625"/>
    <n v="0.55513658454834924"/>
    <n v="425726"/>
    <n v="0.50871708836104401"/>
  </r>
  <r>
    <x v="1"/>
    <n v="5063"/>
    <n v="0.39514555529540313"/>
    <n v="5799"/>
    <n v="0.4047319932998325"/>
    <n v="5955"/>
    <n v="0.4163462210725023"/>
    <n v="5447"/>
    <n v="0.42748391147386594"/>
    <n v="5206"/>
    <n v="0.43623261270320096"/>
    <n v="411136"/>
    <n v="0.49128291163895599"/>
  </r>
  <r>
    <x v="2"/>
    <n v="92"/>
    <n v="7.18020760165457E-3"/>
    <n v="188"/>
    <n v="1.3121161362367392E-2"/>
    <n v="150"/>
    <n v="1.0487310354471089E-2"/>
    <n v="128"/>
    <n v="1.0045518756867053E-2"/>
    <n v="103"/>
    <n v="8.630802748449807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6073"/>
    <n v="0.47356519026824706"/>
    <n v="6628"/>
    <n v="0.4622036262203626"/>
    <n v="6423"/>
    <n v="0.44681739130434783"/>
    <n v="5563"/>
    <n v="0.43369455055741796"/>
    <n v="4964"/>
    <n v="0.41318461794572997"/>
    <n v="398271"/>
    <n v="0.47591000666776601"/>
  </r>
  <r>
    <x v="1"/>
    <n v="3497"/>
    <n v="0.27269182782283219"/>
    <n v="4002"/>
    <n v="0.27907949790794978"/>
    <n v="4289"/>
    <n v="0.29836521739130434"/>
    <n v="4143"/>
    <n v="0.32299056677321275"/>
    <n v="4339"/>
    <n v="0.36116197769269187"/>
    <n v="318674"/>
    <n v="0.38079635591053246"/>
  </r>
  <r>
    <x v="2"/>
    <n v="819"/>
    <n v="6.3864628820960695E-2"/>
    <n v="951"/>
    <n v="6.6317991631799161E-2"/>
    <n v="926"/>
    <n v="6.4417391304347829E-2"/>
    <n v="805"/>
    <n v="6.275824432836985E-2"/>
    <n v="727"/>
    <n v="6.0512735142333941E-2"/>
    <n v="43085"/>
    <n v="5.1483996166632011E-2"/>
  </r>
  <r>
    <x v="3"/>
    <n v="453"/>
    <n v="3.5324391765439798E-2"/>
    <n v="489"/>
    <n v="3.4100418410041841E-2"/>
    <n v="443"/>
    <n v="3.0817391304347828E-2"/>
    <n v="414"/>
    <n v="3.2275668511733066E-2"/>
    <n v="325"/>
    <n v="2.7051772931579822E-2"/>
    <n v="21251"/>
    <n v="2.5393673030917881E-2"/>
  </r>
  <r>
    <x v="4"/>
    <n v="130"/>
    <n v="1.0137242669993761E-2"/>
    <n v="144"/>
    <n v="1.00418410041841E-2"/>
    <n v="122"/>
    <n v="8.4869565217391297E-3"/>
    <n v="89"/>
    <n v="6.9384891245030016E-3"/>
    <n v="66"/>
    <n v="5.493590810720826E-3"/>
    <n v="6071"/>
    <n v="7.254481623015503E-3"/>
  </r>
  <r>
    <x v="5"/>
    <n v="621"/>
    <n v="4.8424828446662509E-2"/>
    <n v="647"/>
    <n v="4.5118549511854948E-2"/>
    <n v="609"/>
    <n v="4.2365217391304347E-2"/>
    <n v="507"/>
    <n v="3.9525999844078896E-2"/>
    <n v="455"/>
    <n v="3.7872482104211756E-2"/>
    <n v="23365"/>
    <n v="2.7919776498395197E-2"/>
  </r>
  <r>
    <x v="6"/>
    <n v="88"/>
    <n v="6.8621334996880846E-3"/>
    <n v="100"/>
    <n v="6.9735006973500697E-3"/>
    <n v="87"/>
    <n v="6.0521739130434786E-3"/>
    <n v="62"/>
    <n v="4.8335542215638891E-3"/>
    <n v="47"/>
    <n v="3.9121025470284666E-3"/>
    <n v="2305"/>
    <n v="2.7543370352579037E-3"/>
  </r>
  <r>
    <x v="7"/>
    <n v="204"/>
    <n v="1.5907673112913287E-2"/>
    <n v="242"/>
    <n v="1.6875871687587168E-2"/>
    <n v="463"/>
    <n v="3.2208695652173915E-2"/>
    <n v="574"/>
    <n v="4.4749356825446326E-2"/>
    <n v="636"/>
    <n v="5.2938238721491594E-2"/>
    <n v="22553"/>
    <n v="2.6949485100291326E-2"/>
  </r>
  <r>
    <x v="8"/>
    <n v="939"/>
    <n v="7.3222083593262627E-2"/>
    <n v="1137"/>
    <n v="7.9288702928870289E-2"/>
    <n v="1013"/>
    <n v="7.0469565217391311E-2"/>
    <n v="670"/>
    <n v="5.2233569813674281E-2"/>
    <n v="455"/>
    <n v="3.78724821042117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297"/>
    <n v="2.3179583235776166E-2"/>
    <n v="427"/>
    <n v="2.980178671133445E-2"/>
    <n v="337"/>
    <n v="2.3561490596378382E-2"/>
    <n v="134"/>
    <n v="1.0516402448595197E-2"/>
    <n v="105"/>
    <n v="8.7983911513323278E-3"/>
    <n v="245217"/>
    <n v="0.29301963764635031"/>
  </r>
  <r>
    <x v="1"/>
    <n v="3297"/>
    <n v="0.25731678763755561"/>
    <n v="3740"/>
    <n v="0.26102735901730878"/>
    <n v="3641"/>
    <n v="0.25456198000419494"/>
    <n v="2877"/>
    <n v="0.22578873018364465"/>
    <n v="2586"/>
    <n v="0.21669180492709905"/>
    <n v="25706"/>
    <n v="3.0717131378889231E-2"/>
  </r>
  <r>
    <x v="2"/>
    <n v="4371"/>
    <n v="0.34113790681339262"/>
    <n v="4888"/>
    <n v="0.34115019542155223"/>
    <n v="4940"/>
    <n v="0.34538208767391454"/>
    <n v="4919"/>
    <n v="0.38604614660178938"/>
    <n v="4966"/>
    <n v="0.41612200435729846"/>
    <n v="52893"/>
    <n v="6.3203969113187125E-2"/>
  </r>
  <r>
    <x v="3"/>
    <n v="1505"/>
    <n v="0.11745883087489269"/>
    <n v="1639"/>
    <n v="0.11439140145170296"/>
    <n v="1739"/>
    <n v="0.1215828847095015"/>
    <n v="1645"/>
    <n v="0.12910061214879925"/>
    <n v="1471"/>
    <n v="0.12326127032009385"/>
    <n v="52166"/>
    <n v="6.2335247627446341E-2"/>
  </r>
  <r>
    <x v="4"/>
    <n v="865"/>
    <n v="6.7509560602513077E-2"/>
    <n v="1007"/>
    <n v="7.0281965382467892E-2"/>
    <n v="995"/>
    <n v="6.9565825351324898E-2"/>
    <n v="902"/>
    <n v="7.078951498979752E-2"/>
    <n v="825"/>
    <n v="6.9130216189039723E-2"/>
    <n v="52145"/>
    <n v="6.2310153884391928E-2"/>
  </r>
  <r>
    <x v="5"/>
    <n v="730"/>
    <n v="5.6973386404432995E-2"/>
    <n v="764"/>
    <n v="5.3322166387493021E-2"/>
    <n v="768"/>
    <n v="5.3695029014891982E-2"/>
    <n v="639"/>
    <n v="5.0149113169047244E-2"/>
    <n v="582"/>
    <n v="4.8768225238813474E-2"/>
    <n v="55384"/>
    <n v="6.6180565015498377E-2"/>
  </r>
  <r>
    <x v="6"/>
    <n v="1116"/>
    <n v="8.7099040037461953E-2"/>
    <n v="1215"/>
    <n v="8.4798994974874378E-2"/>
    <n v="1212"/>
    <n v="8.4737467664126404E-2"/>
    <n v="1053"/>
    <n v="8.2640087898289125E-2"/>
    <n v="876"/>
    <n v="7.3403720462543995E-2"/>
    <n v="116401"/>
    <n v="0.13909222787030598"/>
  </r>
  <r>
    <x v="7"/>
    <n v="631"/>
    <n v="4.9246858659174275E-2"/>
    <n v="648"/>
    <n v="4.5226130653266333E-2"/>
    <n v="670"/>
    <n v="4.6843319583304205E-2"/>
    <n v="573"/>
    <n v="4.4969392560037673E-2"/>
    <n v="523"/>
    <n v="4.382436735377912E-2"/>
    <n v="236950"/>
    <n v="0.28314106746393075"/>
  </r>
  <r>
    <x v="8"/>
    <n v="1"/>
    <n v="7.804573480059315E-5"/>
    <n v="0"/>
    <n v="0"/>
    <n v="1"/>
    <n v="6.9915402363140606E-5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abSelected="1" workbookViewId="0">
      <selection activeCell="P13" sqref="P13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7.85546875" bestFit="1" customWidth="1"/>
    <col min="13" max="13" width="5.7109375" bestFit="1" customWidth="1"/>
    <col min="14" max="14" width="9.85546875" bestFit="1" customWidth="1"/>
  </cols>
  <sheetData>
    <row r="1" spans="1:14" ht="15.75" customHeight="1" thickBot="1" x14ac:dyDescent="0.3">
      <c r="A1" s="125" t="s">
        <v>0</v>
      </c>
      <c r="B1" s="120" t="s">
        <v>59</v>
      </c>
      <c r="C1" s="121"/>
      <c r="D1" s="121"/>
      <c r="E1" s="121"/>
      <c r="F1" s="121"/>
      <c r="G1" s="121"/>
      <c r="H1" s="121"/>
      <c r="I1" s="121"/>
      <c r="J1" s="121"/>
      <c r="K1" s="122"/>
      <c r="L1" s="123" t="s">
        <v>1</v>
      </c>
      <c r="M1" s="124"/>
      <c r="N1" s="24" t="s">
        <v>2</v>
      </c>
    </row>
    <row r="2" spans="1:14" ht="15.75" customHeight="1" thickBot="1" x14ac:dyDescent="0.3">
      <c r="A2" s="126"/>
      <c r="B2" s="116" t="s">
        <v>3</v>
      </c>
      <c r="C2" s="117"/>
      <c r="D2" s="116" t="s">
        <v>4</v>
      </c>
      <c r="E2" s="117"/>
      <c r="F2" s="116" t="s">
        <v>5</v>
      </c>
      <c r="G2" s="117"/>
      <c r="H2" s="116" t="s">
        <v>6</v>
      </c>
      <c r="I2" s="117"/>
      <c r="J2" s="116" t="s">
        <v>7</v>
      </c>
      <c r="K2" s="117"/>
      <c r="L2" s="118" t="s">
        <v>40</v>
      </c>
      <c r="M2" s="119"/>
      <c r="N2" s="25" t="s">
        <v>8</v>
      </c>
    </row>
    <row r="3" spans="1:14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29" t="s">
        <v>10</v>
      </c>
      <c r="M3" s="64" t="s">
        <v>11</v>
      </c>
      <c r="N3" s="35" t="s">
        <v>11</v>
      </c>
    </row>
    <row r="4" spans="1:14" x14ac:dyDescent="0.25">
      <c r="A4" s="36" t="s">
        <v>12</v>
      </c>
      <c r="B4" s="39">
        <f>gender!A3</f>
        <v>7658</v>
      </c>
      <c r="C4" s="59">
        <f>B4/B$7</f>
        <v>0.59767423710294232</v>
      </c>
      <c r="D4" s="39">
        <f>gender!B3</f>
        <v>8341</v>
      </c>
      <c r="E4" s="59">
        <f>D4/D$7</f>
        <v>0.58214684533780015</v>
      </c>
      <c r="F4" s="39">
        <f>gender!C3</f>
        <v>8198</v>
      </c>
      <c r="G4" s="59">
        <f>F4/F$7</f>
        <v>0.57316646857302667</v>
      </c>
      <c r="H4" s="39">
        <f>gender!D3</f>
        <v>7167</v>
      </c>
      <c r="I4" s="59">
        <f>H4/H$7</f>
        <v>0.56247056976926701</v>
      </c>
      <c r="J4" s="62">
        <f>gender!E3</f>
        <v>6625</v>
      </c>
      <c r="K4" s="63">
        <f>J4/J$7</f>
        <v>0.55513658454834924</v>
      </c>
      <c r="L4" s="65">
        <v>425726</v>
      </c>
      <c r="M4" s="66">
        <f>L4/L$7</f>
        <v>0.50871708836104401</v>
      </c>
      <c r="N4" s="71">
        <f>K4-M4</f>
        <v>4.6419496187305231E-2</v>
      </c>
    </row>
    <row r="5" spans="1:14" x14ac:dyDescent="0.25">
      <c r="A5" s="37" t="s">
        <v>13</v>
      </c>
      <c r="B5" s="40">
        <f>gender!A4</f>
        <v>5063</v>
      </c>
      <c r="C5" s="60">
        <f>B5/B$7</f>
        <v>0.39514555529540313</v>
      </c>
      <c r="D5" s="40">
        <f>gender!B4</f>
        <v>5799</v>
      </c>
      <c r="E5" s="60">
        <f>D5/D$7</f>
        <v>0.4047319932998325</v>
      </c>
      <c r="F5" s="40">
        <f>gender!C4</f>
        <v>5955</v>
      </c>
      <c r="G5" s="60">
        <f>F5/F$7</f>
        <v>0.4163462210725023</v>
      </c>
      <c r="H5" s="40">
        <f>gender!D4</f>
        <v>5447</v>
      </c>
      <c r="I5" s="60">
        <f>H5/H$7</f>
        <v>0.42748391147386594</v>
      </c>
      <c r="J5" s="40">
        <f>gender!E4</f>
        <v>5206</v>
      </c>
      <c r="K5" s="60">
        <f>J5/J$7</f>
        <v>0.43623261270320096</v>
      </c>
      <c r="L5" s="67">
        <v>411136</v>
      </c>
      <c r="M5" s="68">
        <f>L5/L$7</f>
        <v>0.49128291163895599</v>
      </c>
      <c r="N5" s="72">
        <f>K5-M5</f>
        <v>-5.5050298935755027E-2</v>
      </c>
    </row>
    <row r="6" spans="1:14" ht="15.75" thickBot="1" x14ac:dyDescent="0.3">
      <c r="A6" s="38" t="s">
        <v>14</v>
      </c>
      <c r="B6" s="41">
        <f>gender!A5</f>
        <v>92</v>
      </c>
      <c r="C6" s="61">
        <f>B6/B$7</f>
        <v>7.18020760165457E-3</v>
      </c>
      <c r="D6" s="41">
        <f>gender!B5</f>
        <v>188</v>
      </c>
      <c r="E6" s="61">
        <f>D6/D$7</f>
        <v>1.3121161362367392E-2</v>
      </c>
      <c r="F6" s="41">
        <f>gender!C5</f>
        <v>150</v>
      </c>
      <c r="G6" s="61">
        <f>F6/F$7</f>
        <v>1.0487310354471089E-2</v>
      </c>
      <c r="H6" s="41">
        <f>gender!D5</f>
        <v>128</v>
      </c>
      <c r="I6" s="61">
        <f>H6/H$7</f>
        <v>1.0045518756867053E-2</v>
      </c>
      <c r="J6" s="41">
        <f>gender!E5</f>
        <v>103</v>
      </c>
      <c r="K6" s="61">
        <f>J6/J$7</f>
        <v>8.6308027484498073E-3</v>
      </c>
      <c r="L6" s="69">
        <v>0</v>
      </c>
      <c r="M6" s="70">
        <f>L6/L$7</f>
        <v>0</v>
      </c>
      <c r="N6" s="73">
        <f>K6-M6</f>
        <v>8.6308027484498073E-3</v>
      </c>
    </row>
    <row r="7" spans="1:14" ht="16.5" thickTop="1" thickBot="1" x14ac:dyDescent="0.3">
      <c r="A7" s="20" t="s">
        <v>15</v>
      </c>
      <c r="B7" s="27">
        <f>SUM(B4:B6)</f>
        <v>12813</v>
      </c>
      <c r="C7" s="21"/>
      <c r="D7" s="27">
        <f>SUM(D4:D6)</f>
        <v>14328</v>
      </c>
      <c r="E7" s="21"/>
      <c r="F7" s="27">
        <f>SUM(F4:F6)</f>
        <v>14303</v>
      </c>
      <c r="G7" s="21"/>
      <c r="H7" s="27">
        <f>SUM(H4:H6)</f>
        <v>12742</v>
      </c>
      <c r="I7" s="21"/>
      <c r="J7" s="27">
        <f>SUM(J4:J6)</f>
        <v>11934</v>
      </c>
      <c r="K7" s="19"/>
      <c r="L7" s="32">
        <f>SUM(L4:L6)</f>
        <v>836862</v>
      </c>
      <c r="M7" s="22"/>
      <c r="N7" s="22"/>
    </row>
    <row r="8" spans="1:14" s="31" customFormat="1" x14ac:dyDescent="0.25">
      <c r="A8" s="109" t="s">
        <v>52</v>
      </c>
      <c r="B8" s="46"/>
      <c r="C8" s="10"/>
      <c r="D8" s="46"/>
      <c r="E8" s="10"/>
      <c r="F8" s="46"/>
      <c r="G8" s="10"/>
      <c r="H8" s="46"/>
      <c r="I8" s="10"/>
      <c r="J8" s="46"/>
      <c r="K8" s="10"/>
      <c r="L8" s="47"/>
      <c r="M8" s="22"/>
      <c r="N8" s="22"/>
    </row>
    <row r="9" spans="1:14" s="31" customFormat="1" ht="15.75" thickBot="1" x14ac:dyDescent="0.3">
      <c r="A9" s="4"/>
      <c r="B9" s="46"/>
      <c r="C9" s="10"/>
      <c r="D9" s="46"/>
      <c r="E9" s="10"/>
      <c r="F9" s="46"/>
      <c r="G9" s="10"/>
      <c r="H9" s="46"/>
      <c r="I9" s="10"/>
      <c r="J9" s="46"/>
      <c r="K9" s="10"/>
      <c r="L9" s="47"/>
      <c r="M9" s="22"/>
      <c r="N9" s="22"/>
    </row>
    <row r="10" spans="1:14" s="31" customFormat="1" ht="15.75" thickBot="1" x14ac:dyDescent="0.3">
      <c r="A10" s="57"/>
      <c r="B10" s="127" t="str">
        <f>B1</f>
        <v>5 Year MSJC MVC Data</v>
      </c>
      <c r="C10" s="127"/>
      <c r="D10" s="127"/>
      <c r="E10" s="127"/>
      <c r="F10" s="127"/>
      <c r="G10" s="127"/>
      <c r="H10" s="127"/>
      <c r="I10" s="127"/>
      <c r="J10" s="127"/>
      <c r="K10" s="128"/>
      <c r="L10" s="123" t="s">
        <v>1</v>
      </c>
      <c r="M10" s="124"/>
      <c r="N10" s="24" t="s">
        <v>2</v>
      </c>
    </row>
    <row r="11" spans="1:14" ht="15.75" thickBot="1" x14ac:dyDescent="0.3">
      <c r="A11" s="74"/>
      <c r="B11" s="116" t="s">
        <v>3</v>
      </c>
      <c r="C11" s="117"/>
      <c r="D11" s="116" t="s">
        <v>4</v>
      </c>
      <c r="E11" s="117"/>
      <c r="F11" s="116" t="s">
        <v>5</v>
      </c>
      <c r="G11" s="117"/>
      <c r="H11" s="116" t="s">
        <v>6</v>
      </c>
      <c r="I11" s="117"/>
      <c r="J11" s="116" t="s">
        <v>7</v>
      </c>
      <c r="K11" s="117"/>
      <c r="L11" s="118" t="s">
        <v>40</v>
      </c>
      <c r="M11" s="119"/>
      <c r="N11" s="25" t="s">
        <v>8</v>
      </c>
    </row>
    <row r="12" spans="1:14" ht="15.75" thickBot="1" x14ac:dyDescent="0.3">
      <c r="A12" s="75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29" t="s">
        <v>10</v>
      </c>
      <c r="M12" s="64" t="s">
        <v>11</v>
      </c>
      <c r="N12" s="30" t="s">
        <v>11</v>
      </c>
    </row>
    <row r="13" spans="1:14" x14ac:dyDescent="0.25">
      <c r="A13" s="14" t="s">
        <v>17</v>
      </c>
      <c r="B13" s="11">
        <f>ethnic!A3</f>
        <v>6073</v>
      </c>
      <c r="C13" s="60">
        <f t="shared" ref="C13:C21" si="0">B13/(SUM(B$13:B$21))</f>
        <v>0.47397174744400217</v>
      </c>
      <c r="D13" s="11">
        <f>ethnic!B3</f>
        <v>6628</v>
      </c>
      <c r="E13" s="60">
        <f t="shared" ref="E13:E21" si="1">D13/(SUM(D$13:D$21))</f>
        <v>0.46259073143495255</v>
      </c>
      <c r="F13" s="11">
        <f>ethnic!C3</f>
        <v>6423</v>
      </c>
      <c r="G13" s="60">
        <f t="shared" ref="G13:G21" si="2">F13/(SUM(F$13:F$21))</f>
        <v>0.4490666293784521</v>
      </c>
      <c r="H13" s="11">
        <f>ethnic!D3</f>
        <v>5563</v>
      </c>
      <c r="I13" s="60">
        <f t="shared" ref="I13:I21" si="3">H13/(SUM(H$13:H$21))</f>
        <v>0.43658766284727674</v>
      </c>
      <c r="J13" s="11">
        <f>ethnic!E3</f>
        <v>4964</v>
      </c>
      <c r="K13" s="60">
        <f t="shared" ref="K13:K21" si="4">J13/(SUM(J$13:J$21))</f>
        <v>0.41595441595441596</v>
      </c>
      <c r="L13" s="67">
        <v>398271</v>
      </c>
      <c r="M13" s="68">
        <f t="shared" ref="M13:M21" si="5">L13/(SUM(L$13:L$21))</f>
        <v>0.47591000666776601</v>
      </c>
      <c r="N13" s="72">
        <f t="shared" ref="N13:N21" si="6">K13-M13</f>
        <v>-5.9955590713350049E-2</v>
      </c>
    </row>
    <row r="14" spans="1:14" x14ac:dyDescent="0.25">
      <c r="A14" s="15" t="s">
        <v>18</v>
      </c>
      <c r="B14" s="11">
        <f>ethnic!A4</f>
        <v>3497</v>
      </c>
      <c r="C14" s="60">
        <f t="shared" si="0"/>
        <v>0.27292593459767422</v>
      </c>
      <c r="D14" s="11">
        <f>ethnic!B4</f>
        <v>4002</v>
      </c>
      <c r="E14" s="60">
        <f t="shared" si="1"/>
        <v>0.27931323283082077</v>
      </c>
      <c r="F14" s="11">
        <f>ethnic!C4</f>
        <v>4289</v>
      </c>
      <c r="G14" s="60">
        <f t="shared" si="2"/>
        <v>0.29986716073551001</v>
      </c>
      <c r="H14" s="11">
        <f>ethnic!D4</f>
        <v>4143</v>
      </c>
      <c r="I14" s="60">
        <f t="shared" si="3"/>
        <v>0.32514518913828283</v>
      </c>
      <c r="J14" s="11">
        <f>ethnic!E4</f>
        <v>4339</v>
      </c>
      <c r="K14" s="60">
        <f t="shared" si="4"/>
        <v>0.36358304005362829</v>
      </c>
      <c r="L14" s="67">
        <v>318674</v>
      </c>
      <c r="M14" s="68">
        <f t="shared" si="5"/>
        <v>0.38079635591053246</v>
      </c>
      <c r="N14" s="72">
        <f t="shared" si="6"/>
        <v>-1.7213315856904166E-2</v>
      </c>
    </row>
    <row r="15" spans="1:14" x14ac:dyDescent="0.25">
      <c r="A15" s="15" t="s">
        <v>19</v>
      </c>
      <c r="B15" s="11">
        <f>ethnic!A5</f>
        <v>819</v>
      </c>
      <c r="C15" s="60">
        <f t="shared" si="0"/>
        <v>6.3919456801685787E-2</v>
      </c>
      <c r="D15" s="11">
        <f>ethnic!B5</f>
        <v>951</v>
      </c>
      <c r="E15" s="60">
        <f t="shared" si="1"/>
        <v>6.6373534338358464E-2</v>
      </c>
      <c r="F15" s="11">
        <f>ethnic!C5</f>
        <v>926</v>
      </c>
      <c r="G15" s="60">
        <f t="shared" si="2"/>
        <v>6.474166258826819E-2</v>
      </c>
      <c r="H15" s="11">
        <f>ethnic!D5</f>
        <v>805</v>
      </c>
      <c r="I15" s="60">
        <f t="shared" si="3"/>
        <v>6.3176895306859202E-2</v>
      </c>
      <c r="J15" s="11">
        <f>ethnic!E5</f>
        <v>727</v>
      </c>
      <c r="K15" s="60">
        <f t="shared" si="4"/>
        <v>6.0918384447796216E-2</v>
      </c>
      <c r="L15" s="67">
        <v>43085</v>
      </c>
      <c r="M15" s="68">
        <f t="shared" si="5"/>
        <v>5.1483996166632011E-2</v>
      </c>
      <c r="N15" s="72">
        <f t="shared" si="6"/>
        <v>9.4343882811642049E-3</v>
      </c>
    </row>
    <row r="16" spans="1:14" x14ac:dyDescent="0.25">
      <c r="A16" s="15" t="s">
        <v>20</v>
      </c>
      <c r="B16" s="11">
        <f>ethnic!A6</f>
        <v>453</v>
      </c>
      <c r="C16" s="60">
        <f t="shared" si="0"/>
        <v>3.5354717864668699E-2</v>
      </c>
      <c r="D16" s="11">
        <f>ethnic!B6</f>
        <v>489</v>
      </c>
      <c r="E16" s="60">
        <f t="shared" si="1"/>
        <v>3.4128978224455611E-2</v>
      </c>
      <c r="F16" s="11">
        <f>ethnic!C6</f>
        <v>443</v>
      </c>
      <c r="G16" s="60">
        <f t="shared" si="2"/>
        <v>3.0972523246871286E-2</v>
      </c>
      <c r="H16" s="11">
        <f>ethnic!D6</f>
        <v>414</v>
      </c>
      <c r="I16" s="60">
        <f t="shared" si="3"/>
        <v>3.2490974729241874E-2</v>
      </c>
      <c r="J16" s="11">
        <f>ethnic!E6</f>
        <v>325</v>
      </c>
      <c r="K16" s="60">
        <f t="shared" si="4"/>
        <v>2.7233115468409588E-2</v>
      </c>
      <c r="L16" s="67">
        <v>21251</v>
      </c>
      <c r="M16" s="68">
        <f t="shared" si="5"/>
        <v>2.5393673030917881E-2</v>
      </c>
      <c r="N16" s="72">
        <f t="shared" si="6"/>
        <v>1.8394424374917062E-3</v>
      </c>
    </row>
    <row r="17" spans="1:18" x14ac:dyDescent="0.25">
      <c r="A17" s="15" t="s">
        <v>21</v>
      </c>
      <c r="B17" s="11">
        <f>ethnic!A7</f>
        <v>130</v>
      </c>
      <c r="C17" s="60">
        <f t="shared" si="0"/>
        <v>1.014594552407711E-2</v>
      </c>
      <c r="D17" s="11">
        <f>ethnic!B7</f>
        <v>144</v>
      </c>
      <c r="E17" s="60">
        <f t="shared" si="1"/>
        <v>1.0050251256281407E-2</v>
      </c>
      <c r="F17" s="11">
        <f>ethnic!C7</f>
        <v>122</v>
      </c>
      <c r="G17" s="60">
        <f t="shared" si="2"/>
        <v>8.5296790883031531E-3</v>
      </c>
      <c r="H17" s="11">
        <f>ethnic!D7</f>
        <v>89</v>
      </c>
      <c r="I17" s="60">
        <f t="shared" si="3"/>
        <v>6.9847747606341234E-3</v>
      </c>
      <c r="J17" s="11">
        <f>ethnic!E7</f>
        <v>66</v>
      </c>
      <c r="K17" s="60">
        <f t="shared" si="4"/>
        <v>5.5304172951231778E-3</v>
      </c>
      <c r="L17" s="67">
        <v>6071</v>
      </c>
      <c r="M17" s="68">
        <f t="shared" si="5"/>
        <v>7.254481623015503E-3</v>
      </c>
      <c r="N17" s="72">
        <f t="shared" si="6"/>
        <v>-1.7240643278923252E-3</v>
      </c>
    </row>
    <row r="18" spans="1:18" x14ac:dyDescent="0.25">
      <c r="A18" s="15" t="s">
        <v>22</v>
      </c>
      <c r="B18" s="11">
        <f>ethnic!A8</f>
        <v>621</v>
      </c>
      <c r="C18" s="60">
        <f t="shared" si="0"/>
        <v>4.8466401311168347E-2</v>
      </c>
      <c r="D18" s="11">
        <f>ethnic!B8</f>
        <v>647</v>
      </c>
      <c r="E18" s="60">
        <f t="shared" si="1"/>
        <v>4.5156337241764377E-2</v>
      </c>
      <c r="F18" s="11">
        <f>ethnic!C8</f>
        <v>609</v>
      </c>
      <c r="G18" s="60">
        <f t="shared" si="2"/>
        <v>4.2578480039152627E-2</v>
      </c>
      <c r="H18" s="11">
        <f>ethnic!D8</f>
        <v>507</v>
      </c>
      <c r="I18" s="60">
        <f t="shared" si="3"/>
        <v>3.9789671951028095E-2</v>
      </c>
      <c r="J18" s="11">
        <f>ethnic!E8</f>
        <v>455</v>
      </c>
      <c r="K18" s="60">
        <f t="shared" si="4"/>
        <v>3.8126361655773419E-2</v>
      </c>
      <c r="L18" s="67">
        <v>23365</v>
      </c>
      <c r="M18" s="68">
        <f t="shared" si="5"/>
        <v>2.7919776498395197E-2</v>
      </c>
      <c r="N18" s="72">
        <f t="shared" si="6"/>
        <v>1.0206585157378222E-2</v>
      </c>
    </row>
    <row r="19" spans="1:18" x14ac:dyDescent="0.25">
      <c r="A19" s="15" t="s">
        <v>23</v>
      </c>
      <c r="B19" s="11">
        <f>ethnic!A9</f>
        <v>88</v>
      </c>
      <c r="C19" s="60">
        <f t="shared" si="0"/>
        <v>6.8680246624521967E-3</v>
      </c>
      <c r="D19" s="11">
        <f>ethnic!B9</f>
        <v>100</v>
      </c>
      <c r="E19" s="60">
        <f t="shared" si="1"/>
        <v>6.9793411501954212E-3</v>
      </c>
      <c r="F19" s="11">
        <f>ethnic!C9</f>
        <v>87</v>
      </c>
      <c r="G19" s="60">
        <f t="shared" si="2"/>
        <v>6.0826400055932319E-3</v>
      </c>
      <c r="H19" s="11">
        <f>ethnic!D9</f>
        <v>62</v>
      </c>
      <c r="I19" s="60">
        <f t="shared" si="3"/>
        <v>4.865798147857479E-3</v>
      </c>
      <c r="J19" s="11">
        <f>ethnic!E9</f>
        <v>47</v>
      </c>
      <c r="K19" s="60">
        <f t="shared" si="4"/>
        <v>3.938327467739232E-3</v>
      </c>
      <c r="L19" s="67">
        <v>2305</v>
      </c>
      <c r="M19" s="68">
        <f t="shared" si="5"/>
        <v>2.7543370352579037E-3</v>
      </c>
      <c r="N19" s="72">
        <f t="shared" si="6"/>
        <v>1.1839904324813283E-3</v>
      </c>
    </row>
    <row r="20" spans="1:18" x14ac:dyDescent="0.25">
      <c r="A20" s="15" t="s">
        <v>24</v>
      </c>
      <c r="B20" s="11">
        <f>ethnic!A10</f>
        <v>193</v>
      </c>
      <c r="C20" s="60">
        <f t="shared" si="0"/>
        <v>1.5062826816514477E-2</v>
      </c>
      <c r="D20" s="11">
        <f>ethnic!B10</f>
        <v>230</v>
      </c>
      <c r="E20" s="60">
        <f t="shared" si="1"/>
        <v>1.605248464544947E-2</v>
      </c>
      <c r="F20" s="11">
        <f>ethnic!C10</f>
        <v>391</v>
      </c>
      <c r="G20" s="60">
        <f t="shared" si="2"/>
        <v>2.7336922323987975E-2</v>
      </c>
      <c r="H20" s="11">
        <f>ethnic!D10</f>
        <v>489</v>
      </c>
      <c r="I20" s="60">
        <f t="shared" si="3"/>
        <v>3.8377020875843666E-2</v>
      </c>
      <c r="J20" s="11">
        <f>ethnic!E10</f>
        <v>556</v>
      </c>
      <c r="K20" s="60">
        <f t="shared" si="4"/>
        <v>4.6589576001340706E-2</v>
      </c>
      <c r="L20" s="67">
        <v>22553</v>
      </c>
      <c r="M20" s="68">
        <f t="shared" si="5"/>
        <v>2.6949485100291326E-2</v>
      </c>
      <c r="N20" s="72">
        <f t="shared" si="6"/>
        <v>1.964009090104938E-2</v>
      </c>
      <c r="P20" s="56"/>
      <c r="Q20" s="56"/>
      <c r="R20" s="56"/>
    </row>
    <row r="21" spans="1:18" ht="15.75" thickBot="1" x14ac:dyDescent="0.3">
      <c r="A21" s="16" t="s">
        <v>14</v>
      </c>
      <c r="B21" s="12">
        <f>ethnic!A11</f>
        <v>939</v>
      </c>
      <c r="C21" s="61">
        <f t="shared" si="0"/>
        <v>7.3284944977756963E-2</v>
      </c>
      <c r="D21" s="12">
        <f>ethnic!B11</f>
        <v>1137</v>
      </c>
      <c r="E21" s="61">
        <f t="shared" si="1"/>
        <v>7.9355108877721944E-2</v>
      </c>
      <c r="F21" s="12">
        <f>ethnic!C11</f>
        <v>1013</v>
      </c>
      <c r="G21" s="61">
        <f t="shared" si="2"/>
        <v>7.0824302593861424E-2</v>
      </c>
      <c r="H21" s="12">
        <f>ethnic!D11</f>
        <v>670</v>
      </c>
      <c r="I21" s="61">
        <f t="shared" si="3"/>
        <v>5.2582012242975984E-2</v>
      </c>
      <c r="J21" s="12">
        <f>ethnic!E11</f>
        <v>455</v>
      </c>
      <c r="K21" s="61">
        <f t="shared" si="4"/>
        <v>3.8126361655773419E-2</v>
      </c>
      <c r="L21" s="76">
        <v>1287</v>
      </c>
      <c r="M21" s="70">
        <f t="shared" si="5"/>
        <v>1.5378879671917233E-3</v>
      </c>
      <c r="N21" s="73">
        <f t="shared" si="6"/>
        <v>3.6588473688581695E-2</v>
      </c>
      <c r="Q21" s="31"/>
      <c r="R21" s="31"/>
    </row>
    <row r="22" spans="1:18" s="31" customFormat="1" x14ac:dyDescent="0.25">
      <c r="A22" s="109" t="s">
        <v>52</v>
      </c>
      <c r="B22" s="10"/>
      <c r="C22" s="111"/>
      <c r="D22" s="10"/>
      <c r="E22" s="111"/>
      <c r="F22" s="10"/>
      <c r="G22" s="111"/>
      <c r="H22" s="10"/>
      <c r="I22" s="111"/>
      <c r="J22" s="10"/>
      <c r="K22" s="111"/>
      <c r="L22" s="112"/>
      <c r="M22" s="113"/>
      <c r="N22" s="114"/>
    </row>
    <row r="23" spans="1:18" ht="15.75" thickBot="1" x14ac:dyDescent="0.3">
      <c r="P23" s="56"/>
      <c r="Q23" s="56"/>
      <c r="R23" s="56"/>
    </row>
    <row r="24" spans="1:18" s="31" customFormat="1" ht="15.75" customHeight="1" thickBot="1" x14ac:dyDescent="0.3">
      <c r="A24" s="57"/>
      <c r="B24" s="129" t="str">
        <f>B10</f>
        <v>5 Year MSJC MVC Data</v>
      </c>
      <c r="C24" s="127"/>
      <c r="D24" s="127"/>
      <c r="E24" s="127"/>
      <c r="F24" s="127"/>
      <c r="G24" s="127"/>
      <c r="H24" s="127"/>
      <c r="I24" s="127"/>
      <c r="J24" s="127"/>
      <c r="K24" s="128"/>
      <c r="L24" s="123" t="s">
        <v>1</v>
      </c>
      <c r="M24" s="124"/>
      <c r="N24" s="24" t="s">
        <v>2</v>
      </c>
    </row>
    <row r="25" spans="1:18" s="31" customFormat="1" ht="15.75" thickBot="1" x14ac:dyDescent="0.3">
      <c r="A25" s="58"/>
      <c r="B25" s="116" t="s">
        <v>3</v>
      </c>
      <c r="C25" s="117"/>
      <c r="D25" s="116" t="s">
        <v>4</v>
      </c>
      <c r="E25" s="117"/>
      <c r="F25" s="116" t="s">
        <v>5</v>
      </c>
      <c r="G25" s="117"/>
      <c r="H25" s="116" t="s">
        <v>6</v>
      </c>
      <c r="I25" s="117"/>
      <c r="J25" s="116" t="s">
        <v>7</v>
      </c>
      <c r="K25" s="117"/>
      <c r="L25" s="118" t="s">
        <v>40</v>
      </c>
      <c r="M25" s="119"/>
      <c r="N25" s="25" t="s">
        <v>8</v>
      </c>
    </row>
    <row r="26" spans="1:18" ht="15.75" thickBot="1" x14ac:dyDescent="0.3">
      <c r="A26" s="33" t="s">
        <v>25</v>
      </c>
      <c r="B26" s="34" t="s">
        <v>10</v>
      </c>
      <c r="C26" s="77" t="s">
        <v>11</v>
      </c>
      <c r="D26" s="34" t="s">
        <v>10</v>
      </c>
      <c r="E26" s="77" t="s">
        <v>11</v>
      </c>
      <c r="F26" s="34" t="s">
        <v>10</v>
      </c>
      <c r="G26" s="77" t="s">
        <v>11</v>
      </c>
      <c r="H26" s="34" t="s">
        <v>10</v>
      </c>
      <c r="I26" s="77" t="s">
        <v>11</v>
      </c>
      <c r="J26" s="34" t="s">
        <v>10</v>
      </c>
      <c r="K26" s="77" t="s">
        <v>11</v>
      </c>
      <c r="L26" s="78" t="s">
        <v>10</v>
      </c>
      <c r="M26" s="79" t="s">
        <v>11</v>
      </c>
      <c r="N26" s="80" t="s">
        <v>11</v>
      </c>
    </row>
    <row r="27" spans="1:18" x14ac:dyDescent="0.25">
      <c r="A27" s="8" t="s">
        <v>26</v>
      </c>
      <c r="B27" s="11">
        <f>VLOOKUP($A27,'[1]age headcounts'!$A:$G,HLOOKUP(Sheet2!B$1,'[1]age headcounts'!$1:$2,2,FALSE),FALSE)</f>
        <v>297</v>
      </c>
      <c r="C27" s="60">
        <f>B27/(SUM(B$27:B$35))</f>
        <v>2.3179583235776166E-2</v>
      </c>
      <c r="D27" s="11">
        <f>VLOOKUP($A27,'[1]age headcounts'!$A:$G,HLOOKUP(Sheet2!D$1,'[1]age headcounts'!$1:$2,2,FALSE),FALSE)</f>
        <v>427</v>
      </c>
      <c r="E27" s="60">
        <f>D27/(SUM(D$27:D$35))</f>
        <v>2.980178671133445E-2</v>
      </c>
      <c r="F27" s="11">
        <f>VLOOKUP($A27,'[1]age headcounts'!$A:$G,HLOOKUP(Sheet2!F$1,'[1]age headcounts'!$1:$2,2,FALSE),FALSE)</f>
        <v>337</v>
      </c>
      <c r="G27" s="60">
        <f>F27/(SUM(F$27:F$35))</f>
        <v>2.3561490596378382E-2</v>
      </c>
      <c r="H27" s="11">
        <f>VLOOKUP($A27,'[1]age headcounts'!$A:$G,HLOOKUP(Sheet2!H$1,'[1]age headcounts'!$1:$2,2,FALSE),FALSE)</f>
        <v>134</v>
      </c>
      <c r="I27" s="60">
        <f>H27/(SUM(H$27:H$35))</f>
        <v>1.0516402448595197E-2</v>
      </c>
      <c r="J27" s="11">
        <f>VLOOKUP($A27,'[1]age headcounts'!$A:$G,HLOOKUP(Sheet2!J$1,'[1]age headcounts'!$1:$2,2,FALSE),FALSE)</f>
        <v>105</v>
      </c>
      <c r="K27" s="60">
        <f>J27/(SUM(J$27:J$35))</f>
        <v>8.7983911513323278E-3</v>
      </c>
      <c r="L27" s="67">
        <v>245217</v>
      </c>
      <c r="M27" s="68">
        <f>L27/SUM(L$27:L$35)</f>
        <v>0.29301963764635031</v>
      </c>
      <c r="N27" s="72">
        <f>K27-M27</f>
        <v>-0.28422124649501795</v>
      </c>
    </row>
    <row r="28" spans="1:18" x14ac:dyDescent="0.25">
      <c r="A28" s="6" t="s">
        <v>27</v>
      </c>
      <c r="B28" s="11">
        <f>VLOOKUP($A28,'[1]age headcounts'!$A:$G,HLOOKUP(Sheet2!B$1,'[1]age headcounts'!$1:$2,2,FALSE),FALSE)</f>
        <v>3297</v>
      </c>
      <c r="C28" s="60">
        <f t="shared" ref="C28:C35" si="7">B28/(SUM(B$27:B$35))</f>
        <v>0.25731678763755561</v>
      </c>
      <c r="D28" s="11">
        <f>VLOOKUP($A28,'[1]age headcounts'!$A:$G,HLOOKUP(Sheet2!D$1,'[1]age headcounts'!$1:$2,2,FALSE),FALSE)</f>
        <v>3740</v>
      </c>
      <c r="E28" s="60">
        <f t="shared" ref="E28:E35" si="8">D28/(SUM(D$27:D$35))</f>
        <v>0.26102735901730878</v>
      </c>
      <c r="F28" s="11">
        <f>VLOOKUP($A28,'[1]age headcounts'!$A:$G,HLOOKUP(Sheet2!F$1,'[1]age headcounts'!$1:$2,2,FALSE),FALSE)</f>
        <v>3641</v>
      </c>
      <c r="G28" s="60">
        <f t="shared" ref="G28:G35" si="9">F28/(SUM(F$27:F$35))</f>
        <v>0.25456198000419494</v>
      </c>
      <c r="H28" s="11">
        <f>VLOOKUP($A28,'[1]age headcounts'!$A:$G,HLOOKUP(Sheet2!H$1,'[1]age headcounts'!$1:$2,2,FALSE),FALSE)</f>
        <v>2877</v>
      </c>
      <c r="I28" s="60">
        <f t="shared" ref="I28:I35" si="10">H28/(SUM(H$27:H$35))</f>
        <v>0.22578873018364465</v>
      </c>
      <c r="J28" s="11">
        <f>VLOOKUP($A28,'[1]age headcounts'!$A:$G,HLOOKUP(Sheet2!J$1,'[1]age headcounts'!$1:$2,2,FALSE),FALSE)</f>
        <v>2586</v>
      </c>
      <c r="K28" s="60">
        <f t="shared" ref="K28:K35" si="11">J28/(SUM(J$27:J$35))</f>
        <v>0.21669180492709905</v>
      </c>
      <c r="L28" s="67">
        <v>25706</v>
      </c>
      <c r="M28" s="68">
        <f t="shared" ref="M28:M35" si="12">L28/SUM(L$27:L$35)</f>
        <v>3.0717131378889231E-2</v>
      </c>
      <c r="N28" s="72">
        <f t="shared" ref="N28:N35" si="13">K28-M28</f>
        <v>0.18597467354820982</v>
      </c>
    </row>
    <row r="29" spans="1:18" x14ac:dyDescent="0.25">
      <c r="A29" s="7" t="s">
        <v>28</v>
      </c>
      <c r="B29" s="11">
        <f>VLOOKUP($A29,'[1]age headcounts'!$A:$G,HLOOKUP(Sheet2!B$1,'[1]age headcounts'!$1:$2,2,FALSE),FALSE)</f>
        <v>4371</v>
      </c>
      <c r="C29" s="60">
        <f t="shared" si="7"/>
        <v>0.34113790681339262</v>
      </c>
      <c r="D29" s="11">
        <f>VLOOKUP($A29,'[1]age headcounts'!$A:$G,HLOOKUP(Sheet2!D$1,'[1]age headcounts'!$1:$2,2,FALSE),FALSE)</f>
        <v>4888</v>
      </c>
      <c r="E29" s="60">
        <f t="shared" si="8"/>
        <v>0.34115019542155223</v>
      </c>
      <c r="F29" s="11">
        <f>VLOOKUP($A29,'[1]age headcounts'!$A:$G,HLOOKUP(Sheet2!F$1,'[1]age headcounts'!$1:$2,2,FALSE),FALSE)</f>
        <v>4940</v>
      </c>
      <c r="G29" s="60">
        <f t="shared" si="9"/>
        <v>0.34538208767391454</v>
      </c>
      <c r="H29" s="11">
        <f>VLOOKUP($A29,'[1]age headcounts'!$A:$G,HLOOKUP(Sheet2!H$1,'[1]age headcounts'!$1:$2,2,FALSE),FALSE)</f>
        <v>4919</v>
      </c>
      <c r="I29" s="60">
        <f t="shared" si="10"/>
        <v>0.38604614660178938</v>
      </c>
      <c r="J29" s="11">
        <f>VLOOKUP($A29,'[1]age headcounts'!$A:$G,HLOOKUP(Sheet2!J$1,'[1]age headcounts'!$1:$2,2,FALSE),FALSE)</f>
        <v>4966</v>
      </c>
      <c r="K29" s="60">
        <f t="shared" si="11"/>
        <v>0.41612200435729846</v>
      </c>
      <c r="L29" s="67">
        <v>52893</v>
      </c>
      <c r="M29" s="68">
        <f t="shared" si="12"/>
        <v>6.3203969113187125E-2</v>
      </c>
      <c r="N29" s="72">
        <f t="shared" si="13"/>
        <v>0.35291803524411136</v>
      </c>
    </row>
    <row r="30" spans="1:18" x14ac:dyDescent="0.25">
      <c r="A30" s="7" t="s">
        <v>29</v>
      </c>
      <c r="B30" s="11">
        <f>VLOOKUP($A30,'[1]age headcounts'!$A:$G,HLOOKUP(Sheet2!B$1,'[1]age headcounts'!$1:$2,2,FALSE),FALSE)</f>
        <v>1505</v>
      </c>
      <c r="C30" s="60">
        <f t="shared" si="7"/>
        <v>0.11745883087489269</v>
      </c>
      <c r="D30" s="11">
        <f>VLOOKUP($A30,'[1]age headcounts'!$A:$G,HLOOKUP(Sheet2!D$1,'[1]age headcounts'!$1:$2,2,FALSE),FALSE)</f>
        <v>1639</v>
      </c>
      <c r="E30" s="60">
        <f t="shared" si="8"/>
        <v>0.11439140145170296</v>
      </c>
      <c r="F30" s="11">
        <f>VLOOKUP($A30,'[1]age headcounts'!$A:$G,HLOOKUP(Sheet2!F$1,'[1]age headcounts'!$1:$2,2,FALSE),FALSE)</f>
        <v>1739</v>
      </c>
      <c r="G30" s="60">
        <f t="shared" si="9"/>
        <v>0.1215828847095015</v>
      </c>
      <c r="H30" s="11">
        <f>VLOOKUP($A30,'[1]age headcounts'!$A:$G,HLOOKUP(Sheet2!H$1,'[1]age headcounts'!$1:$2,2,FALSE),FALSE)</f>
        <v>1645</v>
      </c>
      <c r="I30" s="60">
        <f t="shared" si="10"/>
        <v>0.12910061214879925</v>
      </c>
      <c r="J30" s="11">
        <f>VLOOKUP($A30,'[1]age headcounts'!$A:$G,HLOOKUP(Sheet2!J$1,'[1]age headcounts'!$1:$2,2,FALSE),FALSE)</f>
        <v>1471</v>
      </c>
      <c r="K30" s="60">
        <f t="shared" si="11"/>
        <v>0.12326127032009385</v>
      </c>
      <c r="L30" s="67">
        <v>52166</v>
      </c>
      <c r="M30" s="68">
        <f t="shared" si="12"/>
        <v>6.2335247627446341E-2</v>
      </c>
      <c r="N30" s="72">
        <f t="shared" si="13"/>
        <v>6.0926022692647505E-2</v>
      </c>
    </row>
    <row r="31" spans="1:18" x14ac:dyDescent="0.25">
      <c r="A31" s="7" t="s">
        <v>30</v>
      </c>
      <c r="B31" s="11">
        <f>VLOOKUP($A31,'[1]age headcounts'!$A:$G,HLOOKUP(Sheet2!B$1,'[1]age headcounts'!$1:$2,2,FALSE),FALSE)</f>
        <v>865</v>
      </c>
      <c r="C31" s="60">
        <f t="shared" si="7"/>
        <v>6.7509560602513077E-2</v>
      </c>
      <c r="D31" s="11">
        <f>VLOOKUP($A31,'[1]age headcounts'!$A:$G,HLOOKUP(Sheet2!D$1,'[1]age headcounts'!$1:$2,2,FALSE),FALSE)</f>
        <v>1007</v>
      </c>
      <c r="E31" s="60">
        <f t="shared" si="8"/>
        <v>7.0281965382467892E-2</v>
      </c>
      <c r="F31" s="11">
        <f>VLOOKUP($A31,'[1]age headcounts'!$A:$G,HLOOKUP(Sheet2!F$1,'[1]age headcounts'!$1:$2,2,FALSE),FALSE)</f>
        <v>995</v>
      </c>
      <c r="G31" s="60">
        <f t="shared" si="9"/>
        <v>6.9565825351324898E-2</v>
      </c>
      <c r="H31" s="11">
        <f>VLOOKUP($A31,'[1]age headcounts'!$A:$G,HLOOKUP(Sheet2!H$1,'[1]age headcounts'!$1:$2,2,FALSE),FALSE)</f>
        <v>902</v>
      </c>
      <c r="I31" s="60">
        <f t="shared" si="10"/>
        <v>7.078951498979752E-2</v>
      </c>
      <c r="J31" s="11">
        <f>VLOOKUP($A31,'[1]age headcounts'!$A:$G,HLOOKUP(Sheet2!J$1,'[1]age headcounts'!$1:$2,2,FALSE),FALSE)</f>
        <v>825</v>
      </c>
      <c r="K31" s="60">
        <f t="shared" si="11"/>
        <v>6.9130216189039723E-2</v>
      </c>
      <c r="L31" s="67">
        <v>52145</v>
      </c>
      <c r="M31" s="68">
        <f t="shared" si="12"/>
        <v>6.2310153884391928E-2</v>
      </c>
      <c r="N31" s="72">
        <f t="shared" si="13"/>
        <v>6.8200623046477948E-3</v>
      </c>
    </row>
    <row r="32" spans="1:18" x14ac:dyDescent="0.25">
      <c r="A32" s="7" t="s">
        <v>31</v>
      </c>
      <c r="B32" s="11">
        <f>VLOOKUP($A32,'[1]age headcounts'!$A:$G,HLOOKUP(Sheet2!B$1,'[1]age headcounts'!$1:$2,2,FALSE),FALSE)</f>
        <v>730</v>
      </c>
      <c r="C32" s="60">
        <f t="shared" si="7"/>
        <v>5.6973386404432995E-2</v>
      </c>
      <c r="D32" s="11">
        <f>VLOOKUP($A32,'[1]age headcounts'!$A:$G,HLOOKUP(Sheet2!D$1,'[1]age headcounts'!$1:$2,2,FALSE),FALSE)</f>
        <v>764</v>
      </c>
      <c r="E32" s="60">
        <f t="shared" si="8"/>
        <v>5.3322166387493021E-2</v>
      </c>
      <c r="F32" s="11">
        <f>VLOOKUP($A32,'[1]age headcounts'!$A:$G,HLOOKUP(Sheet2!F$1,'[1]age headcounts'!$1:$2,2,FALSE),FALSE)</f>
        <v>768</v>
      </c>
      <c r="G32" s="60">
        <f t="shared" si="9"/>
        <v>5.3695029014891982E-2</v>
      </c>
      <c r="H32" s="11">
        <f>VLOOKUP($A32,'[1]age headcounts'!$A:$G,HLOOKUP(Sheet2!H$1,'[1]age headcounts'!$1:$2,2,FALSE),FALSE)</f>
        <v>639</v>
      </c>
      <c r="I32" s="60">
        <f t="shared" si="10"/>
        <v>5.0149113169047244E-2</v>
      </c>
      <c r="J32" s="11">
        <f>VLOOKUP($A32,'[1]age headcounts'!$A:$G,HLOOKUP(Sheet2!J$1,'[1]age headcounts'!$1:$2,2,FALSE),FALSE)</f>
        <v>582</v>
      </c>
      <c r="K32" s="60">
        <f t="shared" si="11"/>
        <v>4.8768225238813474E-2</v>
      </c>
      <c r="L32" s="67">
        <v>55384</v>
      </c>
      <c r="M32" s="68">
        <f t="shared" si="12"/>
        <v>6.6180565015498377E-2</v>
      </c>
      <c r="N32" s="72">
        <f t="shared" si="13"/>
        <v>-1.7412339776684903E-2</v>
      </c>
    </row>
    <row r="33" spans="1:14" x14ac:dyDescent="0.25">
      <c r="A33" s="5" t="s">
        <v>32</v>
      </c>
      <c r="B33" s="11">
        <f>VLOOKUP($A33,'[1]age headcounts'!$A:$G,HLOOKUP(Sheet2!B$1,'[1]age headcounts'!$1:$2,2,FALSE),FALSE)</f>
        <v>1116</v>
      </c>
      <c r="C33" s="60">
        <f t="shared" si="7"/>
        <v>8.7099040037461953E-2</v>
      </c>
      <c r="D33" s="11">
        <f>VLOOKUP($A33,'[1]age headcounts'!$A:$G,HLOOKUP(Sheet2!D$1,'[1]age headcounts'!$1:$2,2,FALSE),FALSE)</f>
        <v>1215</v>
      </c>
      <c r="E33" s="60">
        <f t="shared" si="8"/>
        <v>8.4798994974874378E-2</v>
      </c>
      <c r="F33" s="11">
        <f>VLOOKUP($A33,'[1]age headcounts'!$A:$G,HLOOKUP(Sheet2!F$1,'[1]age headcounts'!$1:$2,2,FALSE),FALSE)</f>
        <v>1212</v>
      </c>
      <c r="G33" s="60">
        <f t="shared" si="9"/>
        <v>8.4737467664126404E-2</v>
      </c>
      <c r="H33" s="11">
        <f>VLOOKUP($A33,'[1]age headcounts'!$A:$G,HLOOKUP(Sheet2!H$1,'[1]age headcounts'!$1:$2,2,FALSE),FALSE)</f>
        <v>1053</v>
      </c>
      <c r="I33" s="60">
        <f t="shared" si="10"/>
        <v>8.2640087898289125E-2</v>
      </c>
      <c r="J33" s="11">
        <f>VLOOKUP($A33,'[1]age headcounts'!$A:$G,HLOOKUP(Sheet2!J$1,'[1]age headcounts'!$1:$2,2,FALSE),FALSE)</f>
        <v>876</v>
      </c>
      <c r="K33" s="60">
        <f t="shared" si="11"/>
        <v>7.3403720462543995E-2</v>
      </c>
      <c r="L33" s="67">
        <v>116401</v>
      </c>
      <c r="M33" s="68">
        <f t="shared" si="12"/>
        <v>0.13909222787030598</v>
      </c>
      <c r="N33" s="72">
        <f t="shared" si="13"/>
        <v>-6.5688507407761984E-2</v>
      </c>
    </row>
    <row r="34" spans="1:14" x14ac:dyDescent="0.25">
      <c r="A34" s="5" t="s">
        <v>33</v>
      </c>
      <c r="B34" s="11">
        <f>VLOOKUP($A34,'[1]age headcounts'!$A:$G,HLOOKUP(Sheet2!B$1,'[1]age headcounts'!$1:$2,2,FALSE),FALSE)</f>
        <v>631</v>
      </c>
      <c r="C34" s="60">
        <f t="shared" si="7"/>
        <v>4.9246858659174275E-2</v>
      </c>
      <c r="D34" s="11">
        <f>VLOOKUP($A34,'[1]age headcounts'!$A:$G,HLOOKUP(Sheet2!D$1,'[1]age headcounts'!$1:$2,2,FALSE),FALSE)</f>
        <v>648</v>
      </c>
      <c r="E34" s="60">
        <f t="shared" si="8"/>
        <v>4.5226130653266333E-2</v>
      </c>
      <c r="F34" s="11">
        <f>VLOOKUP($A34,'[1]age headcounts'!$A:$G,HLOOKUP(Sheet2!F$1,'[1]age headcounts'!$1:$2,2,FALSE),FALSE)</f>
        <v>670</v>
      </c>
      <c r="G34" s="60">
        <f t="shared" si="9"/>
        <v>4.6843319583304205E-2</v>
      </c>
      <c r="H34" s="11">
        <f>VLOOKUP($A34,'[1]age headcounts'!$A:$G,HLOOKUP(Sheet2!H$1,'[1]age headcounts'!$1:$2,2,FALSE),FALSE)</f>
        <v>573</v>
      </c>
      <c r="I34" s="60">
        <f t="shared" si="10"/>
        <v>4.4969392560037673E-2</v>
      </c>
      <c r="J34" s="11">
        <f>VLOOKUP($A34,'[1]age headcounts'!$A:$G,HLOOKUP(Sheet2!J$1,'[1]age headcounts'!$1:$2,2,FALSE),FALSE)</f>
        <v>523</v>
      </c>
      <c r="K34" s="60">
        <f t="shared" si="11"/>
        <v>4.382436735377912E-2</v>
      </c>
      <c r="L34" s="67">
        <v>236950</v>
      </c>
      <c r="M34" s="68">
        <f t="shared" si="12"/>
        <v>0.28314106746393075</v>
      </c>
      <c r="N34" s="72">
        <f t="shared" si="13"/>
        <v>-0.23931670011015163</v>
      </c>
    </row>
    <row r="35" spans="1:14" ht="15.75" thickBot="1" x14ac:dyDescent="0.3">
      <c r="A35" s="15" t="s">
        <v>14</v>
      </c>
      <c r="B35" s="12">
        <f>VLOOKUP($A35,'[1]age headcounts'!$A:$G,HLOOKUP(Sheet2!B$1,'[1]age headcounts'!$1:$2,2,FALSE),FALSE)</f>
        <v>1</v>
      </c>
      <c r="C35" s="61">
        <f t="shared" si="7"/>
        <v>7.804573480059315E-5</v>
      </c>
      <c r="D35" s="12">
        <f>VLOOKUP($A35,'[1]age headcounts'!$A:$G,HLOOKUP(Sheet2!D$1,'[1]age headcounts'!$1:$2,2,FALSE),FALSE)</f>
        <v>0</v>
      </c>
      <c r="E35" s="61">
        <f t="shared" si="8"/>
        <v>0</v>
      </c>
      <c r="F35" s="12">
        <f>VLOOKUP($A35,'[1]age headcounts'!$A:$G,HLOOKUP(Sheet2!F$1,'[1]age headcounts'!$1:$2,2,FALSE),FALSE)</f>
        <v>1</v>
      </c>
      <c r="G35" s="61">
        <f t="shared" si="9"/>
        <v>6.9915402363140606E-5</v>
      </c>
      <c r="H35" s="12">
        <f>VLOOKUP($A35,'[1]age headcounts'!$A:$G,HLOOKUP(Sheet2!H$1,'[1]age headcounts'!$1:$2,2,FALSE),FALSE)</f>
        <v>0</v>
      </c>
      <c r="I35" s="61">
        <f t="shared" si="10"/>
        <v>0</v>
      </c>
      <c r="J35" s="12">
        <f>VLOOKUP($A35,'[1]age headcounts'!$A:$G,HLOOKUP(Sheet2!J$1,'[1]age headcounts'!$1:$2,2,FALSE),FALSE)</f>
        <v>0</v>
      </c>
      <c r="K35" s="61">
        <f t="shared" si="11"/>
        <v>0</v>
      </c>
      <c r="L35" s="69">
        <v>0</v>
      </c>
      <c r="M35" s="70">
        <f t="shared" si="12"/>
        <v>0</v>
      </c>
      <c r="N35" s="73">
        <f t="shared" si="13"/>
        <v>0</v>
      </c>
    </row>
    <row r="36" spans="1:14" x14ac:dyDescent="0.25">
      <c r="A36" s="43" t="s">
        <v>34</v>
      </c>
      <c r="B36" s="115">
        <v>26.513737121448642</v>
      </c>
      <c r="C36" s="55"/>
      <c r="D36" s="115">
        <v>26.198213288665549</v>
      </c>
      <c r="E36" s="55"/>
      <c r="F36" s="115">
        <v>26.344986715144735</v>
      </c>
      <c r="G36" s="55"/>
      <c r="H36" s="115">
        <v>26.371605713388792</v>
      </c>
      <c r="I36" s="55"/>
      <c r="J36" s="115">
        <v>26.086140439081614</v>
      </c>
      <c r="K36" s="45"/>
      <c r="L36" s="22"/>
      <c r="M36" s="22"/>
      <c r="N36" s="22"/>
    </row>
    <row r="37" spans="1:14" s="31" customFormat="1" x14ac:dyDescent="0.25">
      <c r="A37" s="44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10"/>
      <c r="M37" s="22"/>
      <c r="N37" s="22"/>
    </row>
    <row r="38" spans="1:14" s="31" customFormat="1" x14ac:dyDescent="0.25">
      <c r="A38" s="109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2"/>
      <c r="N38" s="22"/>
    </row>
    <row r="39" spans="1:14" s="31" customFormat="1" ht="15.75" thickBot="1" x14ac:dyDescent="0.3">
      <c r="A39" s="4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  <c r="M39" s="22"/>
      <c r="N39" s="22"/>
    </row>
    <row r="40" spans="1:14" s="31" customFormat="1" ht="15.75" thickBot="1" x14ac:dyDescent="0.3">
      <c r="A40" s="57"/>
      <c r="B40" s="129" t="s">
        <v>43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30" t="s">
        <v>42</v>
      </c>
      <c r="M40" s="131"/>
      <c r="N40" s="89" t="s">
        <v>2</v>
      </c>
    </row>
    <row r="41" spans="1:14" ht="15.75" thickBot="1" x14ac:dyDescent="0.3">
      <c r="A41" s="74"/>
      <c r="B41" s="116" t="s">
        <v>3</v>
      </c>
      <c r="C41" s="117"/>
      <c r="D41" s="116" t="s">
        <v>4</v>
      </c>
      <c r="E41" s="117"/>
      <c r="F41" s="116" t="s">
        <v>5</v>
      </c>
      <c r="G41" s="117"/>
      <c r="H41" s="134" t="s">
        <v>6</v>
      </c>
      <c r="I41" s="135"/>
      <c r="J41" s="116" t="s">
        <v>7</v>
      </c>
      <c r="K41" s="117"/>
      <c r="L41" s="132" t="s">
        <v>41</v>
      </c>
      <c r="M41" s="133"/>
      <c r="N41" s="90" t="s">
        <v>8</v>
      </c>
    </row>
    <row r="42" spans="1:14" ht="15.75" thickBot="1" x14ac:dyDescent="0.3">
      <c r="A42" s="81" t="s">
        <v>35</v>
      </c>
      <c r="B42" s="83" t="s">
        <v>10</v>
      </c>
      <c r="C42" s="84" t="s">
        <v>11</v>
      </c>
      <c r="D42" s="83" t="s">
        <v>10</v>
      </c>
      <c r="E42" s="84" t="s">
        <v>11</v>
      </c>
      <c r="F42" s="83" t="s">
        <v>10</v>
      </c>
      <c r="G42" s="84" t="s">
        <v>11</v>
      </c>
      <c r="H42" s="83" t="s">
        <v>10</v>
      </c>
      <c r="I42" s="51" t="s">
        <v>11</v>
      </c>
      <c r="J42" s="83" t="s">
        <v>10</v>
      </c>
      <c r="K42" s="84" t="s">
        <v>11</v>
      </c>
      <c r="L42" s="49" t="s">
        <v>10</v>
      </c>
      <c r="M42" s="50" t="s">
        <v>11</v>
      </c>
      <c r="N42" s="91" t="s">
        <v>10</v>
      </c>
    </row>
    <row r="43" spans="1:14" ht="15.75" thickBot="1" x14ac:dyDescent="0.3">
      <c r="A43" s="82" t="s">
        <v>44</v>
      </c>
      <c r="B43" s="85"/>
      <c r="C43" s="86"/>
      <c r="D43" s="85"/>
      <c r="E43" s="86"/>
      <c r="F43" s="85"/>
      <c r="G43" s="86"/>
      <c r="H43" s="85"/>
      <c r="I43" s="87"/>
      <c r="J43" s="85"/>
      <c r="K43" s="86"/>
      <c r="L43" s="52">
        <v>105412</v>
      </c>
      <c r="M43" s="88">
        <f>L43/L44</f>
        <v>8.1095074304327316E-2</v>
      </c>
      <c r="N43" s="92">
        <f>K43-M43</f>
        <v>-8.1095074304327316E-2</v>
      </c>
    </row>
    <row r="44" spans="1:14" s="31" customFormat="1" ht="15.75" thickBot="1" x14ac:dyDescent="0.3">
      <c r="A44" s="4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53">
        <v>1299857</v>
      </c>
    </row>
    <row r="45" spans="1:14" s="31" customFormat="1" ht="15.75" thickBot="1" x14ac:dyDescent="0.3">
      <c r="A45" s="4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54"/>
    </row>
    <row r="46" spans="1:14" s="31" customFormat="1" x14ac:dyDescent="0.25">
      <c r="A46" s="93" t="s">
        <v>47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5"/>
      <c r="M46" s="96"/>
      <c r="N46" s="97"/>
    </row>
    <row r="47" spans="1:14" x14ac:dyDescent="0.25">
      <c r="A47" s="98" t="s">
        <v>45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100"/>
    </row>
    <row r="48" spans="1:14" ht="15.75" thickBot="1" x14ac:dyDescent="0.3">
      <c r="A48" s="101" t="s">
        <v>46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3"/>
    </row>
  </sheetData>
  <mergeCells count="33">
    <mergeCell ref="B10:K10"/>
    <mergeCell ref="B24:K24"/>
    <mergeCell ref="B40:K40"/>
    <mergeCell ref="L40:M40"/>
    <mergeCell ref="L41:M41"/>
    <mergeCell ref="L10:M10"/>
    <mergeCell ref="L11:M11"/>
    <mergeCell ref="L24:M24"/>
    <mergeCell ref="L25:M25"/>
    <mergeCell ref="B41:C41"/>
    <mergeCell ref="D41:E41"/>
    <mergeCell ref="F41:G41"/>
    <mergeCell ref="H41:I41"/>
    <mergeCell ref="J41:K41"/>
    <mergeCell ref="B25:C25"/>
    <mergeCell ref="D25:E25"/>
    <mergeCell ref="F25:G25"/>
    <mergeCell ref="H25:I25"/>
    <mergeCell ref="J25:K25"/>
    <mergeCell ref="B11:C11"/>
    <mergeCell ref="D11:E11"/>
    <mergeCell ref="F11:G11"/>
    <mergeCell ref="H11:I11"/>
    <mergeCell ref="J11:K11"/>
    <mergeCell ref="J2:K2"/>
    <mergeCell ref="L2:M2"/>
    <mergeCell ref="B1:K1"/>
    <mergeCell ref="L1:M1"/>
    <mergeCell ref="A1:A2"/>
    <mergeCell ref="B2:C2"/>
    <mergeCell ref="D2:E2"/>
    <mergeCell ref="F2:G2"/>
    <mergeCell ref="H2:I2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VLOOKUP($F3,'[2]gender heads'!$A:$G,HLOOKUP(A$2,'[2]gender heads'!$1:$2,2,FALSE),FALSE)</f>
        <v>7658</v>
      </c>
      <c r="B3" s="1">
        <f>VLOOKUP($F3,'[2]gender heads'!$A:$G,HLOOKUP(B$2,'[2]gender heads'!$1:$2,2,FALSE),FALSE)</f>
        <v>8341</v>
      </c>
      <c r="C3" s="1">
        <f>VLOOKUP($F3,'[2]gender heads'!$A:$G,HLOOKUP(C$2,'[2]gender heads'!$1:$2,2,FALSE),FALSE)</f>
        <v>8198</v>
      </c>
      <c r="D3" s="1">
        <f>VLOOKUP($F3,'[2]gender heads'!$A:$G,HLOOKUP(D$2,'[2]gender heads'!$1:$2,2,FALSE),FALSE)</f>
        <v>7167</v>
      </c>
      <c r="E3" s="1">
        <f>VLOOKUP($F3,'[2]gender heads'!$A:$G,HLOOKUP(E$2,'[2]gender heads'!$1:$2,2,FALSE),FALSE)</f>
        <v>6625</v>
      </c>
      <c r="F3" t="s">
        <v>36</v>
      </c>
    </row>
    <row r="4" spans="1:6" x14ac:dyDescent="0.25">
      <c r="A4" s="1">
        <f>VLOOKUP($F4,'[2]gender heads'!$A:$G,HLOOKUP(A$2,'[2]gender heads'!$1:$2,2,FALSE),FALSE)</f>
        <v>5063</v>
      </c>
      <c r="B4" s="1">
        <f>VLOOKUP($F4,'[2]gender heads'!$A:$G,HLOOKUP(B$2,'[2]gender heads'!$1:$2,2,FALSE),FALSE)</f>
        <v>5799</v>
      </c>
      <c r="C4" s="1">
        <f>VLOOKUP($F4,'[2]gender heads'!$A:$G,HLOOKUP(C$2,'[2]gender heads'!$1:$2,2,FALSE),FALSE)</f>
        <v>5955</v>
      </c>
      <c r="D4" s="1">
        <f>VLOOKUP($F4,'[2]gender heads'!$A:$G,HLOOKUP(D$2,'[2]gender heads'!$1:$2,2,FALSE),FALSE)</f>
        <v>5447</v>
      </c>
      <c r="E4" s="1">
        <f>VLOOKUP($F4,'[2]gender heads'!$A:$G,HLOOKUP(E$2,'[2]gender heads'!$1:$2,2,FALSE),FALSE)</f>
        <v>5206</v>
      </c>
      <c r="F4" t="s">
        <v>37</v>
      </c>
    </row>
    <row r="5" spans="1:6" x14ac:dyDescent="0.25">
      <c r="A5" s="1">
        <f>VLOOKUP($F5,'[2]gender heads'!$A:$G,HLOOKUP(A$2,'[2]gender heads'!$1:$2,2,FALSE),FALSE)</f>
        <v>92</v>
      </c>
      <c r="B5" s="1">
        <f>VLOOKUP($F5,'[2]gender heads'!$A:$G,HLOOKUP(B$2,'[2]gender heads'!$1:$2,2,FALSE),FALSE)</f>
        <v>188</v>
      </c>
      <c r="C5" s="1">
        <f>VLOOKUP($F5,'[2]gender heads'!$A:$G,HLOOKUP(C$2,'[2]gender heads'!$1:$2,2,FALSE),FALSE)</f>
        <v>150</v>
      </c>
      <c r="D5" s="1">
        <f>VLOOKUP($F5,'[2]gender heads'!$A:$G,HLOOKUP(D$2,'[2]gender heads'!$1:$2,2,FALSE),FALSE)</f>
        <v>128</v>
      </c>
      <c r="E5" s="1">
        <f>VLOOKUP($F5,'[2]gender heads'!$A:$G,HLOOKUP(E$2,'[2]gender heads'!$1:$2,2,FALSE),FALSE)</f>
        <v>103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VLOOKUP($F3,'[3]Primary Races'!$A:$G,HLOOKUP(A$2,'[3]Primary Races'!$1:$2,2,FALSE),FALSE)</f>
        <v>6073</v>
      </c>
      <c r="B3" s="28">
        <f>VLOOKUP($F3,'[3]Primary Races'!$A:$G,HLOOKUP(B$2,'[3]Primary Races'!$1:$2,2,FALSE),FALSE)</f>
        <v>6628</v>
      </c>
      <c r="C3" s="28">
        <f>VLOOKUP($F3,'[3]Primary Races'!$A:$G,HLOOKUP(C$2,'[3]Primary Races'!$1:$2,2,FALSE),FALSE)</f>
        <v>6423</v>
      </c>
      <c r="D3" s="28">
        <f>VLOOKUP($F3,'[3]Primary Races'!$A:$G,HLOOKUP(D$2,'[3]Primary Races'!$1:$2,2,FALSE),FALSE)</f>
        <v>5563</v>
      </c>
      <c r="E3" s="28">
        <f>VLOOKUP($F3,'[3]Primary Races'!$A:$G,HLOOKUP(E$2,'[3]Primary Races'!$1:$2,2,FALSE),FALSE)</f>
        <v>4964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VLOOKUP($G4,'[3]hispanic total'!$A:$F,HLOOKUP(A$2,'[3]hispanic total'!$1:$2,2,FALSE),FALSE)</f>
        <v>3497</v>
      </c>
      <c r="B4" s="28">
        <f>VLOOKUP($G4,'[3]hispanic total'!$A:$F,HLOOKUP(B$2,'[3]hispanic total'!$1:$2,2,FALSE),FALSE)</f>
        <v>4002</v>
      </c>
      <c r="C4" s="28">
        <f>VLOOKUP($G4,'[3]hispanic total'!$A:$F,HLOOKUP(C$2,'[3]hispanic total'!$1:$2,2,FALSE),FALSE)</f>
        <v>4289</v>
      </c>
      <c r="D4" s="28">
        <f>VLOOKUP($G4,'[3]hispanic total'!$A:$F,HLOOKUP(D$2,'[3]hispanic total'!$1:$2,2,FALSE),FALSE)</f>
        <v>4143</v>
      </c>
      <c r="E4" s="28">
        <f>VLOOKUP($G4,'[3]hispanic total'!$A:$F,HLOOKUP(E$2,'[3]hispanic total'!$1:$2,2,FALSE),FALSE)</f>
        <v>4339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VLOOKUP($F5,'[3]Primary Races'!$A:$G,HLOOKUP(A$2,'[3]Primary Races'!$1:$2,2,FALSE),FALSE)</f>
        <v>819</v>
      </c>
      <c r="B5" s="28">
        <f>VLOOKUP($F5,'[3]Primary Races'!$A:$G,HLOOKUP(B$2,'[3]Primary Races'!$1:$2,2,FALSE),FALSE)</f>
        <v>951</v>
      </c>
      <c r="C5" s="28">
        <f>VLOOKUP($F5,'[3]Primary Races'!$A:$G,HLOOKUP(C$2,'[3]Primary Races'!$1:$2,2,FALSE),FALSE)</f>
        <v>926</v>
      </c>
      <c r="D5" s="28">
        <f>VLOOKUP($F5,'[3]Primary Races'!$A:$G,HLOOKUP(D$2,'[3]Primary Races'!$1:$2,2,FALSE),FALSE)</f>
        <v>805</v>
      </c>
      <c r="E5" s="28">
        <f>VLOOKUP($F5,'[3]Primary Races'!$A:$G,HLOOKUP(E$2,'[3]Primary Races'!$1:$2,2,FALSE),FALSE)</f>
        <v>727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VLOOKUP($F6,'[3]Primary Races'!$A:$G,HLOOKUP(A$2,'[3]Primary Races'!$1:$2,2,FALSE),FALSE)</f>
        <v>453</v>
      </c>
      <c r="B6" s="28">
        <f>VLOOKUP($F6,'[3]Primary Races'!$A:$G,HLOOKUP(B$2,'[3]Primary Races'!$1:$2,2,FALSE),FALSE)</f>
        <v>489</v>
      </c>
      <c r="C6" s="28">
        <f>VLOOKUP($F6,'[3]Primary Races'!$A:$G,HLOOKUP(C$2,'[3]Primary Races'!$1:$2,2,FALSE),FALSE)</f>
        <v>443</v>
      </c>
      <c r="D6" s="28">
        <f>VLOOKUP($F6,'[3]Primary Races'!$A:$G,HLOOKUP(D$2,'[3]Primary Races'!$1:$2,2,FALSE),FALSE)</f>
        <v>414</v>
      </c>
      <c r="E6" s="28">
        <f>VLOOKUP($F6,'[3]Primary Races'!$A:$G,HLOOKUP(E$2,'[3]Primary Races'!$1:$2,2,FALSE),FALSE)</f>
        <v>325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VLOOKUP($F7,'[3]Primary Races'!$A:$G,HLOOKUP(A$2,'[3]Primary Races'!$1:$2,2,FALSE),FALSE)</f>
        <v>130</v>
      </c>
      <c r="B7" s="28">
        <f>VLOOKUP($F7,'[3]Primary Races'!$A:$G,HLOOKUP(B$2,'[3]Primary Races'!$1:$2,2,FALSE),FALSE)</f>
        <v>144</v>
      </c>
      <c r="C7" s="28">
        <f>VLOOKUP($F7,'[3]Primary Races'!$A:$G,HLOOKUP(C$2,'[3]Primary Races'!$1:$2,2,FALSE),FALSE)</f>
        <v>122</v>
      </c>
      <c r="D7" s="28">
        <f>VLOOKUP($F7,'[3]Primary Races'!$A:$G,HLOOKUP(D$2,'[3]Primary Races'!$1:$2,2,FALSE),FALSE)</f>
        <v>89</v>
      </c>
      <c r="E7" s="28">
        <f>VLOOKUP($F7,'[3]Primary Races'!$A:$G,HLOOKUP(E$2,'[3]Primary Races'!$1:$2,2,FALSE),FALSE)</f>
        <v>66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VLOOKUP($F8,'[3]Primary Races'!$A:$G,HLOOKUP(A$2,'[3]Primary Races'!$1:$2,2,FALSE),FALSE)</f>
        <v>621</v>
      </c>
      <c r="B8" s="28">
        <f>VLOOKUP($F8,'[3]Primary Races'!$A:$G,HLOOKUP(B$2,'[3]Primary Races'!$1:$2,2,FALSE),FALSE)</f>
        <v>647</v>
      </c>
      <c r="C8" s="28">
        <f>VLOOKUP($F8,'[3]Primary Races'!$A:$G,HLOOKUP(C$2,'[3]Primary Races'!$1:$2,2,FALSE),FALSE)</f>
        <v>609</v>
      </c>
      <c r="D8" s="28">
        <f>VLOOKUP($F8,'[3]Primary Races'!$A:$G,HLOOKUP(D$2,'[3]Primary Races'!$1:$2,2,FALSE),FALSE)</f>
        <v>507</v>
      </c>
      <c r="E8" s="28">
        <f>VLOOKUP($F8,'[3]Primary Races'!$A:$G,HLOOKUP(E$2,'[3]Primary Races'!$1:$2,2,FALSE),FALSE)</f>
        <v>455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VLOOKUP($F9,'[3]Primary Races'!$A:$G,HLOOKUP(A$2,'[3]Primary Races'!$1:$2,2,FALSE),FALSE)</f>
        <v>88</v>
      </c>
      <c r="B9" s="28">
        <f>VLOOKUP($F9,'[3]Primary Races'!$A:$G,HLOOKUP(B$2,'[3]Primary Races'!$1:$2,2,FALSE),FALSE)</f>
        <v>100</v>
      </c>
      <c r="C9" s="28">
        <f>VLOOKUP($F9,'[3]Primary Races'!$A:$G,HLOOKUP(C$2,'[3]Primary Races'!$1:$2,2,FALSE),FALSE)</f>
        <v>87</v>
      </c>
      <c r="D9" s="28">
        <f>VLOOKUP($F9,'[3]Primary Races'!$A:$G,HLOOKUP(D$2,'[3]Primary Races'!$1:$2,2,FALSE),FALSE)</f>
        <v>62</v>
      </c>
      <c r="E9" s="28">
        <f>VLOOKUP($F9,'[3]Primary Races'!$A:$G,HLOOKUP(E$2,'[3]Primary Races'!$1:$2,2,FALSE),FALSE)</f>
        <v>47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VLOOKUP($F10,'[3]multi race'!$A:$G,HLOOKUP(A$2,'[3]multi race'!$1:$2,2,FALSE),FALSE)</f>
        <v>193</v>
      </c>
      <c r="B10" s="28">
        <f>VLOOKUP($F10,'[3]multi race'!$A:$G,HLOOKUP(B$2,'[3]multi race'!$1:$2,2,FALSE),FALSE)</f>
        <v>230</v>
      </c>
      <c r="C10" s="28">
        <f>VLOOKUP($F10,'[3]multi race'!$A:$G,HLOOKUP(C$2,'[3]multi race'!$1:$2,2,FALSE),FALSE)</f>
        <v>391</v>
      </c>
      <c r="D10" s="28">
        <f>VLOOKUP($F10,'[3]multi race'!$A:$G,HLOOKUP(D$2,'[3]multi race'!$1:$2,2,FALSE),FALSE)</f>
        <v>489</v>
      </c>
      <c r="E10" s="28">
        <f>VLOOKUP($F10,'[3]multi race'!$A:$G,HLOOKUP(E$2,'[3]multi race'!$1:$2,2,FALSE),FALSE)</f>
        <v>556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VLOOKUP($F11,[3]unknown!$A:$G,HLOOKUP(A$2,[3]unknown!$1:$2,2,FALSE),FALSE)</f>
        <v>939</v>
      </c>
      <c r="B11" s="28">
        <f>VLOOKUP($F11,[3]unknown!$A:$G,HLOOKUP(B$2,[3]unknown!$1:$2,2,FALSE),FALSE)</f>
        <v>1137</v>
      </c>
      <c r="C11" s="28">
        <f>VLOOKUP($F11,[3]unknown!$A:$G,HLOOKUP(C$2,[3]unknown!$1:$2,2,FALSE),FALSE)</f>
        <v>1013</v>
      </c>
      <c r="D11" s="28">
        <f>VLOOKUP($F11,[3]unknown!$A:$G,HLOOKUP(D$2,[3]unknown!$1:$2,2,FALSE),FALSE)</f>
        <v>670</v>
      </c>
      <c r="E11" s="28">
        <f>VLOOKUP($F11,[3]unknown!$A:$G,HLOOKUP(E$2,[3]unknown!$1:$2,2,FALSE),FALSE)</f>
        <v>455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104" bestFit="1" customWidth="1"/>
    <col min="2" max="2" width="16.5703125" style="104" bestFit="1" customWidth="1"/>
    <col min="3" max="7" width="12" style="104" bestFit="1" customWidth="1"/>
    <col min="8" max="8" width="10" style="104" bestFit="1" customWidth="1"/>
    <col min="9" max="9" width="12.42578125" style="104" bestFit="1" customWidth="1"/>
    <col min="10" max="11" width="12" style="104" bestFit="1" customWidth="1"/>
    <col min="12" max="12" width="15" style="104" bestFit="1" customWidth="1"/>
    <col min="13" max="13" width="13.7109375" style="104" bestFit="1" customWidth="1"/>
    <col min="14" max="14" width="13.140625" style="104" bestFit="1" customWidth="1"/>
    <col min="15" max="16384" width="9.140625" style="104"/>
  </cols>
  <sheetData>
    <row r="1" spans="1:13" x14ac:dyDescent="0.2">
      <c r="A1" s="105" t="s">
        <v>0</v>
      </c>
      <c r="B1" s="105" t="s">
        <v>43</v>
      </c>
      <c r="C1" s="105"/>
      <c r="D1" s="105"/>
      <c r="E1" s="105"/>
      <c r="F1" s="105"/>
      <c r="G1" s="105"/>
      <c r="H1" s="105"/>
      <c r="I1" s="105"/>
      <c r="J1" s="105"/>
      <c r="K1" s="105"/>
      <c r="L1" s="105" t="s">
        <v>1</v>
      </c>
      <c r="M1" s="105"/>
    </row>
    <row r="2" spans="1:13" x14ac:dyDescent="0.2">
      <c r="A2" s="105"/>
      <c r="B2" s="105" t="s">
        <v>3</v>
      </c>
      <c r="C2" s="105"/>
      <c r="D2" s="105" t="s">
        <v>4</v>
      </c>
      <c r="E2" s="105"/>
      <c r="F2" s="105" t="s">
        <v>5</v>
      </c>
      <c r="G2" s="105"/>
      <c r="H2" s="105" t="s">
        <v>6</v>
      </c>
      <c r="I2" s="105"/>
      <c r="J2" s="105" t="s">
        <v>7</v>
      </c>
      <c r="K2" s="105"/>
      <c r="L2" s="105" t="s">
        <v>40</v>
      </c>
      <c r="M2" s="105"/>
    </row>
    <row r="3" spans="1:13" x14ac:dyDescent="0.2">
      <c r="A3" s="104" t="s">
        <v>9</v>
      </c>
      <c r="B3" s="104" t="s">
        <v>10</v>
      </c>
      <c r="C3" s="104" t="s">
        <v>11</v>
      </c>
      <c r="D3" s="104" t="s">
        <v>10</v>
      </c>
      <c r="E3" s="104" t="s">
        <v>11</v>
      </c>
      <c r="F3" s="104" t="s">
        <v>10</v>
      </c>
      <c r="G3" s="104" t="s">
        <v>11</v>
      </c>
      <c r="H3" s="104" t="s">
        <v>10</v>
      </c>
      <c r="I3" s="104" t="s">
        <v>11</v>
      </c>
      <c r="J3" s="104" t="s">
        <v>10</v>
      </c>
      <c r="K3" s="104" t="s">
        <v>11</v>
      </c>
      <c r="L3" s="104" t="s">
        <v>10</v>
      </c>
      <c r="M3" s="104" t="s">
        <v>11</v>
      </c>
    </row>
    <row r="4" spans="1:13" x14ac:dyDescent="0.2">
      <c r="A4" s="104" t="str">
        <f>A3</f>
        <v>Gender</v>
      </c>
      <c r="B4" s="104" t="str">
        <f>CONCATENATE(B2,B3)</f>
        <v>AY07-08#</v>
      </c>
      <c r="C4" s="104" t="str">
        <f>CONCATENATE(B2,C3)</f>
        <v>AY07-08%</v>
      </c>
      <c r="D4" s="104" t="str">
        <f t="shared" ref="D4" si="0">CONCATENATE(D2,D3)</f>
        <v>AY08-09#</v>
      </c>
      <c r="E4" s="104" t="str">
        <f t="shared" ref="E4" si="1">CONCATENATE(D2,E3)</f>
        <v>AY08-09%</v>
      </c>
      <c r="F4" s="104" t="str">
        <f t="shared" ref="F4" si="2">CONCATENATE(F2,F3)</f>
        <v>AY09-10#</v>
      </c>
      <c r="G4" s="104" t="str">
        <f t="shared" ref="G4" si="3">CONCATENATE(F2,G3)</f>
        <v>AY09-10%</v>
      </c>
      <c r="H4" s="104" t="str">
        <f t="shared" ref="H4" si="4">CONCATENATE(H2,H3)</f>
        <v>AY10-11#</v>
      </c>
      <c r="I4" s="104" t="str">
        <f t="shared" ref="I4" si="5">CONCATENATE(H2,I3)</f>
        <v>AY10-11%</v>
      </c>
      <c r="J4" s="104" t="str">
        <f t="shared" ref="J4" si="6">CONCATENATE(J2,J3)</f>
        <v>AY11-12#</v>
      </c>
      <c r="K4" s="104" t="str">
        <f t="shared" ref="K4" si="7">CONCATENATE(J2,K3)</f>
        <v>AY11-12%</v>
      </c>
      <c r="L4" s="104" t="str">
        <f t="shared" ref="L4" si="8">CONCATENATE(L2,L3)</f>
        <v>2010 Census#</v>
      </c>
      <c r="M4" s="104" t="str">
        <f t="shared" ref="M4" si="9">CONCATENATE(L2,M3)</f>
        <v>2010 Census%</v>
      </c>
    </row>
    <row r="5" spans="1:13" x14ac:dyDescent="0.2">
      <c r="A5" s="104" t="s">
        <v>12</v>
      </c>
      <c r="B5" s="104">
        <f>gender!A3</f>
        <v>7658</v>
      </c>
      <c r="C5" s="104">
        <f>B5/B$8</f>
        <v>0.59767423710294232</v>
      </c>
      <c r="D5" s="104">
        <f>gender!B3</f>
        <v>8341</v>
      </c>
      <c r="E5" s="104">
        <f>D5/D$8</f>
        <v>0.58214684533780015</v>
      </c>
      <c r="F5" s="104">
        <f>gender!C3</f>
        <v>8198</v>
      </c>
      <c r="G5" s="104">
        <f>F5/F$8</f>
        <v>0.57316646857302667</v>
      </c>
      <c r="H5" s="104">
        <f>gender!D3</f>
        <v>7167</v>
      </c>
      <c r="I5" s="104">
        <f>H5/H$8</f>
        <v>0.56247056976926701</v>
      </c>
      <c r="J5" s="104">
        <f>gender!E3</f>
        <v>6625</v>
      </c>
      <c r="K5" s="104">
        <f>J5/J$8</f>
        <v>0.55513658454834924</v>
      </c>
      <c r="L5" s="104">
        <v>425726</v>
      </c>
      <c r="M5" s="104">
        <f>L5/L$8</f>
        <v>0.50871708836104401</v>
      </c>
    </row>
    <row r="6" spans="1:13" x14ac:dyDescent="0.2">
      <c r="A6" s="104" t="s">
        <v>13</v>
      </c>
      <c r="B6" s="104">
        <f>gender!A4</f>
        <v>5063</v>
      </c>
      <c r="C6" s="104">
        <f>B6/B$8</f>
        <v>0.39514555529540313</v>
      </c>
      <c r="D6" s="104">
        <f>gender!B4</f>
        <v>5799</v>
      </c>
      <c r="E6" s="104">
        <f>D6/D$8</f>
        <v>0.4047319932998325</v>
      </c>
      <c r="F6" s="104">
        <f>gender!C4</f>
        <v>5955</v>
      </c>
      <c r="G6" s="104">
        <f>F6/F$8</f>
        <v>0.4163462210725023</v>
      </c>
      <c r="H6" s="104">
        <f>gender!D4</f>
        <v>5447</v>
      </c>
      <c r="I6" s="104">
        <f>H6/H$8</f>
        <v>0.42748391147386594</v>
      </c>
      <c r="J6" s="104">
        <f>gender!E4</f>
        <v>5206</v>
      </c>
      <c r="K6" s="104">
        <f>J6/J$8</f>
        <v>0.43623261270320096</v>
      </c>
      <c r="L6" s="104">
        <v>411136</v>
      </c>
      <c r="M6" s="104">
        <f>L6/L$8</f>
        <v>0.49128291163895599</v>
      </c>
    </row>
    <row r="7" spans="1:13" x14ac:dyDescent="0.2">
      <c r="A7" s="104" t="s">
        <v>14</v>
      </c>
      <c r="B7" s="104">
        <f>gender!A5</f>
        <v>92</v>
      </c>
      <c r="C7" s="104">
        <f>B7/B$8</f>
        <v>7.18020760165457E-3</v>
      </c>
      <c r="D7" s="104">
        <f>gender!B5</f>
        <v>188</v>
      </c>
      <c r="E7" s="104">
        <f>D7/D$8</f>
        <v>1.3121161362367392E-2</v>
      </c>
      <c r="F7" s="104">
        <f>gender!C5</f>
        <v>150</v>
      </c>
      <c r="G7" s="104">
        <f>F7/F$8</f>
        <v>1.0487310354471089E-2</v>
      </c>
      <c r="H7" s="104">
        <f>gender!D5</f>
        <v>128</v>
      </c>
      <c r="I7" s="104">
        <f>H7/H$8</f>
        <v>1.0045518756867053E-2</v>
      </c>
      <c r="J7" s="104">
        <f>gender!E5</f>
        <v>103</v>
      </c>
      <c r="K7" s="104">
        <f>J7/J$8</f>
        <v>8.6308027484498073E-3</v>
      </c>
      <c r="L7" s="104">
        <v>0</v>
      </c>
      <c r="M7" s="104">
        <f>L7/L$8</f>
        <v>0</v>
      </c>
    </row>
    <row r="8" spans="1:13" x14ac:dyDescent="0.2">
      <c r="A8" s="104" t="s">
        <v>15</v>
      </c>
      <c r="B8" s="104">
        <f>SUM(B5:B7)</f>
        <v>12813</v>
      </c>
      <c r="D8" s="104">
        <f>SUM(D5:D7)</f>
        <v>14328</v>
      </c>
      <c r="F8" s="104">
        <f>SUM(F5:F7)</f>
        <v>14303</v>
      </c>
      <c r="H8" s="104">
        <f>SUM(H5:H7)</f>
        <v>12742</v>
      </c>
      <c r="J8" s="104">
        <f>SUM(J5:J7)</f>
        <v>11934</v>
      </c>
      <c r="L8" s="104">
        <f>SUM(L5:L7)</f>
        <v>836862</v>
      </c>
    </row>
    <row r="10" spans="1:13" x14ac:dyDescent="0.2">
      <c r="B10" s="105" t="s">
        <v>43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 t="s">
        <v>1</v>
      </c>
      <c r="M10" s="105"/>
    </row>
    <row r="11" spans="1:13" x14ac:dyDescent="0.2">
      <c r="B11" s="105" t="s">
        <v>3</v>
      </c>
      <c r="C11" s="105"/>
      <c r="D11" s="105" t="s">
        <v>4</v>
      </c>
      <c r="E11" s="105"/>
      <c r="F11" s="105" t="s">
        <v>5</v>
      </c>
      <c r="G11" s="105"/>
      <c r="H11" s="105" t="s">
        <v>6</v>
      </c>
      <c r="I11" s="105"/>
      <c r="J11" s="105" t="s">
        <v>7</v>
      </c>
      <c r="K11" s="105"/>
      <c r="L11" s="105" t="s">
        <v>40</v>
      </c>
      <c r="M11" s="105"/>
    </row>
    <row r="12" spans="1:13" x14ac:dyDescent="0.2">
      <c r="A12" s="104" t="s">
        <v>16</v>
      </c>
      <c r="B12" s="104" t="s">
        <v>10</v>
      </c>
      <c r="C12" s="104" t="s">
        <v>11</v>
      </c>
      <c r="D12" s="104" t="s">
        <v>10</v>
      </c>
      <c r="E12" s="104" t="s">
        <v>11</v>
      </c>
      <c r="F12" s="104" t="s">
        <v>10</v>
      </c>
      <c r="G12" s="104" t="s">
        <v>11</v>
      </c>
      <c r="H12" s="104" t="s">
        <v>10</v>
      </c>
      <c r="I12" s="104" t="s">
        <v>11</v>
      </c>
      <c r="J12" s="104" t="s">
        <v>10</v>
      </c>
      <c r="K12" s="104" t="s">
        <v>11</v>
      </c>
      <c r="L12" s="104" t="s">
        <v>10</v>
      </c>
      <c r="M12" s="104" t="s">
        <v>11</v>
      </c>
    </row>
    <row r="13" spans="1:13" x14ac:dyDescent="0.2">
      <c r="A13" s="104" t="str">
        <f>A12</f>
        <v>Ethnicity</v>
      </c>
      <c r="B13" s="104" t="str">
        <f>B4</f>
        <v>AY07-08#</v>
      </c>
      <c r="C13" s="104" t="str">
        <f t="shared" ref="C13:M13" si="10">C4</f>
        <v>AY07-08%</v>
      </c>
      <c r="D13" s="104" t="str">
        <f t="shared" si="10"/>
        <v>AY08-09#</v>
      </c>
      <c r="E13" s="104" t="str">
        <f t="shared" si="10"/>
        <v>AY08-09%</v>
      </c>
      <c r="F13" s="104" t="str">
        <f t="shared" si="10"/>
        <v>AY09-10#</v>
      </c>
      <c r="G13" s="104" t="str">
        <f t="shared" si="10"/>
        <v>AY09-10%</v>
      </c>
      <c r="H13" s="104" t="str">
        <f t="shared" si="10"/>
        <v>AY10-11#</v>
      </c>
      <c r="I13" s="104" t="str">
        <f t="shared" si="10"/>
        <v>AY10-11%</v>
      </c>
      <c r="J13" s="104" t="str">
        <f t="shared" si="10"/>
        <v>AY11-12#</v>
      </c>
      <c r="K13" s="104" t="str">
        <f t="shared" si="10"/>
        <v>AY11-12%</v>
      </c>
      <c r="L13" s="104" t="str">
        <f t="shared" si="10"/>
        <v>2010 Census#</v>
      </c>
      <c r="M13" s="104" t="str">
        <f t="shared" si="10"/>
        <v>2010 Census%</v>
      </c>
    </row>
    <row r="14" spans="1:13" x14ac:dyDescent="0.2">
      <c r="A14" s="104" t="s">
        <v>17</v>
      </c>
      <c r="B14" s="104">
        <f>ethnic!A3</f>
        <v>6073</v>
      </c>
      <c r="C14" s="104">
        <f t="shared" ref="C14:C22" si="11">B14/(SUM(B$14:B$22))</f>
        <v>0.47397174744400217</v>
      </c>
      <c r="D14" s="104">
        <f>ethnic!B3</f>
        <v>6628</v>
      </c>
      <c r="E14" s="104">
        <f t="shared" ref="E14:E22" si="12">D14/(SUM(D$14:D$22))</f>
        <v>0.46259073143495255</v>
      </c>
      <c r="F14" s="104">
        <f>ethnic!C3</f>
        <v>6423</v>
      </c>
      <c r="G14" s="104">
        <f t="shared" ref="G14:G22" si="13">F14/(SUM(F$14:F$22))</f>
        <v>0.4490666293784521</v>
      </c>
      <c r="H14" s="104">
        <f>ethnic!D3</f>
        <v>5563</v>
      </c>
      <c r="I14" s="104">
        <f t="shared" ref="I14:I22" si="14">H14/(SUM(H$14:H$22))</f>
        <v>0.43658766284727674</v>
      </c>
      <c r="J14" s="104">
        <f>ethnic!E3</f>
        <v>4964</v>
      </c>
      <c r="K14" s="104">
        <f t="shared" ref="K14:K22" si="15">J14/(SUM(J$14:J$22))</f>
        <v>0.41595441595441596</v>
      </c>
      <c r="L14" s="104">
        <v>398271</v>
      </c>
      <c r="M14" s="104">
        <f t="shared" ref="M14:M22" si="16">L14/(SUM(L$14:L$22))</f>
        <v>0.47591000666776601</v>
      </c>
    </row>
    <row r="15" spans="1:13" x14ac:dyDescent="0.2">
      <c r="A15" s="104" t="s">
        <v>18</v>
      </c>
      <c r="B15" s="104">
        <f>ethnic!A4</f>
        <v>3497</v>
      </c>
      <c r="C15" s="104">
        <f t="shared" si="11"/>
        <v>0.27292593459767422</v>
      </c>
      <c r="D15" s="104">
        <f>ethnic!B4</f>
        <v>4002</v>
      </c>
      <c r="E15" s="104">
        <f t="shared" si="12"/>
        <v>0.27931323283082077</v>
      </c>
      <c r="F15" s="104">
        <f>ethnic!C4</f>
        <v>4289</v>
      </c>
      <c r="G15" s="104">
        <f t="shared" si="13"/>
        <v>0.29986716073551001</v>
      </c>
      <c r="H15" s="104">
        <f>ethnic!D4</f>
        <v>4143</v>
      </c>
      <c r="I15" s="104">
        <f t="shared" si="14"/>
        <v>0.32514518913828283</v>
      </c>
      <c r="J15" s="104">
        <f>ethnic!E4</f>
        <v>4339</v>
      </c>
      <c r="K15" s="104">
        <f t="shared" si="15"/>
        <v>0.36358304005362829</v>
      </c>
      <c r="L15" s="104">
        <v>318674</v>
      </c>
      <c r="M15" s="104">
        <f t="shared" si="16"/>
        <v>0.38079635591053246</v>
      </c>
    </row>
    <row r="16" spans="1:13" x14ac:dyDescent="0.2">
      <c r="A16" s="104" t="s">
        <v>19</v>
      </c>
      <c r="B16" s="104">
        <f>ethnic!A5</f>
        <v>819</v>
      </c>
      <c r="C16" s="104">
        <f t="shared" si="11"/>
        <v>6.3919456801685787E-2</v>
      </c>
      <c r="D16" s="104">
        <f>ethnic!B5</f>
        <v>951</v>
      </c>
      <c r="E16" s="104">
        <f t="shared" si="12"/>
        <v>6.6373534338358464E-2</v>
      </c>
      <c r="F16" s="104">
        <f>ethnic!C5</f>
        <v>926</v>
      </c>
      <c r="G16" s="104">
        <f t="shared" si="13"/>
        <v>6.474166258826819E-2</v>
      </c>
      <c r="H16" s="104">
        <f>ethnic!D5</f>
        <v>805</v>
      </c>
      <c r="I16" s="104">
        <f t="shared" si="14"/>
        <v>6.3176895306859202E-2</v>
      </c>
      <c r="J16" s="104">
        <f>ethnic!E5</f>
        <v>727</v>
      </c>
      <c r="K16" s="104">
        <f t="shared" si="15"/>
        <v>6.0918384447796216E-2</v>
      </c>
      <c r="L16" s="104">
        <v>43085</v>
      </c>
      <c r="M16" s="104">
        <f t="shared" si="16"/>
        <v>5.1483996166632011E-2</v>
      </c>
    </row>
    <row r="17" spans="1:13" x14ac:dyDescent="0.2">
      <c r="A17" s="104" t="s">
        <v>20</v>
      </c>
      <c r="B17" s="104">
        <f>ethnic!A6</f>
        <v>453</v>
      </c>
      <c r="C17" s="104">
        <f t="shared" si="11"/>
        <v>3.5354717864668699E-2</v>
      </c>
      <c r="D17" s="104">
        <f>ethnic!B6</f>
        <v>489</v>
      </c>
      <c r="E17" s="104">
        <f t="shared" si="12"/>
        <v>3.4128978224455611E-2</v>
      </c>
      <c r="F17" s="104">
        <f>ethnic!C6</f>
        <v>443</v>
      </c>
      <c r="G17" s="104">
        <f t="shared" si="13"/>
        <v>3.0972523246871286E-2</v>
      </c>
      <c r="H17" s="104">
        <f>ethnic!D6</f>
        <v>414</v>
      </c>
      <c r="I17" s="104">
        <f t="shared" si="14"/>
        <v>3.2490974729241874E-2</v>
      </c>
      <c r="J17" s="104">
        <f>ethnic!E6</f>
        <v>325</v>
      </c>
      <c r="K17" s="104">
        <f t="shared" si="15"/>
        <v>2.7233115468409588E-2</v>
      </c>
      <c r="L17" s="104">
        <v>21251</v>
      </c>
      <c r="M17" s="104">
        <f t="shared" si="16"/>
        <v>2.5393673030917881E-2</v>
      </c>
    </row>
    <row r="18" spans="1:13" x14ac:dyDescent="0.2">
      <c r="A18" s="104" t="s">
        <v>21</v>
      </c>
      <c r="B18" s="104">
        <f>ethnic!A7</f>
        <v>130</v>
      </c>
      <c r="C18" s="104">
        <f t="shared" si="11"/>
        <v>1.014594552407711E-2</v>
      </c>
      <c r="D18" s="104">
        <f>ethnic!B7</f>
        <v>144</v>
      </c>
      <c r="E18" s="104">
        <f t="shared" si="12"/>
        <v>1.0050251256281407E-2</v>
      </c>
      <c r="F18" s="104">
        <f>ethnic!C7</f>
        <v>122</v>
      </c>
      <c r="G18" s="104">
        <f t="shared" si="13"/>
        <v>8.5296790883031531E-3</v>
      </c>
      <c r="H18" s="104">
        <f>ethnic!D7</f>
        <v>89</v>
      </c>
      <c r="I18" s="104">
        <f t="shared" si="14"/>
        <v>6.9847747606341234E-3</v>
      </c>
      <c r="J18" s="104">
        <f>ethnic!E7</f>
        <v>66</v>
      </c>
      <c r="K18" s="104">
        <f t="shared" si="15"/>
        <v>5.5304172951231778E-3</v>
      </c>
      <c r="L18" s="104">
        <v>6071</v>
      </c>
      <c r="M18" s="104">
        <f t="shared" si="16"/>
        <v>7.254481623015503E-3</v>
      </c>
    </row>
    <row r="19" spans="1:13" x14ac:dyDescent="0.2">
      <c r="A19" s="104" t="s">
        <v>22</v>
      </c>
      <c r="B19" s="104">
        <f>ethnic!A8</f>
        <v>621</v>
      </c>
      <c r="C19" s="104">
        <f t="shared" si="11"/>
        <v>4.8466401311168347E-2</v>
      </c>
      <c r="D19" s="104">
        <f>ethnic!B8</f>
        <v>647</v>
      </c>
      <c r="E19" s="104">
        <f t="shared" si="12"/>
        <v>4.5156337241764377E-2</v>
      </c>
      <c r="F19" s="104">
        <f>ethnic!C8</f>
        <v>609</v>
      </c>
      <c r="G19" s="104">
        <f t="shared" si="13"/>
        <v>4.2578480039152627E-2</v>
      </c>
      <c r="H19" s="104">
        <f>ethnic!D8</f>
        <v>507</v>
      </c>
      <c r="I19" s="104">
        <f t="shared" si="14"/>
        <v>3.9789671951028095E-2</v>
      </c>
      <c r="J19" s="104">
        <f>ethnic!E8</f>
        <v>455</v>
      </c>
      <c r="K19" s="104">
        <f t="shared" si="15"/>
        <v>3.8126361655773419E-2</v>
      </c>
      <c r="L19" s="104">
        <v>23365</v>
      </c>
      <c r="M19" s="104">
        <f t="shared" si="16"/>
        <v>2.7919776498395197E-2</v>
      </c>
    </row>
    <row r="20" spans="1:13" x14ac:dyDescent="0.2">
      <c r="A20" s="104" t="s">
        <v>23</v>
      </c>
      <c r="B20" s="104">
        <f>ethnic!A9</f>
        <v>88</v>
      </c>
      <c r="C20" s="104">
        <f t="shared" si="11"/>
        <v>6.8680246624521967E-3</v>
      </c>
      <c r="D20" s="104">
        <f>ethnic!B9</f>
        <v>100</v>
      </c>
      <c r="E20" s="104">
        <f t="shared" si="12"/>
        <v>6.9793411501954212E-3</v>
      </c>
      <c r="F20" s="104">
        <f>ethnic!C9</f>
        <v>87</v>
      </c>
      <c r="G20" s="104">
        <f t="shared" si="13"/>
        <v>6.0826400055932319E-3</v>
      </c>
      <c r="H20" s="104">
        <f>ethnic!D9</f>
        <v>62</v>
      </c>
      <c r="I20" s="104">
        <f t="shared" si="14"/>
        <v>4.865798147857479E-3</v>
      </c>
      <c r="J20" s="104">
        <f>ethnic!E9</f>
        <v>47</v>
      </c>
      <c r="K20" s="104">
        <f t="shared" si="15"/>
        <v>3.938327467739232E-3</v>
      </c>
      <c r="L20" s="104">
        <v>2305</v>
      </c>
      <c r="M20" s="104">
        <f t="shared" si="16"/>
        <v>2.7543370352579037E-3</v>
      </c>
    </row>
    <row r="21" spans="1:13" x14ac:dyDescent="0.2">
      <c r="A21" s="104" t="s">
        <v>24</v>
      </c>
      <c r="B21" s="104">
        <f>ethnic!A10</f>
        <v>193</v>
      </c>
      <c r="C21" s="104">
        <f t="shared" si="11"/>
        <v>1.5062826816514477E-2</v>
      </c>
      <c r="D21" s="104">
        <f>ethnic!B10</f>
        <v>230</v>
      </c>
      <c r="E21" s="104">
        <f t="shared" si="12"/>
        <v>1.605248464544947E-2</v>
      </c>
      <c r="F21" s="104">
        <f>ethnic!C10</f>
        <v>391</v>
      </c>
      <c r="G21" s="104">
        <f t="shared" si="13"/>
        <v>2.7336922323987975E-2</v>
      </c>
      <c r="H21" s="104">
        <f>ethnic!D10</f>
        <v>489</v>
      </c>
      <c r="I21" s="104">
        <f t="shared" si="14"/>
        <v>3.8377020875843666E-2</v>
      </c>
      <c r="J21" s="104">
        <f>ethnic!E10</f>
        <v>556</v>
      </c>
      <c r="K21" s="104">
        <f t="shared" si="15"/>
        <v>4.6589576001340706E-2</v>
      </c>
      <c r="L21" s="104">
        <v>22553</v>
      </c>
      <c r="M21" s="104">
        <f t="shared" si="16"/>
        <v>2.6949485100291326E-2</v>
      </c>
    </row>
    <row r="22" spans="1:13" x14ac:dyDescent="0.2">
      <c r="A22" s="104" t="s">
        <v>14</v>
      </c>
      <c r="B22" s="104">
        <f>ethnic!A11</f>
        <v>939</v>
      </c>
      <c r="C22" s="104">
        <f t="shared" si="11"/>
        <v>7.3284944977756963E-2</v>
      </c>
      <c r="D22" s="104">
        <f>ethnic!B11</f>
        <v>1137</v>
      </c>
      <c r="E22" s="104">
        <f t="shared" si="12"/>
        <v>7.9355108877721944E-2</v>
      </c>
      <c r="F22" s="104">
        <f>ethnic!C11</f>
        <v>1013</v>
      </c>
      <c r="G22" s="104">
        <f t="shared" si="13"/>
        <v>7.0824302593861424E-2</v>
      </c>
      <c r="H22" s="104">
        <f>ethnic!D11</f>
        <v>670</v>
      </c>
      <c r="I22" s="104">
        <f t="shared" si="14"/>
        <v>5.2582012242975984E-2</v>
      </c>
      <c r="J22" s="104">
        <f>ethnic!E11</f>
        <v>455</v>
      </c>
      <c r="K22" s="104">
        <f t="shared" si="15"/>
        <v>3.8126361655773419E-2</v>
      </c>
      <c r="L22" s="104">
        <v>1287</v>
      </c>
      <c r="M22" s="104">
        <f t="shared" si="16"/>
        <v>1.5378879671917233E-3</v>
      </c>
    </row>
    <row r="24" spans="1:13" ht="15.75" customHeight="1" x14ac:dyDescent="0.2">
      <c r="B24" s="105" t="s">
        <v>43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 t="s">
        <v>1</v>
      </c>
      <c r="M24" s="105"/>
    </row>
    <row r="25" spans="1:13" x14ac:dyDescent="0.2">
      <c r="B25" s="105" t="s">
        <v>3</v>
      </c>
      <c r="C25" s="105"/>
      <c r="D25" s="105" t="s">
        <v>4</v>
      </c>
      <c r="E25" s="105"/>
      <c r="F25" s="105" t="s">
        <v>5</v>
      </c>
      <c r="G25" s="105"/>
      <c r="H25" s="105" t="s">
        <v>6</v>
      </c>
      <c r="I25" s="105"/>
      <c r="J25" s="105" t="s">
        <v>7</v>
      </c>
      <c r="K25" s="105"/>
      <c r="L25" s="105" t="s">
        <v>40</v>
      </c>
      <c r="M25" s="105"/>
    </row>
    <row r="26" spans="1:13" x14ac:dyDescent="0.2">
      <c r="A26" s="104" t="s">
        <v>25</v>
      </c>
      <c r="B26" s="104" t="s">
        <v>10</v>
      </c>
      <c r="C26" s="104" t="s">
        <v>11</v>
      </c>
      <c r="D26" s="104" t="s">
        <v>10</v>
      </c>
      <c r="E26" s="104" t="s">
        <v>11</v>
      </c>
      <c r="F26" s="104" t="s">
        <v>10</v>
      </c>
      <c r="G26" s="104" t="s">
        <v>11</v>
      </c>
      <c r="H26" s="104" t="s">
        <v>10</v>
      </c>
      <c r="I26" s="104" t="s">
        <v>11</v>
      </c>
      <c r="J26" s="104" t="s">
        <v>10</v>
      </c>
      <c r="K26" s="104" t="s">
        <v>11</v>
      </c>
      <c r="L26" s="104" t="s">
        <v>10</v>
      </c>
      <c r="M26" s="104" t="s">
        <v>11</v>
      </c>
    </row>
    <row r="27" spans="1:13" x14ac:dyDescent="0.2">
      <c r="A27" s="104" t="str">
        <f>A26</f>
        <v xml:space="preserve">Age </v>
      </c>
      <c r="B27" s="104" t="str">
        <f>B13</f>
        <v>AY07-08#</v>
      </c>
      <c r="C27" s="104" t="str">
        <f t="shared" ref="C27:M27" si="17">C13</f>
        <v>AY07-08%</v>
      </c>
      <c r="D27" s="104" t="str">
        <f t="shared" si="17"/>
        <v>AY08-09#</v>
      </c>
      <c r="E27" s="104" t="str">
        <f t="shared" si="17"/>
        <v>AY08-09%</v>
      </c>
      <c r="F27" s="104" t="str">
        <f t="shared" si="17"/>
        <v>AY09-10#</v>
      </c>
      <c r="G27" s="104" t="str">
        <f t="shared" si="17"/>
        <v>AY09-10%</v>
      </c>
      <c r="H27" s="104" t="str">
        <f t="shared" si="17"/>
        <v>AY10-11#</v>
      </c>
      <c r="I27" s="104" t="str">
        <f t="shared" si="17"/>
        <v>AY10-11%</v>
      </c>
      <c r="J27" s="104" t="str">
        <f t="shared" si="17"/>
        <v>AY11-12#</v>
      </c>
      <c r="K27" s="104" t="str">
        <f t="shared" si="17"/>
        <v>AY11-12%</v>
      </c>
      <c r="L27" s="104" t="str">
        <f t="shared" si="17"/>
        <v>2010 Census#</v>
      </c>
      <c r="M27" s="104" t="str">
        <f t="shared" si="17"/>
        <v>2010 Census%</v>
      </c>
    </row>
    <row r="28" spans="1:13" x14ac:dyDescent="0.2">
      <c r="A28" s="104" t="s">
        <v>26</v>
      </c>
      <c r="B28" s="104">
        <f>VLOOKUP($A28,'[1]age headcounts'!$A:$G,HLOOKUP(Sheet2!B$1,'[1]age headcounts'!$1:$2,2,FALSE),FALSE)</f>
        <v>297</v>
      </c>
      <c r="C28" s="104">
        <f>B28/(SUM(B$28:B$36))</f>
        <v>2.3179583235776166E-2</v>
      </c>
      <c r="D28" s="104">
        <f>VLOOKUP($A28,'[1]age headcounts'!$A:$G,HLOOKUP(Sheet2!D$1,'[1]age headcounts'!$1:$2,2,FALSE),FALSE)</f>
        <v>427</v>
      </c>
      <c r="E28" s="104">
        <f>D28/(SUM(D$28:D$36))</f>
        <v>2.980178671133445E-2</v>
      </c>
      <c r="F28" s="104">
        <f>VLOOKUP($A28,'[1]age headcounts'!$A:$G,HLOOKUP(Sheet2!F$1,'[1]age headcounts'!$1:$2,2,FALSE),FALSE)</f>
        <v>337</v>
      </c>
      <c r="G28" s="104">
        <f>F28/(SUM(F$28:F$36))</f>
        <v>2.3561490596378382E-2</v>
      </c>
      <c r="H28" s="104">
        <f>VLOOKUP($A28,'[1]age headcounts'!$A:$G,HLOOKUP(Sheet2!H$1,'[1]age headcounts'!$1:$2,2,FALSE),FALSE)</f>
        <v>134</v>
      </c>
      <c r="I28" s="104">
        <f>H28/(SUM(H$28:H$36))</f>
        <v>1.0516402448595197E-2</v>
      </c>
      <c r="J28" s="104">
        <f>VLOOKUP($A28,'[1]age headcounts'!$A:$G,HLOOKUP(Sheet2!J$1,'[1]age headcounts'!$1:$2,2,FALSE),FALSE)</f>
        <v>105</v>
      </c>
      <c r="K28" s="104">
        <f>J28/(SUM(J$28:J$36))</f>
        <v>8.7983911513323278E-3</v>
      </c>
      <c r="L28" s="104">
        <v>245217</v>
      </c>
      <c r="M28" s="104">
        <f>L28/SUM(L$28:L$36)</f>
        <v>0.29301963764635031</v>
      </c>
    </row>
    <row r="29" spans="1:13" x14ac:dyDescent="0.2">
      <c r="A29" s="104" t="s">
        <v>27</v>
      </c>
      <c r="B29" s="104">
        <f>VLOOKUP($A29,'[1]age headcounts'!$A:$G,HLOOKUP(Sheet2!B$1,'[1]age headcounts'!$1:$2,2,FALSE),FALSE)</f>
        <v>3297</v>
      </c>
      <c r="C29" s="104">
        <f t="shared" ref="C29:C36" si="18">B29/(SUM(B$28:B$36))</f>
        <v>0.25731678763755561</v>
      </c>
      <c r="D29" s="104">
        <f>VLOOKUP($A29,'[1]age headcounts'!$A:$G,HLOOKUP(Sheet2!D$1,'[1]age headcounts'!$1:$2,2,FALSE),FALSE)</f>
        <v>3740</v>
      </c>
      <c r="E29" s="104">
        <f t="shared" ref="E29:E36" si="19">D29/(SUM(D$28:D$36))</f>
        <v>0.26102735901730878</v>
      </c>
      <c r="F29" s="104">
        <f>VLOOKUP($A29,'[1]age headcounts'!$A:$G,HLOOKUP(Sheet2!F$1,'[1]age headcounts'!$1:$2,2,FALSE),FALSE)</f>
        <v>3641</v>
      </c>
      <c r="G29" s="104">
        <f t="shared" ref="G29:G36" si="20">F29/(SUM(F$28:F$36))</f>
        <v>0.25456198000419494</v>
      </c>
      <c r="H29" s="104">
        <f>VLOOKUP($A29,'[1]age headcounts'!$A:$G,HLOOKUP(Sheet2!H$1,'[1]age headcounts'!$1:$2,2,FALSE),FALSE)</f>
        <v>2877</v>
      </c>
      <c r="I29" s="104">
        <f t="shared" ref="I29:I36" si="21">H29/(SUM(H$28:H$36))</f>
        <v>0.22578873018364465</v>
      </c>
      <c r="J29" s="104">
        <f>VLOOKUP($A29,'[1]age headcounts'!$A:$G,HLOOKUP(Sheet2!J$1,'[1]age headcounts'!$1:$2,2,FALSE),FALSE)</f>
        <v>2586</v>
      </c>
      <c r="K29" s="104">
        <f t="shared" ref="K29:K36" si="22">J29/(SUM(J$28:J$36))</f>
        <v>0.21669180492709905</v>
      </c>
      <c r="L29" s="104">
        <v>25706</v>
      </c>
      <c r="M29" s="104">
        <f t="shared" ref="M29:M36" si="23">L29/SUM(L$28:L$36)</f>
        <v>3.0717131378889231E-2</v>
      </c>
    </row>
    <row r="30" spans="1:13" x14ac:dyDescent="0.2">
      <c r="A30" s="104" t="s">
        <v>28</v>
      </c>
      <c r="B30" s="104">
        <f>VLOOKUP($A30,'[1]age headcounts'!$A:$G,HLOOKUP(Sheet2!B$1,'[1]age headcounts'!$1:$2,2,FALSE),FALSE)</f>
        <v>4371</v>
      </c>
      <c r="C30" s="104">
        <f t="shared" si="18"/>
        <v>0.34113790681339262</v>
      </c>
      <c r="D30" s="104">
        <f>VLOOKUP($A30,'[1]age headcounts'!$A:$G,HLOOKUP(Sheet2!D$1,'[1]age headcounts'!$1:$2,2,FALSE),FALSE)</f>
        <v>4888</v>
      </c>
      <c r="E30" s="104">
        <f t="shared" si="19"/>
        <v>0.34115019542155223</v>
      </c>
      <c r="F30" s="104">
        <f>VLOOKUP($A30,'[1]age headcounts'!$A:$G,HLOOKUP(Sheet2!F$1,'[1]age headcounts'!$1:$2,2,FALSE),FALSE)</f>
        <v>4940</v>
      </c>
      <c r="G30" s="104">
        <f t="shared" si="20"/>
        <v>0.34538208767391454</v>
      </c>
      <c r="H30" s="104">
        <f>VLOOKUP($A30,'[1]age headcounts'!$A:$G,HLOOKUP(Sheet2!H$1,'[1]age headcounts'!$1:$2,2,FALSE),FALSE)</f>
        <v>4919</v>
      </c>
      <c r="I30" s="104">
        <f t="shared" si="21"/>
        <v>0.38604614660178938</v>
      </c>
      <c r="J30" s="104">
        <f>VLOOKUP($A30,'[1]age headcounts'!$A:$G,HLOOKUP(Sheet2!J$1,'[1]age headcounts'!$1:$2,2,FALSE),FALSE)</f>
        <v>4966</v>
      </c>
      <c r="K30" s="104">
        <f t="shared" si="22"/>
        <v>0.41612200435729846</v>
      </c>
      <c r="L30" s="104">
        <v>52893</v>
      </c>
      <c r="M30" s="104">
        <f t="shared" si="23"/>
        <v>6.3203969113187125E-2</v>
      </c>
    </row>
    <row r="31" spans="1:13" x14ac:dyDescent="0.2">
      <c r="A31" s="104" t="s">
        <v>29</v>
      </c>
      <c r="B31" s="104">
        <f>VLOOKUP($A31,'[1]age headcounts'!$A:$G,HLOOKUP(Sheet2!B$1,'[1]age headcounts'!$1:$2,2,FALSE),FALSE)</f>
        <v>1505</v>
      </c>
      <c r="C31" s="104">
        <f t="shared" si="18"/>
        <v>0.11745883087489269</v>
      </c>
      <c r="D31" s="104">
        <f>VLOOKUP($A31,'[1]age headcounts'!$A:$G,HLOOKUP(Sheet2!D$1,'[1]age headcounts'!$1:$2,2,FALSE),FALSE)</f>
        <v>1639</v>
      </c>
      <c r="E31" s="104">
        <f t="shared" si="19"/>
        <v>0.11439140145170296</v>
      </c>
      <c r="F31" s="104">
        <f>VLOOKUP($A31,'[1]age headcounts'!$A:$G,HLOOKUP(Sheet2!F$1,'[1]age headcounts'!$1:$2,2,FALSE),FALSE)</f>
        <v>1739</v>
      </c>
      <c r="G31" s="104">
        <f t="shared" si="20"/>
        <v>0.1215828847095015</v>
      </c>
      <c r="H31" s="104">
        <f>VLOOKUP($A31,'[1]age headcounts'!$A:$G,HLOOKUP(Sheet2!H$1,'[1]age headcounts'!$1:$2,2,FALSE),FALSE)</f>
        <v>1645</v>
      </c>
      <c r="I31" s="104">
        <f t="shared" si="21"/>
        <v>0.12910061214879925</v>
      </c>
      <c r="J31" s="104">
        <f>VLOOKUP($A31,'[1]age headcounts'!$A:$G,HLOOKUP(Sheet2!J$1,'[1]age headcounts'!$1:$2,2,FALSE),FALSE)</f>
        <v>1471</v>
      </c>
      <c r="K31" s="104">
        <f t="shared" si="22"/>
        <v>0.12326127032009385</v>
      </c>
      <c r="L31" s="104">
        <v>52166</v>
      </c>
      <c r="M31" s="104">
        <f t="shared" si="23"/>
        <v>6.2335247627446341E-2</v>
      </c>
    </row>
    <row r="32" spans="1:13" x14ac:dyDescent="0.2">
      <c r="A32" s="104" t="s">
        <v>30</v>
      </c>
      <c r="B32" s="104">
        <f>VLOOKUP($A32,'[1]age headcounts'!$A:$G,HLOOKUP(Sheet2!B$1,'[1]age headcounts'!$1:$2,2,FALSE),FALSE)</f>
        <v>865</v>
      </c>
      <c r="C32" s="104">
        <f t="shared" si="18"/>
        <v>6.7509560602513077E-2</v>
      </c>
      <c r="D32" s="104">
        <f>VLOOKUP($A32,'[1]age headcounts'!$A:$G,HLOOKUP(Sheet2!D$1,'[1]age headcounts'!$1:$2,2,FALSE),FALSE)</f>
        <v>1007</v>
      </c>
      <c r="E32" s="104">
        <f t="shared" si="19"/>
        <v>7.0281965382467892E-2</v>
      </c>
      <c r="F32" s="104">
        <f>VLOOKUP($A32,'[1]age headcounts'!$A:$G,HLOOKUP(Sheet2!F$1,'[1]age headcounts'!$1:$2,2,FALSE),FALSE)</f>
        <v>995</v>
      </c>
      <c r="G32" s="104">
        <f t="shared" si="20"/>
        <v>6.9565825351324898E-2</v>
      </c>
      <c r="H32" s="104">
        <f>VLOOKUP($A32,'[1]age headcounts'!$A:$G,HLOOKUP(Sheet2!H$1,'[1]age headcounts'!$1:$2,2,FALSE),FALSE)</f>
        <v>902</v>
      </c>
      <c r="I32" s="104">
        <f t="shared" si="21"/>
        <v>7.078951498979752E-2</v>
      </c>
      <c r="J32" s="104">
        <f>VLOOKUP($A32,'[1]age headcounts'!$A:$G,HLOOKUP(Sheet2!J$1,'[1]age headcounts'!$1:$2,2,FALSE),FALSE)</f>
        <v>825</v>
      </c>
      <c r="K32" s="104">
        <f t="shared" si="22"/>
        <v>6.9130216189039723E-2</v>
      </c>
      <c r="L32" s="104">
        <v>52145</v>
      </c>
      <c r="M32" s="104">
        <f t="shared" si="23"/>
        <v>6.2310153884391928E-2</v>
      </c>
    </row>
    <row r="33" spans="1:13" x14ac:dyDescent="0.2">
      <c r="A33" s="104" t="s">
        <v>31</v>
      </c>
      <c r="B33" s="104">
        <f>VLOOKUP($A33,'[1]age headcounts'!$A:$G,HLOOKUP(Sheet2!B$1,'[1]age headcounts'!$1:$2,2,FALSE),FALSE)</f>
        <v>730</v>
      </c>
      <c r="C33" s="104">
        <f t="shared" si="18"/>
        <v>5.6973386404432995E-2</v>
      </c>
      <c r="D33" s="104">
        <f>VLOOKUP($A33,'[1]age headcounts'!$A:$G,HLOOKUP(Sheet2!D$1,'[1]age headcounts'!$1:$2,2,FALSE),FALSE)</f>
        <v>764</v>
      </c>
      <c r="E33" s="104">
        <f t="shared" si="19"/>
        <v>5.3322166387493021E-2</v>
      </c>
      <c r="F33" s="104">
        <f>VLOOKUP($A33,'[1]age headcounts'!$A:$G,HLOOKUP(Sheet2!F$1,'[1]age headcounts'!$1:$2,2,FALSE),FALSE)</f>
        <v>768</v>
      </c>
      <c r="G33" s="104">
        <f t="shared" si="20"/>
        <v>5.3695029014891982E-2</v>
      </c>
      <c r="H33" s="104">
        <f>VLOOKUP($A33,'[1]age headcounts'!$A:$G,HLOOKUP(Sheet2!H$1,'[1]age headcounts'!$1:$2,2,FALSE),FALSE)</f>
        <v>639</v>
      </c>
      <c r="I33" s="104">
        <f t="shared" si="21"/>
        <v>5.0149113169047244E-2</v>
      </c>
      <c r="J33" s="104">
        <f>VLOOKUP($A33,'[1]age headcounts'!$A:$G,HLOOKUP(Sheet2!J$1,'[1]age headcounts'!$1:$2,2,FALSE),FALSE)</f>
        <v>582</v>
      </c>
      <c r="K33" s="104">
        <f t="shared" si="22"/>
        <v>4.8768225238813474E-2</v>
      </c>
      <c r="L33" s="104">
        <v>55384</v>
      </c>
      <c r="M33" s="104">
        <f t="shared" si="23"/>
        <v>6.6180565015498377E-2</v>
      </c>
    </row>
    <row r="34" spans="1:13" x14ac:dyDescent="0.2">
      <c r="A34" s="104" t="s">
        <v>32</v>
      </c>
      <c r="B34" s="104">
        <f>VLOOKUP($A34,'[1]age headcounts'!$A:$G,HLOOKUP(Sheet2!B$1,'[1]age headcounts'!$1:$2,2,FALSE),FALSE)</f>
        <v>1116</v>
      </c>
      <c r="C34" s="104">
        <f t="shared" si="18"/>
        <v>8.7099040037461953E-2</v>
      </c>
      <c r="D34" s="104">
        <f>VLOOKUP($A34,'[1]age headcounts'!$A:$G,HLOOKUP(Sheet2!D$1,'[1]age headcounts'!$1:$2,2,FALSE),FALSE)</f>
        <v>1215</v>
      </c>
      <c r="E34" s="104">
        <f t="shared" si="19"/>
        <v>8.4798994974874378E-2</v>
      </c>
      <c r="F34" s="104">
        <f>VLOOKUP($A34,'[1]age headcounts'!$A:$G,HLOOKUP(Sheet2!F$1,'[1]age headcounts'!$1:$2,2,FALSE),FALSE)</f>
        <v>1212</v>
      </c>
      <c r="G34" s="104">
        <f t="shared" si="20"/>
        <v>8.4737467664126404E-2</v>
      </c>
      <c r="H34" s="104">
        <f>VLOOKUP($A34,'[1]age headcounts'!$A:$G,HLOOKUP(Sheet2!H$1,'[1]age headcounts'!$1:$2,2,FALSE),FALSE)</f>
        <v>1053</v>
      </c>
      <c r="I34" s="104">
        <f t="shared" si="21"/>
        <v>8.2640087898289125E-2</v>
      </c>
      <c r="J34" s="104">
        <f>VLOOKUP($A34,'[1]age headcounts'!$A:$G,HLOOKUP(Sheet2!J$1,'[1]age headcounts'!$1:$2,2,FALSE),FALSE)</f>
        <v>876</v>
      </c>
      <c r="K34" s="104">
        <f t="shared" si="22"/>
        <v>7.3403720462543995E-2</v>
      </c>
      <c r="L34" s="104">
        <v>116401</v>
      </c>
      <c r="M34" s="104">
        <f t="shared" si="23"/>
        <v>0.13909222787030598</v>
      </c>
    </row>
    <row r="35" spans="1:13" x14ac:dyDescent="0.2">
      <c r="A35" s="104" t="s">
        <v>33</v>
      </c>
      <c r="B35" s="104">
        <f>VLOOKUP($A35,'[1]age headcounts'!$A:$G,HLOOKUP(Sheet2!B$1,'[1]age headcounts'!$1:$2,2,FALSE),FALSE)</f>
        <v>631</v>
      </c>
      <c r="C35" s="104">
        <f t="shared" si="18"/>
        <v>4.9246858659174275E-2</v>
      </c>
      <c r="D35" s="104">
        <f>VLOOKUP($A35,'[1]age headcounts'!$A:$G,HLOOKUP(Sheet2!D$1,'[1]age headcounts'!$1:$2,2,FALSE),FALSE)</f>
        <v>648</v>
      </c>
      <c r="E35" s="104">
        <f t="shared" si="19"/>
        <v>4.5226130653266333E-2</v>
      </c>
      <c r="F35" s="104">
        <f>VLOOKUP($A35,'[1]age headcounts'!$A:$G,HLOOKUP(Sheet2!F$1,'[1]age headcounts'!$1:$2,2,FALSE),FALSE)</f>
        <v>670</v>
      </c>
      <c r="G35" s="104">
        <f t="shared" si="20"/>
        <v>4.6843319583304205E-2</v>
      </c>
      <c r="H35" s="104">
        <f>VLOOKUP($A35,'[1]age headcounts'!$A:$G,HLOOKUP(Sheet2!H$1,'[1]age headcounts'!$1:$2,2,FALSE),FALSE)</f>
        <v>573</v>
      </c>
      <c r="I35" s="104">
        <f t="shared" si="21"/>
        <v>4.4969392560037673E-2</v>
      </c>
      <c r="J35" s="104">
        <f>VLOOKUP($A35,'[1]age headcounts'!$A:$G,HLOOKUP(Sheet2!J$1,'[1]age headcounts'!$1:$2,2,FALSE),FALSE)</f>
        <v>523</v>
      </c>
      <c r="K35" s="104">
        <f t="shared" si="22"/>
        <v>4.382436735377912E-2</v>
      </c>
      <c r="L35" s="104">
        <v>236950</v>
      </c>
      <c r="M35" s="104">
        <f t="shared" si="23"/>
        <v>0.28314106746393075</v>
      </c>
    </row>
    <row r="36" spans="1:13" x14ac:dyDescent="0.2">
      <c r="A36" s="104" t="s">
        <v>14</v>
      </c>
      <c r="B36" s="104">
        <f>VLOOKUP($A36,'[1]age headcounts'!$A:$G,HLOOKUP(Sheet2!B$1,'[1]age headcounts'!$1:$2,2,FALSE),FALSE)</f>
        <v>1</v>
      </c>
      <c r="C36" s="104">
        <f t="shared" si="18"/>
        <v>7.804573480059315E-5</v>
      </c>
      <c r="D36" s="104">
        <f>VLOOKUP($A36,'[1]age headcounts'!$A:$G,HLOOKUP(Sheet2!D$1,'[1]age headcounts'!$1:$2,2,FALSE),FALSE)</f>
        <v>0</v>
      </c>
      <c r="E36" s="104">
        <f t="shared" si="19"/>
        <v>0</v>
      </c>
      <c r="F36" s="104">
        <f>VLOOKUP($A36,'[1]age headcounts'!$A:$G,HLOOKUP(Sheet2!F$1,'[1]age headcounts'!$1:$2,2,FALSE),FALSE)</f>
        <v>1</v>
      </c>
      <c r="G36" s="104">
        <f t="shared" si="20"/>
        <v>6.9915402363140606E-5</v>
      </c>
      <c r="H36" s="104">
        <f>VLOOKUP($A36,'[1]age headcounts'!$A:$G,HLOOKUP(Sheet2!H$1,'[1]age headcounts'!$1:$2,2,FALSE),FALSE)</f>
        <v>0</v>
      </c>
      <c r="I36" s="104">
        <f t="shared" si="21"/>
        <v>0</v>
      </c>
      <c r="J36" s="104">
        <f>VLOOKUP($A36,'[1]age headcounts'!$A:$G,HLOOKUP(Sheet2!J$1,'[1]age headcounts'!$1:$2,2,FALSE),FALSE)</f>
        <v>0</v>
      </c>
      <c r="K36" s="104">
        <f t="shared" si="22"/>
        <v>0</v>
      </c>
      <c r="L36" s="104">
        <v>0</v>
      </c>
      <c r="M36" s="104">
        <f t="shared" si="23"/>
        <v>0</v>
      </c>
    </row>
    <row r="37" spans="1:13" x14ac:dyDescent="0.2">
      <c r="A37" s="104" t="s">
        <v>34</v>
      </c>
      <c r="B37" s="104">
        <v>27.085804739513012</v>
      </c>
      <c r="D37" s="104">
        <v>26.740921673994464</v>
      </c>
      <c r="F37" s="104">
        <v>26.808411988739859</v>
      </c>
      <c r="H37" s="104">
        <v>26.616662002052429</v>
      </c>
      <c r="J37" s="104">
        <v>26.219426245781218</v>
      </c>
    </row>
    <row r="38" spans="1:13" x14ac:dyDescent="0.2">
      <c r="A38" s="104" t="s">
        <v>39</v>
      </c>
      <c r="B38" s="104">
        <v>22</v>
      </c>
      <c r="D38" s="104">
        <v>22</v>
      </c>
      <c r="F38" s="104">
        <v>22</v>
      </c>
      <c r="H38" s="104">
        <v>22</v>
      </c>
      <c r="J38" s="104">
        <v>22</v>
      </c>
    </row>
    <row r="40" spans="1:13" x14ac:dyDescent="0.2">
      <c r="B40" s="105" t="s">
        <v>43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 t="s">
        <v>42</v>
      </c>
      <c r="M40" s="105"/>
    </row>
    <row r="41" spans="1:13" x14ac:dyDescent="0.2">
      <c r="B41" s="105" t="s">
        <v>3</v>
      </c>
      <c r="C41" s="105"/>
      <c r="D41" s="105" t="s">
        <v>4</v>
      </c>
      <c r="E41" s="105"/>
      <c r="F41" s="105" t="s">
        <v>5</v>
      </c>
      <c r="G41" s="105"/>
      <c r="H41" s="105" t="s">
        <v>6</v>
      </c>
      <c r="I41" s="105"/>
      <c r="J41" s="105" t="s">
        <v>7</v>
      </c>
      <c r="K41" s="105"/>
      <c r="L41" s="105" t="s">
        <v>41</v>
      </c>
      <c r="M41" s="105"/>
    </row>
    <row r="42" spans="1:13" x14ac:dyDescent="0.2">
      <c r="A42" s="104" t="s">
        <v>35</v>
      </c>
      <c r="B42" s="104" t="s">
        <v>10</v>
      </c>
      <c r="C42" s="104" t="s">
        <v>11</v>
      </c>
      <c r="D42" s="104" t="s">
        <v>10</v>
      </c>
      <c r="E42" s="104" t="s">
        <v>11</v>
      </c>
      <c r="F42" s="104" t="s">
        <v>10</v>
      </c>
      <c r="G42" s="104" t="s">
        <v>11</v>
      </c>
      <c r="H42" s="104" t="s">
        <v>10</v>
      </c>
      <c r="I42" s="104" t="s">
        <v>11</v>
      </c>
      <c r="J42" s="104" t="s">
        <v>10</v>
      </c>
      <c r="K42" s="104" t="s">
        <v>11</v>
      </c>
      <c r="L42" s="104" t="s">
        <v>10</v>
      </c>
      <c r="M42" s="104" t="s">
        <v>11</v>
      </c>
    </row>
    <row r="43" spans="1:13" x14ac:dyDescent="0.2">
      <c r="A43" s="104" t="str">
        <f>A42</f>
        <v>DSPS</v>
      </c>
      <c r="B43" s="104" t="str">
        <f>B27</f>
        <v>AY07-08#</v>
      </c>
      <c r="C43" s="104" t="str">
        <f t="shared" ref="C43:M43" si="24">C27</f>
        <v>AY07-08%</v>
      </c>
      <c r="D43" s="104" t="str">
        <f t="shared" si="24"/>
        <v>AY08-09#</v>
      </c>
      <c r="E43" s="104" t="str">
        <f t="shared" si="24"/>
        <v>AY08-09%</v>
      </c>
      <c r="F43" s="104" t="str">
        <f t="shared" si="24"/>
        <v>AY09-10#</v>
      </c>
      <c r="G43" s="104" t="str">
        <f t="shared" si="24"/>
        <v>AY09-10%</v>
      </c>
      <c r="H43" s="104" t="str">
        <f t="shared" si="24"/>
        <v>AY10-11#</v>
      </c>
      <c r="I43" s="104" t="str">
        <f t="shared" si="24"/>
        <v>AY10-11%</v>
      </c>
      <c r="J43" s="104" t="str">
        <f t="shared" si="24"/>
        <v>AY11-12#</v>
      </c>
      <c r="K43" s="104" t="str">
        <f t="shared" si="24"/>
        <v>AY11-12%</v>
      </c>
      <c r="L43" s="104" t="str">
        <f t="shared" si="24"/>
        <v>2010 Census#</v>
      </c>
      <c r="M43" s="104" t="str">
        <f t="shared" si="24"/>
        <v>2010 Census%</v>
      </c>
    </row>
    <row r="44" spans="1:13" x14ac:dyDescent="0.2">
      <c r="A44" s="104" t="s">
        <v>44</v>
      </c>
      <c r="B44" s="104">
        <f>VLOOKUP($A42,[4]Sheet1!$A:$F,HLOOKUP(Sheet2!B$1,[4]Sheet1!$1:$2,2,FALSE),FALSE)</f>
        <v>649</v>
      </c>
      <c r="C44" s="104">
        <f>B44/B8</f>
        <v>5.065168188558495E-2</v>
      </c>
      <c r="D44" s="104">
        <f>VLOOKUP($A42,[4]Sheet1!$A:$F,HLOOKUP(Sheet2!D$1,[4]Sheet1!$1:$2,2,FALSE),FALSE)</f>
        <v>963</v>
      </c>
      <c r="E44" s="104">
        <f>D44/D8</f>
        <v>6.7211055276381909E-2</v>
      </c>
      <c r="F44" s="104">
        <f>VLOOKUP($A42,[4]Sheet1!$A:$F,HLOOKUP(Sheet2!F$1,[4]Sheet1!$1:$2,2,FALSE),FALSE)</f>
        <v>1178</v>
      </c>
      <c r="G44" s="104">
        <f>F44/F8</f>
        <v>8.236034398377963E-2</v>
      </c>
      <c r="H44" s="104">
        <f>VLOOKUP($A42,[4]Sheet1!$A:$F,HLOOKUP(Sheet2!H$1,[4]Sheet1!$1:$2,2,FALSE),FALSE)</f>
        <v>1155</v>
      </c>
      <c r="I44" s="104">
        <f>H44/H8</f>
        <v>9.064511065766756E-2</v>
      </c>
      <c r="J44" s="104">
        <f>VLOOKUP($A42,[4]Sheet1!$A:$N,HLOOKUP(Sheet2!J$1,[4]Sheet1!$1:$2,2,FALSE),FALSE)</f>
        <v>1132</v>
      </c>
      <c r="K44" s="104">
        <f>J44/J8</f>
        <v>9.485503603150662E-2</v>
      </c>
      <c r="L44" s="104">
        <v>105412</v>
      </c>
      <c r="M44" s="104">
        <f>L44/L45</f>
        <v>8.1095074304327316E-2</v>
      </c>
    </row>
    <row r="45" spans="1:13" x14ac:dyDescent="0.2">
      <c r="L45" s="104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10" t="s">
        <v>58</v>
      </c>
      <c r="AB1" s="106" t="s">
        <v>50</v>
      </c>
    </row>
    <row r="2" spans="1:31" x14ac:dyDescent="0.25">
      <c r="AA2" s="106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107" t="s">
        <v>53</v>
      </c>
      <c r="AB3" s="108">
        <v>7658</v>
      </c>
      <c r="AC3" s="108">
        <v>5063</v>
      </c>
      <c r="AD3" s="108">
        <v>92</v>
      </c>
      <c r="AE3" s="108">
        <v>12813</v>
      </c>
    </row>
    <row r="4" spans="1:31" x14ac:dyDescent="0.25">
      <c r="AA4" s="107" t="s">
        <v>54</v>
      </c>
      <c r="AB4" s="108">
        <v>8341</v>
      </c>
      <c r="AC4" s="108">
        <v>5799</v>
      </c>
      <c r="AD4" s="108">
        <v>188</v>
      </c>
      <c r="AE4" s="108">
        <v>14328</v>
      </c>
    </row>
    <row r="5" spans="1:31" x14ac:dyDescent="0.25">
      <c r="AA5" s="107" t="s">
        <v>55</v>
      </c>
      <c r="AB5" s="108">
        <v>8198</v>
      </c>
      <c r="AC5" s="108">
        <v>5955</v>
      </c>
      <c r="AD5" s="108">
        <v>150</v>
      </c>
      <c r="AE5" s="108">
        <v>14303</v>
      </c>
    </row>
    <row r="6" spans="1:31" x14ac:dyDescent="0.25">
      <c r="AA6" s="107" t="s">
        <v>56</v>
      </c>
      <c r="AB6" s="108">
        <v>7167</v>
      </c>
      <c r="AC6" s="108">
        <v>5447</v>
      </c>
      <c r="AD6" s="108">
        <v>128</v>
      </c>
      <c r="AE6" s="108">
        <v>12742</v>
      </c>
    </row>
    <row r="7" spans="1:31" x14ac:dyDescent="0.25">
      <c r="AA7" s="107" t="s">
        <v>57</v>
      </c>
      <c r="AB7" s="108">
        <v>6625</v>
      </c>
      <c r="AC7" s="108">
        <v>5206</v>
      </c>
      <c r="AD7" s="108">
        <v>103</v>
      </c>
      <c r="AE7" s="108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107" t="s">
        <v>53</v>
      </c>
      <c r="AB3" s="108">
        <v>6073</v>
      </c>
      <c r="AC3" s="108">
        <v>3497</v>
      </c>
      <c r="AD3" s="108">
        <v>939</v>
      </c>
      <c r="AE3" s="108">
        <v>819</v>
      </c>
      <c r="AF3" s="108">
        <v>621</v>
      </c>
      <c r="AG3" s="108">
        <v>453</v>
      </c>
      <c r="AH3" s="108">
        <v>204</v>
      </c>
      <c r="AI3" s="108">
        <v>130</v>
      </c>
      <c r="AJ3" s="108">
        <v>88</v>
      </c>
      <c r="AK3" s="108">
        <v>12824</v>
      </c>
    </row>
    <row r="4" spans="1:37" x14ac:dyDescent="0.25">
      <c r="AA4" s="107" t="s">
        <v>54</v>
      </c>
      <c r="AB4" s="108">
        <v>6628</v>
      </c>
      <c r="AC4" s="108">
        <v>4002</v>
      </c>
      <c r="AD4" s="108">
        <v>1137</v>
      </c>
      <c r="AE4" s="108">
        <v>951</v>
      </c>
      <c r="AF4" s="108">
        <v>647</v>
      </c>
      <c r="AG4" s="108">
        <v>489</v>
      </c>
      <c r="AH4" s="108">
        <v>242</v>
      </c>
      <c r="AI4" s="108">
        <v>144</v>
      </c>
      <c r="AJ4" s="108">
        <v>100</v>
      </c>
      <c r="AK4" s="108">
        <v>14340</v>
      </c>
    </row>
    <row r="5" spans="1:37" x14ac:dyDescent="0.25">
      <c r="AA5" s="107" t="s">
        <v>55</v>
      </c>
      <c r="AB5" s="108">
        <v>6423</v>
      </c>
      <c r="AC5" s="108">
        <v>4289</v>
      </c>
      <c r="AD5" s="108">
        <v>1013</v>
      </c>
      <c r="AE5" s="108">
        <v>926</v>
      </c>
      <c r="AF5" s="108">
        <v>609</v>
      </c>
      <c r="AG5" s="108">
        <v>443</v>
      </c>
      <c r="AH5" s="108">
        <v>463</v>
      </c>
      <c r="AI5" s="108">
        <v>122</v>
      </c>
      <c r="AJ5" s="108">
        <v>87</v>
      </c>
      <c r="AK5" s="108">
        <v>14375</v>
      </c>
    </row>
    <row r="6" spans="1:37" x14ac:dyDescent="0.25">
      <c r="AA6" s="107" t="s">
        <v>56</v>
      </c>
      <c r="AB6" s="108">
        <v>5563</v>
      </c>
      <c r="AC6" s="108">
        <v>4143</v>
      </c>
      <c r="AD6" s="108">
        <v>670</v>
      </c>
      <c r="AE6" s="108">
        <v>805</v>
      </c>
      <c r="AF6" s="108">
        <v>507</v>
      </c>
      <c r="AG6" s="108">
        <v>414</v>
      </c>
      <c r="AH6" s="108">
        <v>574</v>
      </c>
      <c r="AI6" s="108">
        <v>89</v>
      </c>
      <c r="AJ6" s="108">
        <v>62</v>
      </c>
      <c r="AK6" s="108">
        <v>12827</v>
      </c>
    </row>
    <row r="7" spans="1:37" x14ac:dyDescent="0.25">
      <c r="AA7" s="107" t="s">
        <v>57</v>
      </c>
      <c r="AB7" s="108">
        <v>4964</v>
      </c>
      <c r="AC7" s="108">
        <v>4339</v>
      </c>
      <c r="AD7" s="108">
        <v>455</v>
      </c>
      <c r="AE7" s="108">
        <v>727</v>
      </c>
      <c r="AF7" s="108">
        <v>455</v>
      </c>
      <c r="AG7" s="108">
        <v>325</v>
      </c>
      <c r="AH7" s="108">
        <v>636</v>
      </c>
      <c r="AI7" s="108">
        <v>66</v>
      </c>
      <c r="AJ7" s="108">
        <v>47</v>
      </c>
      <c r="AK7" s="108">
        <v>12014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107" t="s">
        <v>53</v>
      </c>
      <c r="AB3" s="108">
        <v>297</v>
      </c>
      <c r="AC3" s="108">
        <v>3297</v>
      </c>
      <c r="AD3" s="108">
        <v>4371</v>
      </c>
      <c r="AE3" s="108">
        <v>1505</v>
      </c>
      <c r="AF3" s="108">
        <v>865</v>
      </c>
      <c r="AG3" s="108">
        <v>730</v>
      </c>
      <c r="AH3" s="108">
        <v>1116</v>
      </c>
      <c r="AI3" s="108">
        <v>631</v>
      </c>
      <c r="AJ3" s="108">
        <v>1</v>
      </c>
      <c r="AK3" s="108">
        <v>12813</v>
      </c>
    </row>
    <row r="4" spans="1:37" x14ac:dyDescent="0.25">
      <c r="AA4" s="107" t="s">
        <v>54</v>
      </c>
      <c r="AB4" s="108">
        <v>427</v>
      </c>
      <c r="AC4" s="108">
        <v>3740</v>
      </c>
      <c r="AD4" s="108">
        <v>4888</v>
      </c>
      <c r="AE4" s="108">
        <v>1639</v>
      </c>
      <c r="AF4" s="108">
        <v>1007</v>
      </c>
      <c r="AG4" s="108">
        <v>764</v>
      </c>
      <c r="AH4" s="108">
        <v>1215</v>
      </c>
      <c r="AI4" s="108">
        <v>648</v>
      </c>
      <c r="AJ4" s="108">
        <v>0</v>
      </c>
      <c r="AK4" s="108">
        <v>14328</v>
      </c>
    </row>
    <row r="5" spans="1:37" x14ac:dyDescent="0.25">
      <c r="AA5" s="107" t="s">
        <v>55</v>
      </c>
      <c r="AB5" s="108">
        <v>337</v>
      </c>
      <c r="AC5" s="108">
        <v>3641</v>
      </c>
      <c r="AD5" s="108">
        <v>4940</v>
      </c>
      <c r="AE5" s="108">
        <v>1739</v>
      </c>
      <c r="AF5" s="108">
        <v>995</v>
      </c>
      <c r="AG5" s="108">
        <v>768</v>
      </c>
      <c r="AH5" s="108">
        <v>1212</v>
      </c>
      <c r="AI5" s="108">
        <v>670</v>
      </c>
      <c r="AJ5" s="108">
        <v>1</v>
      </c>
      <c r="AK5" s="108">
        <v>14303</v>
      </c>
    </row>
    <row r="6" spans="1:37" x14ac:dyDescent="0.25">
      <c r="AA6" s="107" t="s">
        <v>56</v>
      </c>
      <c r="AB6" s="108">
        <v>134</v>
      </c>
      <c r="AC6" s="108">
        <v>2877</v>
      </c>
      <c r="AD6" s="108">
        <v>4919</v>
      </c>
      <c r="AE6" s="108">
        <v>1645</v>
      </c>
      <c r="AF6" s="108">
        <v>902</v>
      </c>
      <c r="AG6" s="108">
        <v>639</v>
      </c>
      <c r="AH6" s="108">
        <v>1053</v>
      </c>
      <c r="AI6" s="108">
        <v>573</v>
      </c>
      <c r="AJ6" s="108">
        <v>0</v>
      </c>
      <c r="AK6" s="108">
        <v>12742</v>
      </c>
    </row>
    <row r="7" spans="1:37" x14ac:dyDescent="0.25">
      <c r="AA7" s="107" t="s">
        <v>57</v>
      </c>
      <c r="AB7" s="108">
        <v>105</v>
      </c>
      <c r="AC7" s="108">
        <v>2586</v>
      </c>
      <c r="AD7" s="108">
        <v>4966</v>
      </c>
      <c r="AE7" s="108">
        <v>1471</v>
      </c>
      <c r="AF7" s="108">
        <v>825</v>
      </c>
      <c r="AG7" s="108">
        <v>582</v>
      </c>
      <c r="AH7" s="108">
        <v>876</v>
      </c>
      <c r="AI7" s="108">
        <v>523</v>
      </c>
      <c r="AJ7" s="108">
        <v>0</v>
      </c>
      <c r="AK7" s="108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936583-3F14-4F51-AFFB-EB3D37C327D2}"/>
</file>

<file path=customXml/itemProps2.xml><?xml version="1.0" encoding="utf-8"?>
<ds:datastoreItem xmlns:ds="http://schemas.openxmlformats.org/officeDocument/2006/customXml" ds:itemID="{F50E394A-7711-4FB0-82B1-059A9F499439}"/>
</file>

<file path=customXml/itemProps3.xml><?xml version="1.0" encoding="utf-8"?>
<ds:datastoreItem xmlns:ds="http://schemas.openxmlformats.org/officeDocument/2006/customXml" ds:itemID="{FEE0B773-DC6C-4DBA-ADA2-F52356CDA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2012-06-04T19:06:44Z</dcterms:created>
  <dcterms:modified xsi:type="dcterms:W3CDTF">2012-09-20T15:52:26Z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