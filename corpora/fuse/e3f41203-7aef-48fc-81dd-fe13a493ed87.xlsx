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10" i="1"/>
  <c r="D10"/>
  <c r="E9"/>
  <c r="D9"/>
  <c r="B9"/>
  <c r="E13"/>
  <c r="E12"/>
  <c r="E11"/>
  <c r="E8"/>
  <c r="E7"/>
  <c r="E6"/>
  <c r="E5"/>
  <c r="D13"/>
  <c r="D12"/>
  <c r="D8"/>
  <c r="D6"/>
  <c r="B13"/>
  <c r="B12"/>
  <c r="B8"/>
  <c r="B6"/>
</calcChain>
</file>

<file path=xl/sharedStrings.xml><?xml version="1.0" encoding="utf-8"?>
<sst xmlns="http://schemas.openxmlformats.org/spreadsheetml/2006/main" count="86" uniqueCount="27">
  <si>
    <t>NA</t>
  </si>
  <si>
    <t>Azalea Middle School</t>
  </si>
  <si>
    <t>Madrone Elem.</t>
  </si>
  <si>
    <t>Shady Cove M.S.</t>
  </si>
  <si>
    <t>Rogue River Elem.</t>
  </si>
  <si>
    <t>Sacred Heart Catholic</t>
  </si>
  <si>
    <t>pH of the River Styx (Inside the Cave)</t>
  </si>
  <si>
    <t>pH of the formation drippings</t>
  </si>
  <si>
    <t>pH of collected precipitation</t>
  </si>
  <si>
    <t>pH of Cave Creek (In the Forest)</t>
  </si>
  <si>
    <t>Date</t>
  </si>
  <si>
    <t>School</t>
  </si>
  <si>
    <t>Average Number of species of  Macro-invertebrates</t>
  </si>
  <si>
    <t xml:space="preserve">pH of Deer Creek </t>
  </si>
  <si>
    <t>pH of Squaw Creek*</t>
  </si>
  <si>
    <r>
      <t>Water temperature (C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 of Deer Creek</t>
    </r>
  </si>
  <si>
    <r>
      <t>Water temperature (C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 of Squaw Creek*</t>
    </r>
  </si>
  <si>
    <r>
      <t>Water temperature (C</t>
    </r>
    <r>
      <rPr>
        <b/>
        <vertAlign val="superscript"/>
        <sz val="9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 of River Styx</t>
    </r>
  </si>
  <si>
    <r>
      <t>Water temperature (C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 xml:space="preserve">) of Cave Creek </t>
    </r>
  </si>
  <si>
    <r>
      <t>Air temperature (C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 of the  Forest</t>
    </r>
  </si>
  <si>
    <r>
      <t>Air temperature (C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)of Cave: Watson's Grotto</t>
    </r>
  </si>
  <si>
    <r>
      <t>Air temperature (C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): Imagination Room</t>
    </r>
  </si>
  <si>
    <t>Average pH and temperature data recorded during field trips to OCNM, Spring 2010</t>
  </si>
  <si>
    <t>*Squaw Creek is in the process of being renamed.</t>
  </si>
  <si>
    <t>South Middle School</t>
  </si>
  <si>
    <t>Average pH, temperature, and macro-invertebrates data recorded during field trips to DCC, Spring 2010</t>
  </si>
  <si>
    <t>-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</si>
</sst>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3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16" fontId="0" fillId="0" borderId="4" xfId="0" applyNumberForma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16" fontId="0" fillId="0" borderId="4" xfId="0" applyNumberFormat="1" applyFont="1" applyBorder="1" applyAlignment="1">
      <alignment horizontal="center" vertical="center" wrapText="1"/>
    </xf>
    <xf numFmtId="16" fontId="0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164" fontId="0" fillId="0" borderId="4" xfId="0" applyNumberForma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164" fontId="0" fillId="0" borderId="6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 wrapText="1"/>
    </xf>
    <xf numFmtId="16" fontId="0" fillId="0" borderId="5" xfId="0" applyNumberFormat="1" applyFont="1" applyBorder="1" applyAlignment="1">
      <alignment horizontal="center" vertical="center" wrapText="1"/>
    </xf>
    <xf numFmtId="16" fontId="0" fillId="0" borderId="5" xfId="0" applyNumberFormat="1" applyFont="1" applyBorder="1" applyAlignment="1">
      <alignment vertical="center" wrapText="1"/>
    </xf>
    <xf numFmtId="16" fontId="0" fillId="0" borderId="5" xfId="0" applyNumberForma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0" fillId="0" borderId="4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Border="1" applyAlignment="1">
      <alignment horizontal="right" wrapText="1"/>
    </xf>
    <xf numFmtId="0" fontId="1" fillId="0" borderId="0" xfId="0" applyFont="1" applyBorder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topLeftCell="A7" workbookViewId="0">
      <selection activeCell="M22" sqref="M22"/>
    </sheetView>
  </sheetViews>
  <sheetFormatPr defaultRowHeight="15"/>
  <cols>
    <col min="1" max="1" width="33.140625" style="2" customWidth="1"/>
    <col min="2" max="2" width="8.85546875" style="3" customWidth="1"/>
    <col min="3" max="3" width="7.42578125" style="2" customWidth="1"/>
    <col min="4" max="4" width="8.42578125" style="2" customWidth="1"/>
    <col min="5" max="5" width="8.5703125" style="2" customWidth="1"/>
    <col min="6" max="6" width="7.85546875" style="2" customWidth="1"/>
    <col min="7" max="7" width="7.7109375" style="2" customWidth="1"/>
    <col min="8" max="8" width="7.42578125" style="2" customWidth="1"/>
    <col min="9" max="9" width="8.5703125" style="2" customWidth="1"/>
    <col min="10" max="12" width="8" style="2" customWidth="1"/>
    <col min="13" max="13" width="27.7109375" style="2" customWidth="1"/>
    <col min="14" max="16384" width="9.140625" style="2"/>
  </cols>
  <sheetData>
    <row r="1" spans="1:13" ht="14.25" customHeight="1">
      <c r="A1" s="38" t="s">
        <v>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</row>
    <row r="2" spans="1:13" ht="2.25" hidden="1" customHeight="1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40"/>
    </row>
    <row r="3" spans="1:13">
      <c r="A3" s="22" t="s">
        <v>10</v>
      </c>
      <c r="B3" s="20">
        <v>40288</v>
      </c>
      <c r="C3" s="21">
        <v>40294</v>
      </c>
      <c r="D3" s="21">
        <v>40295</v>
      </c>
      <c r="E3" s="21">
        <v>40297</v>
      </c>
      <c r="F3" s="21">
        <v>40298</v>
      </c>
      <c r="G3" s="21">
        <v>40304</v>
      </c>
      <c r="H3" s="21">
        <v>40305</v>
      </c>
      <c r="I3" s="21">
        <v>40311</v>
      </c>
      <c r="J3" s="21">
        <v>40315</v>
      </c>
      <c r="K3" s="21">
        <v>40330</v>
      </c>
      <c r="L3" s="21">
        <v>40336</v>
      </c>
      <c r="M3" s="1"/>
    </row>
    <row r="4" spans="1:13" ht="60.75" thickBot="1">
      <c r="A4" s="26" t="s">
        <v>11</v>
      </c>
      <c r="B4" s="27" t="s">
        <v>1</v>
      </c>
      <c r="C4" s="28" t="s">
        <v>1</v>
      </c>
      <c r="D4" s="28" t="s">
        <v>1</v>
      </c>
      <c r="E4" s="29" t="s">
        <v>24</v>
      </c>
      <c r="F4" s="29" t="s">
        <v>24</v>
      </c>
      <c r="G4" s="29" t="s">
        <v>24</v>
      </c>
      <c r="H4" s="29" t="s">
        <v>24</v>
      </c>
      <c r="I4" s="30" t="s">
        <v>2</v>
      </c>
      <c r="J4" s="30" t="s">
        <v>3</v>
      </c>
      <c r="K4" s="30" t="s">
        <v>4</v>
      </c>
      <c r="L4" s="30" t="s">
        <v>5</v>
      </c>
      <c r="M4" s="1"/>
    </row>
    <row r="5" spans="1:13" ht="21.75" customHeight="1">
      <c r="A5" s="24" t="s">
        <v>7</v>
      </c>
      <c r="B5" s="25" t="s">
        <v>0</v>
      </c>
      <c r="C5" s="25">
        <v>7.4</v>
      </c>
      <c r="D5" s="25" t="s">
        <v>0</v>
      </c>
      <c r="E5" s="25">
        <f>(7.4+7.4+7.8)/3</f>
        <v>7.5333333333333341</v>
      </c>
      <c r="F5" s="25">
        <v>7.7</v>
      </c>
      <c r="G5" s="25">
        <v>8.15</v>
      </c>
      <c r="H5" s="25">
        <v>7.6</v>
      </c>
      <c r="I5" s="25">
        <v>7.4</v>
      </c>
      <c r="J5" s="25">
        <v>7.4</v>
      </c>
      <c r="K5" s="25">
        <v>7.4</v>
      </c>
      <c r="L5" s="25">
        <v>8</v>
      </c>
    </row>
    <row r="6" spans="1:13" ht="18.75" customHeight="1">
      <c r="A6" s="22" t="s">
        <v>6</v>
      </c>
      <c r="B6" s="23">
        <f>(7.4+7.4+8)/3</f>
        <v>7.6000000000000005</v>
      </c>
      <c r="C6" s="23">
        <v>7.7</v>
      </c>
      <c r="D6" s="23">
        <f>+(7.8+7.4)/2</f>
        <v>7.6</v>
      </c>
      <c r="E6" s="23">
        <f>(7.8+7.6+7.4)/3</f>
        <v>7.5999999999999988</v>
      </c>
      <c r="F6" s="23">
        <v>7.7</v>
      </c>
      <c r="G6" s="23">
        <v>7.85</v>
      </c>
      <c r="H6" s="23">
        <v>7.6</v>
      </c>
      <c r="I6" s="23">
        <v>7.8</v>
      </c>
      <c r="J6" s="23">
        <v>7.85</v>
      </c>
      <c r="K6" s="23">
        <v>7.65</v>
      </c>
      <c r="L6" s="23">
        <v>7.6</v>
      </c>
    </row>
    <row r="7" spans="1:13">
      <c r="A7" s="22" t="s">
        <v>8</v>
      </c>
      <c r="B7" s="23" t="s">
        <v>0</v>
      </c>
      <c r="C7" s="23">
        <v>6.1</v>
      </c>
      <c r="D7" s="23" t="s">
        <v>0</v>
      </c>
      <c r="E7" s="23">
        <f>(6.8+6.1+6.4+6)/4</f>
        <v>6.3249999999999993</v>
      </c>
      <c r="F7" s="23">
        <v>6.5</v>
      </c>
      <c r="G7" s="23">
        <v>6.46</v>
      </c>
      <c r="H7" s="23">
        <v>6.8</v>
      </c>
      <c r="I7" s="23" t="s">
        <v>0</v>
      </c>
      <c r="J7" s="23">
        <v>6.8</v>
      </c>
      <c r="K7" s="23">
        <v>6.5</v>
      </c>
      <c r="L7" s="23">
        <v>6.6</v>
      </c>
    </row>
    <row r="8" spans="1:13">
      <c r="A8" s="22" t="s">
        <v>9</v>
      </c>
      <c r="B8" s="23">
        <f>(6.2+7.8)/2</f>
        <v>7</v>
      </c>
      <c r="C8" s="23">
        <v>7.8</v>
      </c>
      <c r="D8" s="23">
        <f>(8.2+8.1)/2</f>
        <v>8.1499999999999986</v>
      </c>
      <c r="E8" s="23">
        <f>(8.1+7.6+8.2)/3</f>
        <v>7.9666666666666659</v>
      </c>
      <c r="F8" s="23">
        <v>7.7</v>
      </c>
      <c r="G8" s="23">
        <v>7.7</v>
      </c>
      <c r="H8" s="23">
        <v>7.8</v>
      </c>
      <c r="I8" s="23">
        <v>7.4</v>
      </c>
      <c r="J8" s="23">
        <v>8</v>
      </c>
      <c r="K8" s="23">
        <v>7.6</v>
      </c>
      <c r="L8" s="23">
        <v>7.8</v>
      </c>
    </row>
    <row r="9" spans="1:13" ht="21" customHeight="1">
      <c r="A9" s="22" t="s">
        <v>17</v>
      </c>
      <c r="B9" s="23">
        <f>(6+6+7)/3</f>
        <v>6.333333333333333</v>
      </c>
      <c r="C9" s="23">
        <v>6</v>
      </c>
      <c r="D9" s="23">
        <f>(5.5+3)/2</f>
        <v>4.25</v>
      </c>
      <c r="E9" s="23">
        <f>(7+4+5+6)/4</f>
        <v>5.5</v>
      </c>
      <c r="F9" s="23">
        <v>5.5</v>
      </c>
      <c r="G9" s="23">
        <v>5.4</v>
      </c>
      <c r="H9" s="23">
        <v>5.8</v>
      </c>
      <c r="I9" s="23">
        <v>6</v>
      </c>
      <c r="J9" s="23">
        <v>5.5</v>
      </c>
      <c r="K9" s="23">
        <v>6</v>
      </c>
      <c r="L9" s="23">
        <v>5</v>
      </c>
    </row>
    <row r="10" spans="1:13" ht="18" customHeight="1">
      <c r="A10" s="22" t="s">
        <v>18</v>
      </c>
      <c r="B10" s="23">
        <v>6</v>
      </c>
      <c r="C10" s="23">
        <v>5.5</v>
      </c>
      <c r="D10" s="23">
        <f>(3+5)/2</f>
        <v>4</v>
      </c>
      <c r="E10" s="23">
        <f>(0+0+6)/3</f>
        <v>2</v>
      </c>
      <c r="F10" s="23">
        <v>6</v>
      </c>
      <c r="G10" s="23">
        <v>5.87</v>
      </c>
      <c r="H10" s="23">
        <v>6</v>
      </c>
      <c r="I10" s="23">
        <v>7</v>
      </c>
      <c r="J10" s="23">
        <v>6</v>
      </c>
      <c r="K10" s="23">
        <v>6.5</v>
      </c>
      <c r="L10" s="23">
        <v>5</v>
      </c>
    </row>
    <row r="11" spans="1:13" ht="17.25">
      <c r="A11" s="22" t="s">
        <v>19</v>
      </c>
      <c r="B11" s="23" t="s">
        <v>0</v>
      </c>
      <c r="C11" s="23">
        <v>14</v>
      </c>
      <c r="D11" s="23" t="s">
        <v>0</v>
      </c>
      <c r="E11" s="23">
        <f>(4.5+3+7+3)/4</f>
        <v>4.375</v>
      </c>
      <c r="F11" s="23">
        <v>4.5</v>
      </c>
      <c r="G11" s="23">
        <v>6.7</v>
      </c>
      <c r="H11" s="23">
        <v>8.5</v>
      </c>
      <c r="I11" s="23">
        <v>13</v>
      </c>
      <c r="J11" s="23">
        <v>10</v>
      </c>
      <c r="K11" s="23">
        <v>9</v>
      </c>
      <c r="L11" s="23">
        <v>12</v>
      </c>
    </row>
    <row r="12" spans="1:13" ht="32.25">
      <c r="A12" s="22" t="s">
        <v>20</v>
      </c>
      <c r="B12" s="23">
        <f>(5+3+3)/3</f>
        <v>3.6666666666666665</v>
      </c>
      <c r="C12" s="23">
        <v>6</v>
      </c>
      <c r="D12" s="23">
        <f>(6+3)/2</f>
        <v>4.5</v>
      </c>
      <c r="E12" s="23">
        <f>(4+1.5+5+3)/4</f>
        <v>3.375</v>
      </c>
      <c r="F12" s="23">
        <v>2.25</v>
      </c>
      <c r="G12" s="23">
        <v>2.6</v>
      </c>
      <c r="H12" s="23">
        <v>3.5</v>
      </c>
      <c r="I12" s="23">
        <v>15</v>
      </c>
      <c r="J12" s="23">
        <v>6</v>
      </c>
      <c r="K12" s="23">
        <v>5</v>
      </c>
      <c r="L12" s="23">
        <v>5</v>
      </c>
    </row>
    <row r="13" spans="1:13" ht="30.75" customHeight="1">
      <c r="A13" s="22" t="s">
        <v>21</v>
      </c>
      <c r="B13" s="23">
        <f>(5+5.5+4)/3</f>
        <v>4.833333333333333</v>
      </c>
      <c r="C13" s="23">
        <v>5</v>
      </c>
      <c r="D13" s="23">
        <f>(6+5.5)/2</f>
        <v>5.75</v>
      </c>
      <c r="E13" s="23">
        <f>(6+4+5.5+7)/4</f>
        <v>5.625</v>
      </c>
      <c r="F13" s="23">
        <v>3</v>
      </c>
      <c r="G13" s="23">
        <v>4</v>
      </c>
      <c r="H13" s="23">
        <v>4</v>
      </c>
      <c r="I13" s="23">
        <v>7</v>
      </c>
      <c r="J13" s="23">
        <v>6.5</v>
      </c>
      <c r="K13" s="23">
        <v>6</v>
      </c>
      <c r="L13" s="23">
        <v>5</v>
      </c>
    </row>
    <row r="14" spans="1:13" ht="5.25" customHeight="1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5" spans="1:13" ht="14.25" customHeight="1">
      <c r="A15" s="38" t="s">
        <v>25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40"/>
    </row>
    <row r="16" spans="1:13" ht="1.5" customHeight="1" thickBot="1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40"/>
    </row>
    <row r="17" spans="1:12" ht="45">
      <c r="A17" s="15" t="s">
        <v>11</v>
      </c>
      <c r="B17" s="41" t="s">
        <v>26</v>
      </c>
      <c r="C17" s="41" t="s">
        <v>26</v>
      </c>
      <c r="D17" s="41" t="s">
        <v>26</v>
      </c>
      <c r="E17" s="18" t="s">
        <v>24</v>
      </c>
      <c r="F17" s="18" t="s">
        <v>24</v>
      </c>
      <c r="G17" s="18" t="s">
        <v>24</v>
      </c>
      <c r="H17" s="18" t="s">
        <v>24</v>
      </c>
      <c r="I17" s="19" t="s">
        <v>4</v>
      </c>
      <c r="J17" s="41" t="s">
        <v>26</v>
      </c>
      <c r="K17" s="41" t="s">
        <v>26</v>
      </c>
      <c r="L17" s="41" t="s">
        <v>26</v>
      </c>
    </row>
    <row r="18" spans="1:12" s="14" customFormat="1" ht="15.75" thickBot="1">
      <c r="A18" s="17" t="s">
        <v>10</v>
      </c>
      <c r="B18" s="41" t="s">
        <v>26</v>
      </c>
      <c r="C18" s="41" t="s">
        <v>26</v>
      </c>
      <c r="D18" s="41" t="s">
        <v>26</v>
      </c>
      <c r="E18" s="20">
        <v>40297</v>
      </c>
      <c r="F18" s="21">
        <v>40298</v>
      </c>
      <c r="G18" s="21">
        <v>40274</v>
      </c>
      <c r="H18" s="21">
        <v>40305</v>
      </c>
      <c r="I18" s="21">
        <v>40311</v>
      </c>
      <c r="J18" s="41" t="s">
        <v>26</v>
      </c>
      <c r="K18" s="41" t="s">
        <v>26</v>
      </c>
      <c r="L18" s="41" t="s">
        <v>26</v>
      </c>
    </row>
    <row r="19" spans="1:12" ht="15" customHeight="1">
      <c r="A19" s="16" t="s">
        <v>13</v>
      </c>
      <c r="B19" s="41" t="s">
        <v>26</v>
      </c>
      <c r="C19" s="41" t="s">
        <v>26</v>
      </c>
      <c r="D19" s="41" t="s">
        <v>26</v>
      </c>
      <c r="E19" s="31">
        <v>7.1</v>
      </c>
      <c r="F19" s="31">
        <v>7.1</v>
      </c>
      <c r="G19" s="31">
        <v>7.24</v>
      </c>
      <c r="H19" s="31">
        <v>7.25</v>
      </c>
      <c r="I19" s="31">
        <v>7.24</v>
      </c>
      <c r="J19" s="41" t="s">
        <v>26</v>
      </c>
      <c r="K19" s="41" t="s">
        <v>26</v>
      </c>
      <c r="L19" s="41" t="s">
        <v>26</v>
      </c>
    </row>
    <row r="20" spans="1:12">
      <c r="A20" s="16" t="s">
        <v>14</v>
      </c>
      <c r="B20" s="41" t="s">
        <v>26</v>
      </c>
      <c r="C20" s="41" t="s">
        <v>26</v>
      </c>
      <c r="D20" s="41" t="s">
        <v>26</v>
      </c>
      <c r="E20" s="31">
        <v>7.7</v>
      </c>
      <c r="F20" s="31">
        <v>7.65</v>
      </c>
      <c r="G20" s="31">
        <v>7.7</v>
      </c>
      <c r="H20" s="31">
        <v>7.75</v>
      </c>
      <c r="I20" s="31">
        <v>7.78</v>
      </c>
      <c r="J20" s="41" t="s">
        <v>26</v>
      </c>
      <c r="K20" s="41" t="s">
        <v>26</v>
      </c>
      <c r="L20" s="41" t="s">
        <v>26</v>
      </c>
    </row>
    <row r="21" spans="1:12" ht="32.25">
      <c r="A21" s="16" t="s">
        <v>15</v>
      </c>
      <c r="B21" s="41" t="s">
        <v>26</v>
      </c>
      <c r="C21" s="41" t="s">
        <v>26</v>
      </c>
      <c r="D21" s="41" t="s">
        <v>26</v>
      </c>
      <c r="E21" s="31">
        <v>8.6199999999999992</v>
      </c>
      <c r="F21" s="31">
        <v>8.9700000000000006</v>
      </c>
      <c r="G21" s="31">
        <v>8.8000000000000007</v>
      </c>
      <c r="H21" s="31">
        <v>10.35</v>
      </c>
      <c r="I21" s="31">
        <v>11.22</v>
      </c>
      <c r="J21" s="41" t="s">
        <v>26</v>
      </c>
      <c r="K21" s="41" t="s">
        <v>26</v>
      </c>
      <c r="L21" s="41" t="s">
        <v>26</v>
      </c>
    </row>
    <row r="22" spans="1:12" ht="33.75" customHeight="1">
      <c r="A22" s="16" t="s">
        <v>16</v>
      </c>
      <c r="B22" s="41" t="s">
        <v>26</v>
      </c>
      <c r="C22" s="41" t="s">
        <v>26</v>
      </c>
      <c r="D22" s="41" t="s">
        <v>26</v>
      </c>
      <c r="E22" s="31">
        <v>8.7100000000000009</v>
      </c>
      <c r="F22" s="31">
        <v>8.36</v>
      </c>
      <c r="G22" s="31">
        <v>7.81</v>
      </c>
      <c r="H22" s="31">
        <v>9.64</v>
      </c>
      <c r="I22" s="31">
        <v>9.39</v>
      </c>
      <c r="J22" s="41" t="s">
        <v>26</v>
      </c>
      <c r="K22" s="41" t="s">
        <v>26</v>
      </c>
      <c r="L22" s="41" t="s">
        <v>26</v>
      </c>
    </row>
    <row r="23" spans="1:12" ht="30.75" thickBot="1">
      <c r="A23" s="17" t="s">
        <v>12</v>
      </c>
      <c r="B23" s="41" t="s">
        <v>26</v>
      </c>
      <c r="C23" s="41" t="s">
        <v>26</v>
      </c>
      <c r="D23" s="41" t="s">
        <v>26</v>
      </c>
      <c r="E23" s="32">
        <v>6.2</v>
      </c>
      <c r="F23" s="32">
        <v>4.5999999999999996</v>
      </c>
      <c r="G23" s="32">
        <v>4.9000000000000004</v>
      </c>
      <c r="H23" s="32">
        <v>6.1</v>
      </c>
      <c r="I23" s="32">
        <v>4.9000000000000004</v>
      </c>
      <c r="J23" s="41" t="s">
        <v>26</v>
      </c>
      <c r="K23" s="41" t="s">
        <v>26</v>
      </c>
      <c r="L23" s="41" t="s">
        <v>26</v>
      </c>
    </row>
    <row r="24" spans="1:12">
      <c r="A24" s="42" t="s">
        <v>23</v>
      </c>
      <c r="B24" s="40"/>
      <c r="C24" s="40"/>
      <c r="D24" s="40"/>
      <c r="E24" s="40"/>
      <c r="F24" s="7"/>
      <c r="G24" s="6"/>
      <c r="H24" s="6"/>
    </row>
    <row r="25" spans="1:12">
      <c r="A25" s="8"/>
      <c r="B25" s="6"/>
      <c r="C25" s="6"/>
      <c r="D25" s="6"/>
      <c r="E25" s="6"/>
      <c r="F25" s="6"/>
      <c r="G25" s="6"/>
      <c r="H25" s="6"/>
    </row>
    <row r="26" spans="1:12">
      <c r="A26" s="9"/>
      <c r="B26" s="6"/>
      <c r="C26" s="6"/>
      <c r="D26" s="6"/>
      <c r="E26" s="6"/>
      <c r="F26" s="6"/>
      <c r="G26" s="6"/>
      <c r="H26" s="6"/>
    </row>
    <row r="27" spans="1:12">
      <c r="A27" s="10"/>
      <c r="B27" s="4"/>
      <c r="C27" s="4"/>
      <c r="D27" s="33"/>
      <c r="E27" s="34"/>
      <c r="F27" s="34"/>
      <c r="G27" s="34"/>
      <c r="H27" s="34"/>
      <c r="I27" s="34"/>
    </row>
    <row r="28" spans="1:12">
      <c r="A28" s="10"/>
      <c r="B28" s="4"/>
      <c r="C28" s="4"/>
      <c r="D28" s="33"/>
      <c r="E28" s="34"/>
      <c r="F28" s="34"/>
      <c r="G28" s="34"/>
      <c r="H28" s="34"/>
      <c r="I28" s="34"/>
    </row>
    <row r="29" spans="1:12">
      <c r="A29" s="10"/>
      <c r="B29" s="4"/>
      <c r="C29" s="4"/>
      <c r="D29" s="35"/>
      <c r="E29" s="34"/>
      <c r="F29" s="34"/>
      <c r="G29" s="34"/>
      <c r="H29" s="34"/>
      <c r="I29" s="34"/>
    </row>
    <row r="30" spans="1:12">
      <c r="A30" s="10"/>
      <c r="B30" s="4"/>
      <c r="C30" s="4"/>
      <c r="D30" s="35"/>
      <c r="E30" s="34"/>
      <c r="F30" s="34"/>
      <c r="G30" s="34"/>
      <c r="H30" s="34"/>
      <c r="I30" s="34"/>
    </row>
    <row r="31" spans="1:12" ht="8.25" customHeight="1">
      <c r="A31" s="10"/>
      <c r="B31" s="4"/>
      <c r="C31" s="4"/>
      <c r="D31" s="35"/>
      <c r="E31" s="34"/>
      <c r="F31" s="34"/>
      <c r="G31" s="34"/>
      <c r="H31" s="34"/>
      <c r="I31" s="34"/>
    </row>
    <row r="32" spans="1:12">
      <c r="A32" s="10"/>
      <c r="B32" s="4"/>
      <c r="C32" s="4"/>
      <c r="D32" s="35"/>
      <c r="E32" s="34"/>
      <c r="F32" s="34"/>
      <c r="G32" s="34"/>
      <c r="H32" s="34"/>
      <c r="I32" s="34"/>
    </row>
    <row r="33" spans="1:9">
      <c r="A33" s="10"/>
      <c r="B33" s="4"/>
      <c r="C33" s="4"/>
      <c r="D33" s="35"/>
      <c r="E33" s="34"/>
      <c r="F33" s="34"/>
      <c r="G33" s="34"/>
      <c r="H33" s="34"/>
      <c r="I33" s="34"/>
    </row>
    <row r="34" spans="1:9">
      <c r="A34" s="10"/>
      <c r="B34" s="4"/>
      <c r="C34" s="4"/>
      <c r="D34" s="4"/>
      <c r="E34" s="4"/>
      <c r="F34" s="4"/>
      <c r="G34" s="4"/>
      <c r="H34" s="4"/>
    </row>
    <row r="35" spans="1:9">
      <c r="A35" s="10"/>
      <c r="B35" s="4"/>
      <c r="C35" s="4"/>
      <c r="D35" s="4"/>
      <c r="E35" s="4"/>
      <c r="F35" s="4"/>
      <c r="G35" s="4"/>
      <c r="H35" s="4"/>
    </row>
    <row r="36" spans="1:9">
      <c r="A36" s="10"/>
      <c r="B36" s="4"/>
      <c r="C36" s="4"/>
      <c r="D36" s="4"/>
      <c r="E36" s="4"/>
      <c r="F36" s="4"/>
      <c r="G36" s="4"/>
      <c r="H36" s="4"/>
    </row>
    <row r="37" spans="1:9">
      <c r="A37" s="10"/>
      <c r="B37" s="4"/>
      <c r="C37" s="4"/>
      <c r="D37" s="4"/>
      <c r="E37" s="4"/>
      <c r="F37" s="4"/>
      <c r="G37" s="4"/>
      <c r="H37" s="4"/>
    </row>
    <row r="38" spans="1:9">
      <c r="A38" s="11"/>
      <c r="B38" s="4"/>
      <c r="C38" s="4"/>
      <c r="D38" s="4"/>
      <c r="E38" s="12"/>
      <c r="F38" s="12"/>
      <c r="G38" s="4"/>
      <c r="H38" s="4"/>
    </row>
    <row r="39" spans="1:9">
      <c r="A39" s="11"/>
      <c r="B39" s="4"/>
      <c r="C39" s="4"/>
      <c r="D39" s="4"/>
      <c r="E39" s="4"/>
      <c r="F39" s="4"/>
      <c r="G39" s="4"/>
      <c r="H39" s="4"/>
    </row>
    <row r="40" spans="1:9">
      <c r="A40" s="11"/>
      <c r="B40" s="4"/>
      <c r="C40" s="4"/>
      <c r="D40" s="4"/>
      <c r="E40" s="4"/>
      <c r="F40" s="4"/>
      <c r="G40" s="4"/>
      <c r="H40" s="4"/>
    </row>
    <row r="41" spans="1:9">
      <c r="A41" s="11"/>
      <c r="B41" s="10"/>
      <c r="C41" s="10"/>
      <c r="D41" s="10"/>
      <c r="E41" s="10"/>
      <c r="F41" s="10"/>
      <c r="G41" s="4"/>
      <c r="H41" s="4"/>
    </row>
    <row r="42" spans="1:9">
      <c r="A42" s="11"/>
      <c r="B42" s="5"/>
      <c r="C42" s="5"/>
      <c r="D42" s="5"/>
      <c r="E42" s="5"/>
      <c r="F42" s="5"/>
      <c r="G42" s="4"/>
      <c r="H42" s="4"/>
    </row>
    <row r="43" spans="1:9">
      <c r="A43" s="13"/>
      <c r="B43" s="5"/>
      <c r="C43" s="5"/>
      <c r="D43" s="5"/>
      <c r="E43" s="5"/>
      <c r="F43" s="5"/>
      <c r="G43" s="4"/>
      <c r="H43" s="4"/>
    </row>
    <row r="44" spans="1:9">
      <c r="A44" s="4"/>
      <c r="B44" s="5"/>
      <c r="C44" s="4"/>
      <c r="D44" s="4"/>
      <c r="E44" s="4"/>
      <c r="F44" s="4"/>
      <c r="G44" s="4"/>
      <c r="H44" s="4"/>
    </row>
    <row r="45" spans="1:9">
      <c r="A45" s="4"/>
      <c r="B45" s="5"/>
      <c r="C45" s="4"/>
      <c r="D45" s="4"/>
      <c r="E45" s="4"/>
      <c r="F45" s="4"/>
      <c r="G45" s="4"/>
      <c r="H45" s="4"/>
    </row>
  </sheetData>
  <mergeCells count="4">
    <mergeCell ref="A14:L14"/>
    <mergeCell ref="A1:L2"/>
    <mergeCell ref="A15:L16"/>
    <mergeCell ref="A24:E24"/>
  </mergeCells>
  <printOptions gridLines="1"/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sgladish</dc:creator>
  <cp:lastModifiedBy>sgladish</cp:lastModifiedBy>
  <cp:lastPrinted>2010-11-27T01:27:18Z</cp:lastPrinted>
  <dcterms:created xsi:type="dcterms:W3CDTF">2010-04-29T20:35:38Z</dcterms:created>
  <dcterms:modified xsi:type="dcterms:W3CDTF">2010-11-27T01:27:33Z</dcterms:modified>
</cp:coreProperties>
</file>