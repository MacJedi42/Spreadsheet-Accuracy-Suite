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astern Conference Predictor" state="visible" r:id="rId3"/>
    <sheet sheetId="2" name="Stanley Cup Bracket" state="visible" r:id="rId4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N10" authorId="0">
      <text>
        <t xml:space="preserve">NOTE (per Sacamano's original): Yes, yes, I KNOW that the ranking doesn't take into account divisional leaders, tie-breakers, etc., but I'm too lazy to figure out a new array formula, and I figure we are all smart enough to adjust it in our heads.  If you want to fix it, go for it.
</t>
      </text>
    </comment>
  </commentList>
</comments>
</file>

<file path=xl/sharedStrings.xml><?xml version="1.0" encoding="utf-8"?>
<sst xmlns="http://schemas.openxmlformats.org/spreadsheetml/2006/main" count="488" uniqueCount="124">
  <si>
    <t>J.P. shamelessly rips off...</t>
  </si>
  <si>
    <t>Sacamano's Western Conference Playoff Predictor</t>
  </si>
  <si>
    <t>The Japers' Rink Eastern Conference Playoff Predictor</t>
  </si>
  <si>
    <t>INSTRUCTIONS (per Sacamano's original):  Simply enter your prediction for the visiting team's result (or the actual result for games that have already been played) in the column indicated (JP's note: the light yellow cells). The home teams result, the ranks, and the points should update automatically.</t>
  </si>
  <si>
    <t>W=Regular Time Win</t>
  </si>
  <si>
    <t>W</t>
  </si>
  <si>
    <t>OTW=Overtime/Shootout Win</t>
  </si>
  <si>
    <t>OTW</t>
  </si>
  <si>
    <t>L=Loss</t>
  </si>
  <si>
    <t>L</t>
  </si>
  <si>
    <t>OTL=Overtime/Shootout Loss</t>
  </si>
  <si>
    <t>OTL</t>
  </si>
  <si>
    <t>Predicted Final Standings</t>
  </si>
  <si>
    <t>DATE</t>
  </si>
  <si>
    <t>VISITING TEAM</t>
  </si>
  <si>
    <t>Prediction (W,OTW,L,OTL) For VISITING TEAM</t>
  </si>
  <si>
    <t>PointsH</t>
  </si>
  <si>
    <t>HOME TEAM</t>
  </si>
  <si>
    <t>DO NOT ENTER PREDICTION HERE</t>
  </si>
  <si>
    <t>PointsV</t>
  </si>
  <si>
    <t>Base Points</t>
  </si>
  <si>
    <t>Rank</t>
  </si>
  <si>
    <t>Team</t>
  </si>
  <si>
    <t>Points</t>
  </si>
  <si>
    <t>EstimatedPoints</t>
  </si>
  <si>
    <t>Total Estimated Points</t>
  </si>
  <si>
    <t>Fri Feb 27, 2009</t>
  </si>
  <si>
    <t>Canadiens</t>
  </si>
  <si>
    <t>Flyers</t>
  </si>
  <si>
    <t>Bruins</t>
  </si>
  <si>
    <t>Penguins</t>
  </si>
  <si>
    <t>Blackhawks</t>
  </si>
  <si>
    <t>Capitals</t>
  </si>
  <si>
    <t>Lightning</t>
  </si>
  <si>
    <t>Canucks</t>
  </si>
  <si>
    <t>Devils</t>
  </si>
  <si>
    <t>Sat Feb 28, 2009</t>
  </si>
  <si>
    <t>Panthers</t>
  </si>
  <si>
    <t>Sharks</t>
  </si>
  <si>
    <t>Rangers</t>
  </si>
  <si>
    <t>Maple Leafs</t>
  </si>
  <si>
    <t>Senators</t>
  </si>
  <si>
    <t>Sabres</t>
  </si>
  <si>
    <t>Islanders</t>
  </si>
  <si>
    <t>Hurricanes</t>
  </si>
  <si>
    <t>Avalanche</t>
  </si>
  <si>
    <t>Thrashers</t>
  </si>
  <si>
    <t>Sun Mar 1, 2009</t>
  </si>
  <si>
    <t>Stars</t>
  </si>
  <si>
    <t>Flames</t>
  </si>
  <si>
    <t>Mon Mar 2, 2009</t>
  </si>
  <si>
    <t>Tue Mar 3, 2009</t>
  </si>
  <si>
    <t>Wed Mar 4, 2009</t>
  </si>
  <si>
    <t>Thu Mar 5, 2009</t>
  </si>
  <si>
    <t>Coyotes</t>
  </si>
  <si>
    <t>Oilers</t>
  </si>
  <si>
    <t>Fri Mar 6, 2009</t>
  </si>
  <si>
    <t>Blues</t>
  </si>
  <si>
    <t>Sat Mar 7, 2009</t>
  </si>
  <si>
    <t>Predators</t>
  </si>
  <si>
    <t>Sun Mar 8, 2009</t>
  </si>
  <si>
    <t>Mon Mar 9, 2009</t>
  </si>
  <si>
    <t>Tue Mar 10, 2009</t>
  </si>
  <si>
    <t>Blue Jackets</t>
  </si>
  <si>
    <t>Wed Mar 11, 2009</t>
  </si>
  <si>
    <t>Thu Mar 12, 2009</t>
  </si>
  <si>
    <t>Fri Mar 13, 2009</t>
  </si>
  <si>
    <t>n/a</t>
  </si>
  <si>
    <t>Sat Mar 14, 2009</t>
  </si>
  <si>
    <t>Sun Mar 15, 2009</t>
  </si>
  <si>
    <t>Mon Mar 16, 2009</t>
  </si>
  <si>
    <t>Tue Mar 17, 2009</t>
  </si>
  <si>
    <t>Red Wings</t>
  </si>
  <si>
    <t>Wed Mar 18, 2009</t>
  </si>
  <si>
    <t>Thu Mar 19, 2009</t>
  </si>
  <si>
    <t>Kings</t>
  </si>
  <si>
    <t>Fri Mar 20, 2009</t>
  </si>
  <si>
    <t>Wild</t>
  </si>
  <si>
    <t>Sat Mar 21, 2009</t>
  </si>
  <si>
    <t>Sun Mar 22, 2009</t>
  </si>
  <si>
    <t>Mon Mar 23, 2009</t>
  </si>
  <si>
    <t>Tue Mar 24, 2009</t>
  </si>
  <si>
    <t>Wed Mar 25, 2009</t>
  </si>
  <si>
    <t>Thu Mar 26, 2009</t>
  </si>
  <si>
    <t>Fri Mar 27, 2009</t>
  </si>
  <si>
    <t>Sat Mar 28, 2009</t>
  </si>
  <si>
    <t>Sun Mar 29, 2009</t>
  </si>
  <si>
    <t>Flyers </t>
  </si>
  <si>
    <t>Mon Mar 30, 2009</t>
  </si>
  <si>
    <t>Tue Mar 31, 2009</t>
  </si>
  <si>
    <t>Panthers </t>
  </si>
  <si>
    <t>Wed Apr 1, 2009</t>
  </si>
  <si>
    <t>Thrashers </t>
  </si>
  <si>
    <t>Maple Leafs </t>
  </si>
  <si>
    <t>Thu, Apr 2, 2009</t>
  </si>
  <si>
    <t>Islanders </t>
  </si>
  <si>
    <t>Fri Apr 3, 2009</t>
  </si>
  <si>
    <t>Sat Apr 4, 2009</t>
  </si>
  <si>
    <t>Sun Apr 5, 2009</t>
  </si>
  <si>
    <t>Mon Apr 6, 2009</t>
  </si>
  <si>
    <t>Wings</t>
  </si>
  <si>
    <t>Canadiens </t>
  </si>
  <si>
    <t>Tue Apr 7, 2009</t>
  </si>
  <si>
    <t>Wed Apr 8, 2009</t>
  </si>
  <si>
    <t>Thu Apr 9, 2009</t>
  </si>
  <si>
    <t>Sat Apr 11, 2009</t>
  </si>
  <si>
    <t>Bruins </t>
  </si>
  <si>
    <t>Senators </t>
  </si>
  <si>
    <t>Penguins </t>
  </si>
  <si>
    <t>Lightning </t>
  </si>
  <si>
    <t>Capitals </t>
  </si>
  <si>
    <t>Sun Apr 12, 2009</t>
  </si>
  <si>
    <t>Rangers </t>
  </si>
  <si>
    <t>1)</t>
  </si>
  <si>
    <t>8)</t>
  </si>
  <si>
    <t>3)</t>
  </si>
  <si>
    <t>6)</t>
  </si>
  <si>
    <t>Eastern Conference Champions</t>
  </si>
  <si>
    <t>2)</t>
  </si>
  <si>
    <t>Stanley Cup Champions!!!!</t>
  </si>
  <si>
    <t>7)</t>
  </si>
  <si>
    <t>Western Conference Champions</t>
  </si>
  <si>
    <t>4)</t>
  </si>
  <si>
    <t>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</si>
</sst>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;@"/>
  </numFmts>
  <fonts count="7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0000D4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9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31">
    <fill>
      <patternFill patternType="none"/>
    </fill>
    <fill>
      <patternFill patternType="gray125">
        <bgColor rgb="FFFFFFFF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thick">
        <color rgb="FFDD0806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rgb="FFDD0806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DD0806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ck">
        <color rgb="FFDD080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fillId="0" numFmtId="0" borderId="0" fontId="0"/>
  </cellStyleXfs>
  <cellXfs count="81">
    <xf applyAlignment="1" fillId="0" xfId="0" numFmtId="0" borderId="0" fontId="0">
      <alignment vertical="bottom" horizontal="general" wrapText="1"/>
    </xf>
    <xf applyBorder="1" fillId="2" xfId="0" numFmtId="0" borderId="1" applyFont="1" fontId="1" applyFill="1"/>
    <xf applyBorder="1" applyAlignment="1" fillId="0" xfId="0" numFmtId="0" borderId="2" applyFont="1" fontId="2">
      <alignment vertical="bottom" horizontal="left"/>
    </xf>
    <xf applyAlignment="1" fillId="0" xfId="0" numFmtId="0" borderId="0" applyFont="1" fontId="3">
      <alignment vertical="bottom" horizontal="left"/>
    </xf>
    <xf applyBorder="1" applyAlignment="1" fillId="0" xfId="0" numFmtId="0" borderId="3" applyFont="1" fontId="4">
      <alignment vertical="bottom" horizontal="center"/>
    </xf>
    <xf applyAlignment="1" fillId="0" xfId="0" numFmtId="0" borderId="0" applyFont="1" fontId="5">
      <alignment vertical="center" horizontal="center"/>
    </xf>
    <xf applyBorder="1" fillId="0" xfId="0" numFmtId="0" borderId="4" applyFont="1" fontId="6"/>
    <xf applyBorder="1" applyAlignment="1" fillId="0" xfId="0" numFmtId="0" borderId="5" applyFont="1" fontId="7">
      <alignment vertical="center" horizontal="center" wrapText="1"/>
    </xf>
    <xf applyBorder="1" applyAlignment="1" fillId="0" xfId="0" numFmtId="0" borderId="6" applyFont="1" fontId="8">
      <alignment vertical="bottom" horizontal="center"/>
    </xf>
    <xf applyBorder="1" fillId="3" xfId="0" numFmtId="0" borderId="7" applyFont="1" fontId="9" applyFill="1"/>
    <xf fillId="4" xfId="0" numFmtId="0" borderId="0" applyFont="1" fontId="10" applyFill="1"/>
    <xf applyAlignment="1" fillId="0" xfId="0" numFmtId="0" borderId="0" applyFont="1" fontId="11">
      <alignment vertical="bottom" horizontal="center"/>
    </xf>
    <xf applyBorder="1" fillId="5" xfId="0" numFmtId="0" borderId="8" applyFont="1" fontId="12" applyFill="1"/>
    <xf applyBorder="1" applyAlignment="1" fillId="0" xfId="0" numFmtId="0" borderId="9" applyFont="1" fontId="13">
      <alignment vertical="bottom" horizontal="center"/>
    </xf>
    <xf fillId="6" xfId="0" numFmtId="0" borderId="0" applyFont="1" fontId="14" applyFill="1"/>
    <xf fillId="7" xfId="0" numFmtId="0" borderId="0" applyFont="1" fontId="15" applyFill="1"/>
    <xf applyBorder="1" applyAlignment="1" fillId="0" xfId="0" numFmtId="0" borderId="10" fontId="0">
      <alignment vertical="bottom" horizontal="general" wrapText="1"/>
    </xf>
    <xf applyBorder="1" applyAlignment="1" fillId="8" xfId="0" numFmtId="0" borderId="11" applyFont="1" fontId="16" applyFill="1">
      <alignment vertical="bottom" horizontal="center"/>
    </xf>
    <xf applyBorder="1" fillId="0" xfId="0" numFmtId="0" borderId="12" applyFont="1" fontId="17"/>
    <xf applyBorder="1" applyAlignment="1" fillId="0" xfId="0" numFmtId="0" borderId="13" applyFont="1" fontId="18">
      <alignment vertical="bottom" horizontal="center"/>
    </xf>
    <xf applyBorder="1" applyAlignment="1" fillId="9" xfId="0" numFmtId="0" borderId="14" applyFont="1" fontId="19" applyFill="1">
      <alignment vertical="center" horizontal="center" wrapText="1"/>
    </xf>
    <xf applyBorder="1" applyAlignment="1" fillId="0" xfId="0" numFmtId="0" borderId="15" fontId="0">
      <alignment vertical="bottom" horizontal="general" wrapText="1"/>
    </xf>
    <xf applyBorder="1" applyAlignment="1" fillId="0" xfId="0" numFmtId="0" borderId="16" applyFont="1" fontId="20">
      <alignment vertical="bottom" horizontal="left"/>
    </xf>
    <xf applyBorder="1" fillId="0" xfId="0" numFmtId="0" borderId="17" applyFont="1" fontId="21"/>
    <xf applyBorder="1" applyAlignment="1" fillId="10" xfId="0" numFmtId="0" borderId="18" applyFont="1" fontId="22" applyFill="1">
      <alignment vertical="center" horizontal="center" wrapText="1"/>
    </xf>
    <xf applyBorder="1" fillId="0" xfId="0" numFmtId="0" borderId="19" applyFont="1" fontId="23"/>
    <xf applyBorder="1" fillId="11" xfId="0" numFmtId="0" borderId="20" applyFont="1" fontId="24" applyFill="1"/>
    <xf applyBorder="1" fillId="0" xfId="0" numFmtId="0" borderId="21" applyFont="1" fontId="25"/>
    <xf applyAlignment="1" fillId="0" xfId="0" numFmtId="0" borderId="0" applyFont="1" fontId="26">
      <alignment vertical="bottom" horizontal="center"/>
    </xf>
    <xf applyBorder="1" fillId="0" xfId="0" numFmtId="0" borderId="22" applyFont="1" fontId="27"/>
    <xf applyBorder="1" fillId="12" xfId="0" numFmtId="0" borderId="23" applyFont="1" fontId="28" applyFill="1"/>
    <xf applyBorder="1" applyAlignment="1" fillId="0" xfId="0" numFmtId="0" borderId="24" applyFont="1" fontId="29">
      <alignment vertical="bottom" horizontal="center"/>
    </xf>
    <xf applyBorder="1" applyAlignment="1" fillId="0" xfId="0" numFmtId="0" borderId="25" fontId="0">
      <alignment vertical="bottom" horizontal="general" wrapText="1"/>
    </xf>
    <xf applyBorder="1" fillId="13" xfId="0" numFmtId="0" borderId="26" applyFont="1" fontId="30" applyFill="1"/>
    <xf fillId="0" xfId="0" numFmtId="0" borderId="0" applyFont="1" fontId="31"/>
    <xf applyBorder="1" fillId="14" xfId="0" numFmtId="0" borderId="27" applyFont="1" fontId="32" applyFill="1"/>
    <xf applyAlignment="1" fillId="0" xfId="0" numFmtId="0" borderId="0" applyFont="1" fontId="33">
      <alignment vertical="center" horizontal="center"/>
    </xf>
    <xf applyBorder="1" applyAlignment="1" fillId="0" xfId="0" numFmtId="0" borderId="28" applyFont="1" fontId="34">
      <alignment vertical="bottom" horizontal="center"/>
    </xf>
    <xf applyBorder="1" fillId="0" xfId="0" numFmtId="0" borderId="29" applyFont="1" fontId="35"/>
    <xf applyBorder="1" applyAlignment="1" fillId="15" xfId="0" numFmtId="0" borderId="30" applyFont="1" fontId="36" applyFill="1">
      <alignment vertical="center" horizontal="center" wrapText="1"/>
    </xf>
    <xf fillId="0" xfId="0" numFmtId="0" borderId="0" applyFont="1" fontId="37"/>
    <xf applyBorder="1" fillId="16" xfId="0" numFmtId="0" borderId="31" applyFont="1" fontId="38" applyFill="1"/>
    <xf applyAlignment="1" fillId="17" xfId="0" numFmtId="0" borderId="0" applyFont="1" fontId="39" applyFill="1">
      <alignment vertical="center" horizontal="center"/>
    </xf>
    <xf applyBorder="1" fillId="18" xfId="0" numFmtId="0" borderId="32" applyFont="1" fontId="40" applyFill="1"/>
    <xf applyBorder="1" fillId="19" xfId="0" numFmtId="0" borderId="33" applyFont="1" fontId="41" applyFill="1"/>
    <xf applyBorder="1" fillId="20" xfId="0" numFmtId="0" borderId="34" applyFont="1" fontId="42" applyFill="1"/>
    <xf applyBorder="1" fillId="21" xfId="0" numFmtId="0" borderId="35" applyFont="1" fontId="43" applyFill="1"/>
    <xf applyAlignment="1" fillId="0" xfId="0" numFmtId="0" borderId="0" applyFont="1" fontId="44">
      <alignment vertical="bottom" horizontal="center"/>
    </xf>
    <xf applyBorder="1" fillId="0" xfId="0" numFmtId="0" borderId="36" applyFont="1" fontId="45"/>
    <xf applyBorder="1" fillId="0" xfId="0" numFmtId="0" borderId="37" applyFont="1" fontId="46"/>
    <xf applyBorder="1" fillId="0" xfId="0" numFmtId="0" borderId="38" applyFont="1" fontId="47"/>
    <xf applyBorder="1" applyAlignment="1" fillId="0" xfId="0" numFmtId="0" borderId="39" applyFont="1" fontId="48">
      <alignment vertical="bottom" horizontal="center"/>
    </xf>
    <xf applyBorder="1" applyAlignment="1" fillId="0" xfId="0" numFmtId="0" borderId="40" fontId="0">
      <alignment vertical="bottom" horizontal="general" wrapText="1"/>
    </xf>
    <xf fillId="0" xfId="0" numFmtId="164" borderId="0" applyFont="1" fontId="49" applyNumberFormat="1"/>
    <xf applyBorder="1" fillId="0" xfId="0" numFmtId="0" borderId="41" applyFont="1" fontId="50"/>
    <xf applyBorder="1" fillId="22" xfId="0" numFmtId="0" borderId="42" applyFont="1" fontId="51" applyFill="1"/>
    <xf applyBorder="1" applyAlignment="1" fillId="0" xfId="0" numFmtId="0" borderId="43" applyFont="1" fontId="52">
      <alignment vertical="bottom" horizontal="center"/>
    </xf>
    <xf applyBorder="1" fillId="23" xfId="0" numFmtId="0" borderId="44" applyFont="1" fontId="53" applyFill="1"/>
    <xf applyAlignment="1" fillId="0" xfId="0" numFmtId="0" borderId="0" applyFont="1" fontId="54">
      <alignment vertical="bottom" horizontal="center"/>
    </xf>
    <xf applyBorder="1" applyAlignment="1" fillId="24" xfId="0" numFmtId="0" borderId="45" applyFont="1" fontId="55" applyFill="1">
      <alignment vertical="bottom" horizontal="center"/>
    </xf>
    <xf applyAlignment="1" fillId="25" xfId="0" numFmtId="0" borderId="0" applyFont="1" fontId="56" applyFill="1">
      <alignment vertical="center" horizontal="center" wrapText="1"/>
    </xf>
    <xf applyBorder="1" applyAlignment="1" fillId="26" xfId="0" numFmtId="0" borderId="46" applyFont="1" fontId="57" applyFill="1">
      <alignment vertical="center" horizontal="center"/>
    </xf>
    <xf applyBorder="1" fillId="27" xfId="0" numFmtId="0" borderId="47" applyFont="1" fontId="58" applyFill="1"/>
    <xf applyBorder="1" fillId="0" xfId="0" numFmtId="0" borderId="48" applyFont="1" fontId="59"/>
    <xf fillId="0" xfId="0" numFmtId="0" borderId="0" applyFont="1" fontId="60"/>
    <xf applyBorder="1" applyAlignment="1" fillId="0" xfId="0" numFmtId="0" borderId="49" applyFont="1" fontId="61">
      <alignment vertical="bottom" horizontal="center"/>
    </xf>
    <xf applyBorder="1" fillId="0" xfId="0" numFmtId="0" borderId="50" applyFont="1" fontId="62"/>
    <xf applyBorder="1" applyAlignment="1" fillId="28" xfId="0" numFmtId="0" borderId="51" applyFont="1" fontId="63" applyFill="1">
      <alignment vertical="center" horizontal="center" wrapText="1"/>
    </xf>
    <xf fillId="0" xfId="0" numFmtId="0" borderId="0" applyFont="1" fontId="64"/>
    <xf applyBorder="1" fillId="0" xfId="0" numFmtId="0" borderId="52" applyFont="1" fontId="65"/>
    <xf applyAlignment="1" fillId="0" xfId="0" numFmtId="0" borderId="0" applyFont="1" fontId="66">
      <alignment vertical="bottom" horizontal="center"/>
    </xf>
    <xf applyBorder="1" applyAlignment="1" fillId="0" xfId="0" numFmtId="0" borderId="53" applyFont="1" fontId="67">
      <alignment vertical="bottom" horizontal="left"/>
    </xf>
    <xf applyAlignment="1" fillId="0" xfId="0" numFmtId="0" borderId="0" applyFont="1" fontId="68">
      <alignment vertical="center" horizontal="center"/>
    </xf>
    <xf applyBorder="1" applyAlignment="1" fillId="0" xfId="0" numFmtId="0" borderId="54" applyFont="1" fontId="69">
      <alignment vertical="bottom" horizontal="left"/>
    </xf>
    <xf applyBorder="1" fillId="0" xfId="0" numFmtId="0" borderId="55" applyFont="1" fontId="70"/>
    <xf applyBorder="1" fillId="29" xfId="0" numFmtId="0" borderId="56" applyFont="1" fontId="71" applyFill="1"/>
    <xf applyAlignment="1" fillId="0" xfId="0" numFmtId="0" borderId="0" applyFont="1" fontId="72">
      <alignment vertical="center" horizontal="center"/>
    </xf>
    <xf applyAlignment="1" fillId="0" xfId="0" numFmtId="0" borderId="0" applyFont="1" fontId="73">
      <alignment vertical="center" horizontal="left" wrapText="1"/>
    </xf>
    <xf applyAlignment="1" fillId="0" xfId="0" numFmtId="0" borderId="0" applyFont="1" fontId="74">
      <alignment vertical="center" horizontal="general"/>
    </xf>
    <xf applyBorder="1" applyAlignment="1" fillId="30" xfId="0" numFmtId="0" borderId="57" applyFont="1" fontId="75" applyFill="1">
      <alignment vertical="center" horizontal="center" wrapText="1"/>
    </xf>
    <xf fillId="0" xfId="0" numFmtId="0" borderId="0" applyFont="1" fontId="7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34" width="16.57"/>
    <col min="2" customWidth="1" max="2" style="34" width="15.57"/>
    <col min="3" customWidth="1" max="3" style="11" width="17.71"/>
    <col min="4" customWidth="1" max="4" style="34" hidden="1" width="3.57"/>
    <col min="5" customWidth="1" max="5" style="34" width="1.43"/>
    <col min="6" customWidth="1" max="6" style="34" width="15.57"/>
    <col min="7" customWidth="1" max="7" style="11" hidden="1" width="15.57"/>
    <col min="8" customWidth="1" max="9" style="34" hidden="1" width="9.0"/>
    <col min="10" customWidth="1" max="10" style="34" hidden="1" width="13.29"/>
    <col min="11" customWidth="1" max="12" style="34" hidden="1" width="9.0"/>
    <col min="13" customWidth="1" max="13" style="34" width="2.43"/>
    <col min="14" customWidth="1" max="14" style="34" width="9.0"/>
    <col min="15" customWidth="1" max="15" style="34" width="11.14"/>
    <col min="16" customWidth="1" max="16" style="34" width="7.86"/>
    <col min="17" customWidth="1" max="17" style="34" width="9.0"/>
    <col min="18" customWidth="1" max="18" style="34" hidden="1" width="9.0"/>
    <col min="19" customWidth="1" max="19" style="34" hidden="1" width="12.29"/>
    <col min="20" customWidth="1" max="21" style="34" hidden="1" width="10.14"/>
    <col min="22" customWidth="1" max="22" style="34" hidden="1" width="12.29"/>
    <col min="23" customWidth="1" max="24" style="34" width="7.86"/>
  </cols>
  <sheetData>
    <row r="1">
      <c t="s" s="58" r="A1">
        <v>0</v>
      </c>
      <c s="34" r="R1"/>
      <c s="34" r="S1"/>
      <c s="34" r="T1"/>
      <c s="34" r="U1"/>
      <c s="34" r="V1"/>
      <c s="34" r="W1"/>
      <c s="34" r="X1"/>
      <c s="34" r="Y1"/>
    </row>
    <row customHeight="1" s="76" customFormat="1" r="2" ht="21.0">
      <c t="s" s="36" r="A2">
        <v>1</v>
      </c>
      <c s="76" r="R2"/>
      <c s="76" r="S2"/>
      <c s="76" r="T2"/>
      <c s="76" r="U2"/>
      <c s="76" r="V2"/>
      <c s="76" r="W2"/>
      <c s="76" r="X2"/>
      <c s="76" r="Y2"/>
    </row>
    <row r="3">
      <c t="str" s="11" r="A3">
        <f>HYPERLINK("http://battleofalberta.blogspot.com/", "Which can be found at http://battleofalberta.blogspot.com to create...")</f>
        <v>Which can be found at http://battleofalberta.blogspot.com to create...</v>
      </c>
      <c s="34" r="R3"/>
      <c s="34" r="S3"/>
      <c s="34" r="T3"/>
      <c s="34" r="U3"/>
      <c s="34" r="V3"/>
      <c s="34" r="W3"/>
      <c s="34" r="X3"/>
      <c s="34" r="Y3"/>
    </row>
    <row customHeight="1" s="76" customFormat="1" r="4" ht="18.0">
      <c t="s" s="72" r="A4">
        <v>2</v>
      </c>
      <c s="76" r="R4"/>
      <c s="76" r="S4"/>
      <c s="76" r="T4"/>
      <c s="76" r="U4"/>
      <c s="76" r="V4"/>
      <c s="76" r="W4"/>
      <c s="76" r="X4"/>
      <c s="76" r="Y4"/>
    </row>
    <row r="5">
      <c t="str" s="47" r="A5">
        <f>HYPERLINK("http://japersrink.blogspot.com/", "http://japersrink.blogspot.com")</f>
        <v>http://japersrink.blogspot.com</v>
      </c>
      <c s="34" r="R5"/>
      <c s="34" r="S5"/>
      <c s="34" r="T5"/>
      <c s="34" r="U5"/>
      <c s="34" r="V5"/>
      <c s="34" r="W5"/>
      <c s="34" r="X5"/>
      <c s="34" r="Y5"/>
    </row>
    <row customHeight="1" s="78" customFormat="1" r="6" ht="40.5">
      <c t="s" s="77" r="A6">
        <v>3</v>
      </c>
      <c s="78" r="R6"/>
      <c s="78" r="S6"/>
      <c s="78" r="T6"/>
      <c s="78" r="U6"/>
      <c s="78" r="V6"/>
      <c s="78" r="W6"/>
      <c s="78" r="X6"/>
      <c s="78" r="Y6"/>
    </row>
    <row r="7">
      <c s="34" r="A7"/>
      <c t="s" s="80" r="B7">
        <v>4</v>
      </c>
      <c s="11" r="C7"/>
      <c s="34" r="D7"/>
      <c s="34" r="E7"/>
      <c s="34" r="F7"/>
      <c s="11" r="G7"/>
      <c s="34" r="H7"/>
      <c s="34" r="I7"/>
      <c s="34" r="J7"/>
      <c s="34" r="K7"/>
      <c s="34" r="L7"/>
      <c t="s" s="64" r="M7">
        <v>5</v>
      </c>
      <c s="34" r="N7"/>
      <c s="34" r="O7"/>
      <c s="34" r="P7"/>
      <c s="34" r="Q7"/>
      <c s="34" r="R7"/>
      <c s="34" r="S7"/>
      <c s="34" r="T7"/>
      <c s="34" r="U7"/>
      <c s="34" r="V7"/>
      <c s="34" r="W7"/>
      <c s="34" r="X7"/>
      <c s="34" r="Y7"/>
    </row>
    <row r="8">
      <c s="34" r="A8"/>
      <c t="s" s="80" r="B8">
        <v>6</v>
      </c>
      <c s="11" r="C8"/>
      <c s="34" r="D8"/>
      <c s="34" r="E8"/>
      <c s="34" r="F8"/>
      <c s="11" r="G8"/>
      <c s="34" r="H8"/>
      <c s="34" r="I8"/>
      <c s="34" r="J8"/>
      <c s="34" r="K8"/>
      <c s="34" r="L8"/>
      <c t="s" s="64" r="M8">
        <v>7</v>
      </c>
      <c s="34" r="N8"/>
      <c s="34" r="O8"/>
      <c s="34" r="P8"/>
      <c s="34" r="Q8"/>
      <c s="34" r="R8"/>
      <c s="34" r="S8"/>
      <c s="34" r="T8"/>
      <c s="34" r="U8"/>
      <c s="34" r="V8"/>
      <c s="34" r="W8"/>
      <c s="34" r="X8"/>
      <c s="34" r="Y8"/>
    </row>
    <row s="34" customFormat="1" r="9">
      <c s="34" r="A9"/>
      <c t="s" s="80" r="B9">
        <v>8</v>
      </c>
      <c s="34" r="C9"/>
      <c s="34" r="D9"/>
      <c s="34" r="E9"/>
      <c s="34" r="F9"/>
      <c s="34" r="G9"/>
      <c s="34" r="H9"/>
      <c s="34" r="I9"/>
      <c s="34" r="J9"/>
      <c s="34" r="K9"/>
      <c s="34" r="L9"/>
      <c t="s" s="64" r="M9">
        <v>9</v>
      </c>
      <c s="63" r="N9"/>
      <c s="63" r="O9"/>
      <c s="63" r="P9"/>
      <c s="63" r="Q9"/>
      <c s="34" r="R9"/>
      <c s="34" r="S9"/>
      <c s="34" r="T9"/>
      <c s="34" r="U9"/>
      <c s="34" r="V9"/>
      <c s="34" r="W9"/>
      <c s="34" r="X9"/>
      <c s="34" r="Y9"/>
    </row>
    <row s="34" customFormat="1" r="10">
      <c s="63" r="A10"/>
      <c t="s" s="25" r="B10">
        <v>10</v>
      </c>
      <c s="63" r="C10"/>
      <c s="63" r="D10"/>
      <c s="63" r="E10"/>
      <c s="63" r="F10"/>
      <c s="63" r="G10"/>
      <c s="63" r="H10"/>
      <c s="63" r="I10"/>
      <c s="63" r="J10"/>
      <c s="63" r="K10"/>
      <c s="63" r="L10"/>
      <c t="s" s="69" r="M10">
        <v>11</v>
      </c>
      <c t="s" s="20" r="N10">
        <v>12</v>
      </c>
      <c s="21" r="O10"/>
      <c s="21" r="P10"/>
      <c s="52" r="Q10"/>
      <c s="23" r="R10"/>
      <c s="34" r="S10"/>
      <c s="34" r="T10"/>
      <c s="34" r="U10"/>
      <c s="34" r="V10"/>
      <c s="34" r="W10"/>
      <c s="34" r="X10"/>
      <c s="34" r="Y10"/>
    </row>
    <row customHeight="1" s="5" customFormat="1" r="11" ht="54.0">
      <c t="s" s="39" r="A11">
        <v>13</v>
      </c>
      <c t="s" s="79" r="B11">
        <v>14</v>
      </c>
      <c t="s" s="79" r="C11">
        <v>15</v>
      </c>
      <c t="s" s="79" r="D11">
        <v>16</v>
      </c>
      <c s="79" r="E11"/>
      <c t="s" s="79" r="F11">
        <v>17</v>
      </c>
      <c t="s" s="67" r="G11">
        <v>18</v>
      </c>
      <c t="s" s="39" r="H11">
        <v>19</v>
      </c>
      <c s="79" r="I11"/>
      <c s="61" r="J11"/>
      <c t="s" s="79" r="K11">
        <v>20</v>
      </c>
      <c s="67" r="L11"/>
      <c s="7" r="M11"/>
      <c t="s" s="39" r="N11">
        <v>21</v>
      </c>
      <c t="s" s="79" r="O11">
        <v>22</v>
      </c>
      <c s="79" r="P11"/>
      <c t="s" s="67" r="Q11">
        <v>23</v>
      </c>
      <c t="s" s="24" r="R11">
        <v>21</v>
      </c>
      <c t="s" s="60" r="S11">
        <v>22</v>
      </c>
      <c t="s" s="60" r="T11">
        <v>24</v>
      </c>
      <c t="s" s="60" r="U11">
        <v>25</v>
      </c>
      <c s="42" r="V11"/>
      <c s="5" r="W11"/>
      <c s="5" r="X11"/>
      <c s="5" r="Y11"/>
    </row>
    <row r="12">
      <c t="s" s="73" r="A12">
        <v>26</v>
      </c>
      <c t="s" s="48" r="B12">
        <v>27</v>
      </c>
      <c s="31" r="C12"/>
      <c t="str" s="48" r="D12">
        <f>IF((C12="W"),2.0,IF((C12="OTW"),2.0,IF((C12="L"),0.0,IF((C12="OTL"),1.0,""))))</f>
        <v/>
      </c>
      <c s="48" r="E12"/>
      <c t="s" s="48" r="F12">
        <v>28</v>
      </c>
      <c t="str" s="59" r="G12">
        <f>IF((C12="W"),"L",IF((C12="OTW"),"OTL",IF((C12="L"),"W",IF((C12="OTL"),"OTW",""))))</f>
        <v/>
      </c>
      <c t="str" s="27" r="H12">
        <f>IF((G12="W"),2.0,IF((G12="OTW"),2.0,IF((G12="L"),0.0,IF((G12="OTL"),1.0,""))))</f>
        <v/>
      </c>
      <c s="48" r="I12"/>
      <c t="s" s="48" r="J12">
        <v>29</v>
      </c>
      <c s="48" r="K12">
        <v>92</v>
      </c>
      <c s="48" r="L12"/>
      <c s="18" r="M12"/>
      <c s="75" r="N12">
        <v>1</v>
      </c>
      <c t="str" s="12" r="O12">
        <f>VLOOKUP(N12,$R$12:$S$26,2.0,false)</f>
        <v>Bruins</v>
      </c>
      <c s="12" r="P12"/>
      <c s="41" r="Q12">
        <f>VLOOKUP(N12,$R$12:$U$26,4.0,false)</f>
        <v>92</v>
      </c>
      <c s="23" r="R12">
        <f>RANK($U12,$U$12:$U$26,)+COUNTIF(U$11:U11,U12)</f>
        <v>1</v>
      </c>
      <c t="s" s="34" r="S12">
        <v>29</v>
      </c>
      <c s="34" r="T12">
        <f>(SUMIF($B$11:$B$196,"Bruins",$D$11:$D$196))+(SUMIF($F$11:$F$196,"Bruins",$H$11:$H$196))</f>
        <v>0</v>
      </c>
      <c s="34" r="U12">
        <f>K12+T12</f>
        <v>92</v>
      </c>
      <c s="34" r="V12"/>
      <c s="34" r="W12"/>
      <c s="34" r="X12"/>
      <c s="34" r="Y12"/>
    </row>
    <row r="13">
      <c s="3" r="A13"/>
      <c t="s" s="34" r="B13">
        <v>30</v>
      </c>
      <c s="11" r="C13"/>
      <c t="str" s="34" r="D13">
        <f>IF((C13="W"),2.0,IF((C13="OTW"),2.0,IF((C13="L"),0.0,IF((C13="OTL"),1.0,""))))</f>
        <v/>
      </c>
      <c s="34" r="E13"/>
      <c t="s" s="34" r="F13">
        <v>31</v>
      </c>
      <c t="str" s="17" r="G13">
        <f>IF((C13="W"),"L",IF((C13="OTW"),"OTL",IF((C13="L"),"W",IF((C13="OTL"),"OTW",""))))</f>
        <v/>
      </c>
      <c t="str" s="23" r="H13">
        <f>IF((G13="W"),2.0,IF((G13="OTW"),2.0,IF((G13="L"),0.0,IF((G13="OTL"),1.0,""))))</f>
        <v/>
      </c>
      <c s="34" r="I13"/>
      <c t="s" s="34" r="J13">
        <v>32</v>
      </c>
      <c s="34" r="K13">
        <v>83</v>
      </c>
      <c s="34" r="L13"/>
      <c s="18" r="M13"/>
      <c s="44" r="N13">
        <v>2</v>
      </c>
      <c t="str" s="14" r="O13">
        <f>VLOOKUP(N13,$R$12:$S$26,2.0,false)</f>
        <v>Capitals</v>
      </c>
      <c s="14" r="P13"/>
      <c s="33" r="Q13">
        <f>VLOOKUP(N13,$R$12:$U$26,4.0,false)</f>
        <v>83</v>
      </c>
      <c s="23" r="R13">
        <f>RANK($U13,$U$12:$U$26,)+COUNTIF(U$12:U12,U13)</f>
        <v>2</v>
      </c>
      <c t="s" s="34" r="S13">
        <v>32</v>
      </c>
      <c s="34" r="T13">
        <f>(SUMIF($B$11:$B$196,"Capitals",$D$11:$D$196))+(SUMIF($F$11:$F$196,"Capitals",$H$11:$H$196))</f>
        <v>0</v>
      </c>
      <c s="34" r="U13">
        <f>K13+T13</f>
        <v>83</v>
      </c>
      <c s="34" r="V13"/>
      <c s="34" r="W13"/>
      <c s="34" r="X13"/>
      <c s="34" r="Y13"/>
    </row>
    <row r="14">
      <c s="2" r="A14"/>
      <c t="s" s="74" r="B14">
        <v>33</v>
      </c>
      <c s="8" r="C14"/>
      <c t="str" s="34" r="D14">
        <f>IF((C14="W"),2.0,IF((C14="OTW"),2.0,IF((C14="L"),0.0,IF((C14="OTL"),1.0,""))))</f>
        <v/>
      </c>
      <c s="74" r="E14"/>
      <c t="s" s="74" r="F14">
        <v>34</v>
      </c>
      <c t="str" s="17" r="G14">
        <f>IF((C14="W"),"L",IF((C14="OTW"),"OTL",IF((C14="L"),"W",IF((C14="OTL"),"OTW",""))))</f>
        <v/>
      </c>
      <c t="str" s="23" r="H14">
        <f>IF((G14="W"),2.0,IF((G14="OTW"),2.0,IF((G14="L"),0.0,IF((G14="OTL"),1.0,""))))</f>
        <v/>
      </c>
      <c s="34" r="I14"/>
      <c t="s" s="34" r="J14">
        <v>35</v>
      </c>
      <c s="34" r="K14">
        <v>81</v>
      </c>
      <c s="34" r="L14"/>
      <c s="18" r="M14"/>
      <c s="44" r="N14">
        <v>3</v>
      </c>
      <c t="str" s="14" r="O14">
        <f>VLOOKUP(N14,$R$12:$S$26,2.0,false)</f>
        <v>Devils</v>
      </c>
      <c s="14" r="P14"/>
      <c s="33" r="Q14">
        <f>VLOOKUP(N14,$R$12:$U$26,4.0,false)</f>
        <v>81</v>
      </c>
      <c s="23" r="R14">
        <f>RANK($U14,$U$12:$U$26,)+COUNTIF(U$12:U13,U14)</f>
        <v>3</v>
      </c>
      <c t="s" s="34" r="S14">
        <v>35</v>
      </c>
      <c s="34" r="T14">
        <f>(SUMIF($B$11:$B$196,"Devils",$D$11:$D$196))+(SUMIF($F$11:$F$196,"Devils",$H$11:$H$196))</f>
        <v>0</v>
      </c>
      <c s="34" r="U14">
        <f>K14+T14</f>
        <v>81</v>
      </c>
      <c s="34" r="V14"/>
      <c s="34" r="W14"/>
      <c s="34" r="X14"/>
      <c s="34" r="Y14"/>
    </row>
    <row r="15">
      <c t="s" s="71" r="A15">
        <v>36</v>
      </c>
      <c t="s" s="6" r="B15">
        <v>32</v>
      </c>
      <c s="19" r="C15"/>
      <c t="str" s="34" r="D15">
        <f>IF((C15="W"),2.0,IF((C15="OTW"),2.0,IF((C15="L"),0.0,IF((C15="OTL"),1.0,""))))</f>
        <v/>
      </c>
      <c s="6" r="E15"/>
      <c t="s" s="6" r="F15">
        <v>29</v>
      </c>
      <c t="str" s="17" r="G15">
        <f>IF((C15="W"),"L",IF((C15="OTW"),"OTL",IF((C15="L"),"W",IF((C15="OTL"),"OTW",""))))</f>
        <v/>
      </c>
      <c t="str" s="23" r="H15">
        <f>IF((G15="W"),2.0,IF((G15="OTW"),2.0,IF((G15="L"),0.0,IF((G15="OTL"),1.0,""))))</f>
        <v/>
      </c>
      <c s="34" r="I15"/>
      <c t="s" s="34" r="J15">
        <v>28</v>
      </c>
      <c s="34" r="K15">
        <v>75</v>
      </c>
      <c s="34" r="L15"/>
      <c s="18" r="M15"/>
      <c s="44" r="N15">
        <v>4</v>
      </c>
      <c t="str" s="14" r="O15">
        <f>VLOOKUP(N15,$R$12:$S$26,2.0,false)</f>
        <v>Flyers</v>
      </c>
      <c s="14" r="P15"/>
      <c s="33" r="Q15">
        <f>VLOOKUP(N15,$R$12:$U$26,4.0,false)</f>
        <v>75</v>
      </c>
      <c s="23" r="R15">
        <f>RANK($U15,$U$12:$U$26,)+COUNTIF(U$12:U14,U15)</f>
        <v>4</v>
      </c>
      <c t="s" s="34" r="S15">
        <v>28</v>
      </c>
      <c s="34" r="T15">
        <f>(SUMIF($B$11:$B$196,"Flyers",$D$11:$D$196))+(SUMIF($F$11:$F$196,"Flyers",$H$11:$H$196))</f>
        <v>0</v>
      </c>
      <c s="34" r="U15">
        <f>K15+T15</f>
        <v>75</v>
      </c>
      <c s="34" r="V15"/>
      <c s="34" r="W15"/>
      <c s="34" r="X15"/>
      <c s="34" r="Y15"/>
    </row>
    <row customHeight="1" s="34" customFormat="1" r="16" ht="15.0">
      <c s="3" r="A16"/>
      <c t="s" s="40" r="B16">
        <v>37</v>
      </c>
      <c s="28" r="C16"/>
      <c t="str" s="34" r="D16">
        <f>IF((C16="W"),2.0,IF((C16="OTW"),2.0,IF((C16="L"),0.0,IF((C16="OTL"),1.0,""))))</f>
        <v/>
      </c>
      <c s="40" r="E16"/>
      <c t="s" s="40" r="F16">
        <v>35</v>
      </c>
      <c t="str" s="17" r="G16">
        <f>IF((C16="W"),"L",IF((C16="OTW"),"OTL",IF((C16="L"),"W",IF((C16="OTL"),"OTW",""))))</f>
        <v/>
      </c>
      <c t="str" s="23" r="H16">
        <f>IF((G16="W"),2.0,IF((G16="OTW"),2.0,IF((G16="L"),0.0,IF((G16="OTL"),1.0,""))))</f>
        <v/>
      </c>
      <c s="34" r="I16"/>
      <c t="s" s="34" r="J16">
        <v>27</v>
      </c>
      <c s="34" r="K16">
        <v>71</v>
      </c>
      <c s="34" r="L16"/>
      <c s="18" r="M16"/>
      <c s="44" r="N16">
        <v>5</v>
      </c>
      <c t="str" s="14" r="O16">
        <f>VLOOKUP(N16,$R$12:$S$26,2.0,false)</f>
        <v>Canadiens</v>
      </c>
      <c s="14" r="P16"/>
      <c s="33" r="Q16">
        <f>VLOOKUP(N16,$R$12:$U$26,4.0,false)</f>
        <v>71</v>
      </c>
      <c s="23" r="R16">
        <f>RANK($U16,$U$12:$U$26,)+COUNTIF(U$12:U15,U16)</f>
        <v>5</v>
      </c>
      <c t="s" s="34" r="S16">
        <v>27</v>
      </c>
      <c s="34" r="T16">
        <f>(SUMIF($B$11:$B$196,"Canadiens",$D$11:$D$196))+(SUMIF($F$11:$F$196,"Canadiens",$H$11:$H$196))</f>
        <v>0</v>
      </c>
      <c s="34" r="U16">
        <f>K16+T16</f>
        <v>71</v>
      </c>
      <c s="34" r="V16"/>
      <c s="34" r="W16"/>
      <c s="34" r="X16"/>
      <c s="34" r="Y16"/>
    </row>
    <row r="17">
      <c s="3" r="A17"/>
      <c t="s" s="34" r="B17">
        <v>38</v>
      </c>
      <c s="11" r="C17"/>
      <c t="str" s="34" r="D17">
        <f>IF((C17="W"),2.0,IF((C17="OTW"),2.0,IF((C17="L"),0.0,IF((C17="OTL"),1.0,""))))</f>
        <v/>
      </c>
      <c s="34" r="E17"/>
      <c t="s" s="34" r="F17">
        <v>27</v>
      </c>
      <c t="str" s="17" r="G17">
        <f>IF((C17="W"),"L",IF((C17="OTW"),"OTL",IF((C17="L"),"W",IF((C17="OTL"),"OTW",""))))</f>
        <v/>
      </c>
      <c t="str" s="23" r="H17">
        <f>IF((G17="W"),2.0,IF((G17="OTW"),2.0,IF((G17="L"),0.0,IF((G17="OTL"),1.0,""))))</f>
        <v/>
      </c>
      <c s="34" r="I17"/>
      <c t="s" s="34" r="J17">
        <v>39</v>
      </c>
      <c s="34" r="K17">
        <v>70</v>
      </c>
      <c s="34" r="L17"/>
      <c s="18" r="M17"/>
      <c s="44" r="N17">
        <v>6</v>
      </c>
      <c t="str" s="14" r="O17">
        <f>VLOOKUP(N17,$R$12:$S$26,2.0,false)</f>
        <v>Rangers</v>
      </c>
      <c s="14" r="P17"/>
      <c s="33" r="Q17">
        <f>VLOOKUP(N17,$R$12:$U$26,4.0,false)</f>
        <v>70</v>
      </c>
      <c s="23" r="R17">
        <f>RANK($U17,$U$12:$U$26,)+COUNTIF(U$12:U16,U17)</f>
        <v>6</v>
      </c>
      <c t="s" s="34" r="S17">
        <v>39</v>
      </c>
      <c s="34" r="T17">
        <f>(SUMIF($B$11:$B$196,"Rangers",$D$11:$D$196))+(SUMIF($F$11:$F$196,"Rangers",$H$11:$H$196))</f>
        <v>0</v>
      </c>
      <c s="34" r="U17">
        <f>K17+T17</f>
        <v>70</v>
      </c>
      <c s="34" r="V17"/>
      <c s="34" r="W17"/>
      <c s="34" r="X17"/>
      <c s="34" r="Y17"/>
    </row>
    <row r="18">
      <c s="3" r="A18"/>
      <c t="s" s="34" r="B18">
        <v>40</v>
      </c>
      <c s="11" r="C18"/>
      <c t="str" s="34" r="D18">
        <f>IF((C18="W"),2.0,IF((C18="OTW"),2.0,IF((C18="L"),0.0,IF((C18="OTL"),1.0,""))))</f>
        <v/>
      </c>
      <c s="34" r="E18"/>
      <c t="s" s="34" r="F18">
        <v>41</v>
      </c>
      <c t="str" s="17" r="G18">
        <f>IF((C18="W"),"L",IF((C18="OTW"),"OTL",IF((C18="L"),"W",IF((C18="OTL"),"OTW",""))))</f>
        <v/>
      </c>
      <c t="str" s="23" r="H18">
        <f>IF((G18="W"),2.0,IF((G18="OTW"),2.0,IF((G18="L"),0.0,IF((G18="OTL"),1.0,""))))</f>
        <v/>
      </c>
      <c s="34" r="I18"/>
      <c t="s" s="34" r="J18">
        <v>37</v>
      </c>
      <c s="34" r="K18">
        <v>70</v>
      </c>
      <c s="34" r="L18"/>
      <c s="18" r="M18"/>
      <c s="44" r="N18">
        <v>7</v>
      </c>
      <c t="str" s="14" r="O18">
        <f>VLOOKUP(N18,$R$12:$S$26,2.0,false)</f>
        <v>Panthers</v>
      </c>
      <c s="14" r="P18"/>
      <c s="33" r="Q18">
        <f>VLOOKUP(N18,$R$12:$U$26,4.0,false)</f>
        <v>70</v>
      </c>
      <c s="23" r="R18">
        <f>RANK($U18,$U$12:$U$26,)+COUNTIF(U$12:U17,U18)</f>
        <v>7</v>
      </c>
      <c t="s" s="34" r="S18">
        <v>37</v>
      </c>
      <c s="34" r="T18">
        <f>(SUMIF($B$11:$B$196,"Panthers",$D$11:$D$196))+(SUMIF($F$11:$F$196,"Panthers",$H$11:$H$196))</f>
        <v>0</v>
      </c>
      <c s="34" r="U18">
        <f>K18+T18</f>
        <v>70</v>
      </c>
      <c s="34" r="V18"/>
      <c s="34" r="W18"/>
      <c s="34" r="X18"/>
      <c s="34" r="Y18"/>
    </row>
    <row s="34" customFormat="1" r="19">
      <c s="3" r="A19"/>
      <c t="s" s="34" r="B19">
        <v>42</v>
      </c>
      <c s="11" r="C19"/>
      <c t="str" s="34" r="D19">
        <f>IF((C19="W"),2.0,IF((C19="OTW"),2.0,IF((C19="L"),0.0,IF((C19="OTL"),1.0,""))))</f>
        <v/>
      </c>
      <c s="34" r="E19"/>
      <c t="s" s="34" r="F19">
        <v>43</v>
      </c>
      <c t="str" s="17" r="G19">
        <f>IF((C19="W"),"L",IF((C19="OTW"),"OTL",IF((C19="L"),"W",IF((C19="OTL"),"OTW",""))))</f>
        <v/>
      </c>
      <c t="str" s="23" r="H19">
        <f>IF((G19="W"),2.0,IF((G19="OTW"),2.0,IF((G19="L"),0.0,IF((G19="OTL"),1.0,""))))</f>
        <v/>
      </c>
      <c s="34" r="I19"/>
      <c t="s" s="63" r="J19">
        <v>44</v>
      </c>
      <c s="63" r="K19">
        <v>69</v>
      </c>
      <c s="34" r="L19"/>
      <c s="18" r="M19"/>
      <c s="9" r="N19">
        <v>8</v>
      </c>
      <c t="str" s="55" r="O19">
        <f>VLOOKUP(N19,$R$12:$S$26,2.0,false)</f>
        <v>Hurricanes</v>
      </c>
      <c s="55" r="P19"/>
      <c s="57" r="Q19">
        <f>VLOOKUP(N19,$R$12:$U$26,4.0,false)</f>
        <v>69</v>
      </c>
      <c s="38" r="R19">
        <f>RANK($U19,$U$12:$U$26,)+COUNTIF(U$12:U18,U19)</f>
        <v>8</v>
      </c>
      <c t="s" s="63" r="S19">
        <v>44</v>
      </c>
      <c s="63" r="T19">
        <f>(SUMIF($B$11:$B$196,"Hurricanes",$D$11:$D$196))+(SUMIF($F$11:$F$196,"Hurricanes",$H$11:$H$196))</f>
        <v>0</v>
      </c>
      <c s="63" r="U19">
        <f>K19+T19</f>
        <v>69</v>
      </c>
      <c s="63" r="V19"/>
      <c s="34" r="W19"/>
      <c s="34" r="X19"/>
      <c s="34" r="Y19"/>
    </row>
    <row r="20">
      <c s="3" r="A20"/>
      <c t="s" s="34" r="B20">
        <v>45</v>
      </c>
      <c s="11" r="C20"/>
      <c t="str" s="34" r="D20">
        <f>IF((C20="W"),2.0,IF((C20="OTW"),2.0,IF((C20="L"),0.0,IF((C20="OTL"),1.0,""))))</f>
        <v/>
      </c>
      <c s="34" r="E20"/>
      <c t="s" s="34" r="F20">
        <v>39</v>
      </c>
      <c t="str" s="17" r="G20">
        <f>IF((C20="W"),"L",IF((C20="OTW"),"OTL",IF((C20="L"),"W",IF((C20="OTL"),"OTW",""))))</f>
        <v/>
      </c>
      <c t="str" s="23" r="H20">
        <f>IF((G20="W"),2.0,IF((G20="OTW"),2.0,IF((G20="L"),0.0,IF((G20="OTL"),1.0,""))))</f>
        <v/>
      </c>
      <c s="34" r="I20"/>
      <c t="s" s="48" r="J20">
        <v>42</v>
      </c>
      <c s="48" r="K20">
        <v>69</v>
      </c>
      <c s="34" r="L20"/>
      <c s="18" r="M20"/>
      <c s="1" r="N20">
        <v>9</v>
      </c>
      <c t="str" s="46" r="O20">
        <f>VLOOKUP(N20,$R$12:$S$26,2.0,false)</f>
        <v>Sabres</v>
      </c>
      <c s="46" r="P20"/>
      <c s="30" r="Q20">
        <f>VLOOKUP(N20,$R$12:$U$26,4.0,false)</f>
        <v>69</v>
      </c>
      <c s="27" r="R20">
        <f>RANK($U20,$U$12:$U$26,)+COUNTIF(U$12:U19,U20)</f>
        <v>9</v>
      </c>
      <c t="s" s="48" r="S20">
        <v>42</v>
      </c>
      <c s="48" r="T20">
        <f>(SUMIF($B$11:$B$196,"Sabres",$D$11:$D$196))+(SUMIF($F$11:$F$196,"Sabres",$H$11:$H$196))</f>
        <v>0</v>
      </c>
      <c s="48" r="U20">
        <f>K20+T20</f>
        <v>69</v>
      </c>
      <c s="48" r="V20"/>
      <c s="34" r="W20"/>
      <c s="34" r="X20"/>
      <c s="34" r="Y20"/>
    </row>
    <row r="21">
      <c s="2" r="A21"/>
      <c t="s" s="74" r="B21">
        <v>44</v>
      </c>
      <c s="8" r="C21"/>
      <c t="str" s="34" r="D21">
        <f>IF((C21="W"),2.0,IF((C21="OTW"),2.0,IF((C21="L"),0.0,IF((C21="OTL"),1.0,""))))</f>
        <v/>
      </c>
      <c s="74" r="E21"/>
      <c t="s" s="74" r="F21">
        <v>46</v>
      </c>
      <c t="str" s="17" r="G21">
        <f>IF((C21="W"),"L",IF((C21="OTW"),"OTL",IF((C21="L"),"W",IF((C21="OTL"),"OTW",""))))</f>
        <v/>
      </c>
      <c t="str" s="23" r="H21">
        <f>IF((G21="W"),2.0,IF((G21="OTW"),2.0,IF((G21="L"),0.0,IF((G21="OTL"),1.0,""))))</f>
        <v/>
      </c>
      <c s="34" r="I21"/>
      <c t="s" s="34" r="J21">
        <v>30</v>
      </c>
      <c s="34" r="K21">
        <v>66</v>
      </c>
      <c s="34" r="L21"/>
      <c s="18" r="M21"/>
      <c s="43" r="N21">
        <v>10</v>
      </c>
      <c t="str" s="10" r="O21">
        <f>VLOOKUP(N21,$R$12:$S$26,2.0,false)</f>
        <v>Penguins</v>
      </c>
      <c s="10" r="P21"/>
      <c s="45" r="Q21">
        <f>VLOOKUP(N21,$R$12:$U$26,4.0,false)</f>
        <v>66</v>
      </c>
      <c s="23" r="R21">
        <f>RANK($U21,$U$12:$U$26,)+COUNTIF(U$12:U20,U21)</f>
        <v>10</v>
      </c>
      <c t="s" s="34" r="S21">
        <v>30</v>
      </c>
      <c s="34" r="T21">
        <f>(SUMIF($B$11:$B$196,"Penguins",$D$11:$D$196))+(SUMIF($F$11:$F$196,"Penguins",$H$11:$H$196))</f>
        <v>0</v>
      </c>
      <c s="34" r="U21">
        <f>K21+T21</f>
        <v>66</v>
      </c>
      <c s="34" r="V21"/>
      <c s="34" r="W21"/>
      <c s="34" r="X21"/>
      <c s="34" r="Y21"/>
    </row>
    <row r="22">
      <c t="s" s="71" r="A22">
        <v>47</v>
      </c>
      <c t="s" s="6" r="B22">
        <v>28</v>
      </c>
      <c s="19" r="C22"/>
      <c t="str" s="34" r="D22">
        <f>IF((C22="W"),2.0,IF((C22="OTW"),2.0,IF((C22="L"),0.0,IF((C22="OTL"),1.0,""))))</f>
        <v/>
      </c>
      <c s="6" r="E22"/>
      <c t="s" s="6" r="F22">
        <v>35</v>
      </c>
      <c t="str" s="17" r="G22">
        <f>IF((C22="W"),"L",IF((C22="OTW"),"OTL",IF((C22="L"),"W",IF((C22="OTL"),"OTW",""))))</f>
        <v/>
      </c>
      <c t="str" s="23" r="H22">
        <f>IF((G22="W"),2.0,IF((G22="OTW"),2.0,IF((G22="L"),0.0,IF((G22="OTL"),1.0,""))))</f>
        <v/>
      </c>
      <c s="34" r="I22"/>
      <c t="s" s="34" r="J22">
        <v>40</v>
      </c>
      <c s="34" r="K22">
        <v>60</v>
      </c>
      <c s="34" r="L22"/>
      <c s="18" r="M22"/>
      <c s="43" r="N22">
        <v>11</v>
      </c>
      <c t="str" s="10" r="O22">
        <f>VLOOKUP(N22,$R$12:$S$26,2.0,false)</f>
        <v>Maple Leafs</v>
      </c>
      <c s="10" r="P22"/>
      <c s="45" r="Q22">
        <f>VLOOKUP(N22,$R$12:$U$26,4.0,false)</f>
        <v>60</v>
      </c>
      <c s="23" r="R22">
        <f>RANK($U22,$U$12:$U$26,)+COUNTIF(U$12:U21,U22)</f>
        <v>11</v>
      </c>
      <c t="s" s="34" r="S22">
        <v>40</v>
      </c>
      <c s="34" r="T22">
        <f>(SUMIF($B$11:$B$196,"Maple Leafs",$D$11:$D$196))+(SUMIF($F$11:$F$196,"Maple Leafs",$H$11:$H$196))</f>
        <v>0</v>
      </c>
      <c s="34" r="U22">
        <f>K22+T22</f>
        <v>60</v>
      </c>
      <c s="34" r="V22"/>
      <c s="34" r="W22"/>
      <c s="34" r="X22"/>
      <c s="34" r="Y22"/>
    </row>
    <row r="23">
      <c s="3" r="A23"/>
      <c t="s" s="34" r="B23">
        <v>30</v>
      </c>
      <c s="11" r="C23"/>
      <c t="str" s="34" r="D23">
        <f>IF((C23="W"),2.0,IF((C23="OTW"),2.0,IF((C23="L"),0.0,IF((C23="OTL"),1.0,""))))</f>
        <v/>
      </c>
      <c s="34" r="E23"/>
      <c t="s" s="34" r="F23">
        <v>48</v>
      </c>
      <c t="str" s="17" r="G23">
        <f>IF((C23="W"),"L",IF((C23="OTW"),"OTL",IF((C23="L"),"W",IF((C23="OTL"),"OTW",""))))</f>
        <v/>
      </c>
      <c t="str" s="23" r="H23">
        <f>IF((G23="W"),2.0,IF((G23="OTW"),2.0,IF((G23="L"),0.0,IF((G23="OTL"),1.0,""))))</f>
        <v/>
      </c>
      <c s="34" r="I23"/>
      <c t="s" s="34" r="J23">
        <v>41</v>
      </c>
      <c s="34" r="K23">
        <v>55</v>
      </c>
      <c s="34" r="L23"/>
      <c s="18" r="M23"/>
      <c s="43" r="N23">
        <v>12</v>
      </c>
      <c t="str" s="10" r="O23">
        <f>VLOOKUP(N23,$R$12:$S$26,2.0,false)</f>
        <v>Senators</v>
      </c>
      <c s="10" r="P23"/>
      <c s="45" r="Q23">
        <f>VLOOKUP(N23,$R$12:$U$26,4.0,false)</f>
        <v>55</v>
      </c>
      <c s="23" r="R23">
        <f>RANK($U23,$U$12:$U$26,)+COUNTIF(U$12:U22,U23)</f>
        <v>12</v>
      </c>
      <c t="s" s="34" r="S23">
        <v>41</v>
      </c>
      <c s="34" r="T23">
        <f>(SUMIF($B$11:$B$196,"Senators",$D$11:$D$196))+(SUMIF($F$11:$F$196,"Senators",$H$11:$H$196))</f>
        <v>0</v>
      </c>
      <c s="34" r="U23">
        <f>K23+T23</f>
        <v>55</v>
      </c>
      <c s="34" r="V23"/>
      <c s="34" r="W23"/>
      <c s="34" r="X23"/>
      <c s="34" r="Y23"/>
    </row>
    <row r="24">
      <c s="3" r="A24"/>
      <c t="s" s="34" r="B24">
        <v>37</v>
      </c>
      <c s="11" r="C24"/>
      <c t="str" s="34" r="D24">
        <f>IF((C24="W"),2.0,IF((C24="OTW"),2.0,IF((C24="L"),0.0,IF((C24="OTL"),1.0,""))))</f>
        <v/>
      </c>
      <c s="34" r="E24"/>
      <c t="s" s="34" r="F24">
        <v>32</v>
      </c>
      <c t="str" s="17" r="G24">
        <f>IF((C24="W"),"L",IF((C24="OTW"),"OTL",IF((C24="L"),"W",IF((C24="OTL"),"OTW",""))))</f>
        <v/>
      </c>
      <c t="str" s="23" r="H24">
        <f>IF((G24="W"),2.0,IF((G24="OTW"),2.0,IF((G24="L"),0.0,IF((G24="OTL"),1.0,""))))</f>
        <v/>
      </c>
      <c s="34" r="I24"/>
      <c t="s" s="34" r="J24">
        <v>33</v>
      </c>
      <c s="34" r="K24">
        <v>52</v>
      </c>
      <c s="34" r="L24"/>
      <c s="18" r="M24"/>
      <c s="43" r="N24">
        <v>13</v>
      </c>
      <c t="str" s="10" r="O24">
        <f>VLOOKUP(N24,$R$12:$S$26,2.0,false)</f>
        <v>Lightning</v>
      </c>
      <c s="10" r="P24"/>
      <c s="45" r="Q24">
        <f>VLOOKUP(N24,$R$12:$U$26,4.0,false)</f>
        <v>52</v>
      </c>
      <c s="23" r="R24">
        <f>RANK($U24,$U$12:$U$26,)+COUNTIF(U$12:U23,U24)</f>
        <v>13</v>
      </c>
      <c t="s" s="34" r="S24">
        <v>33</v>
      </c>
      <c s="34" r="T24">
        <f>(SUMIF($B$11:$B$196,"Lightning",$D$11:$D$196))+(SUMIF($F$11:$F$196,"Lightning",$H$11:$H$196))</f>
        <v>0</v>
      </c>
      <c s="34" r="U24">
        <f>K24+T24</f>
        <v>52</v>
      </c>
      <c s="34" r="V24"/>
      <c s="34" r="W24"/>
      <c s="34" r="X24"/>
      <c s="34" r="Y24"/>
    </row>
    <row customHeight="1" s="34" customFormat="1" r="25" ht="15.0">
      <c s="2" r="A25"/>
      <c t="s" s="50" r="B25">
        <v>33</v>
      </c>
      <c s="51" r="C25"/>
      <c t="str" s="34" r="D25">
        <f>IF((C25="W"),2.0,IF((C25="OTW"),2.0,IF((C25="L"),0.0,IF((C25="OTL"),1.0,""))))</f>
        <v/>
      </c>
      <c s="50" r="E25"/>
      <c t="s" s="50" r="F25">
        <v>49</v>
      </c>
      <c t="str" s="17" r="G25">
        <f>IF((C25="W"),"L",IF((C25="OTW"),"OTL",IF((C25="L"),"W",IF((C25="OTL"),"OTW",""))))</f>
        <v/>
      </c>
      <c t="str" s="23" r="H25">
        <f>IF((G25="W"),2.0,IF((G25="OTW"),2.0,IF((G25="L"),0.0,IF((G25="OTL"),1.0,""))))</f>
        <v/>
      </c>
      <c s="34" r="I25"/>
      <c t="s" s="34" r="J25">
        <v>46</v>
      </c>
      <c s="34" r="K25">
        <v>50</v>
      </c>
      <c s="34" r="L25"/>
      <c s="18" r="M25"/>
      <c s="43" r="N25">
        <v>14</v>
      </c>
      <c t="str" s="10" r="O25">
        <f>VLOOKUP(N25,$R$12:$S$26,2.0,false)</f>
        <v>Thrashers</v>
      </c>
      <c s="10" r="P25"/>
      <c s="45" r="Q25">
        <f>VLOOKUP(N25,$R$12:$U$26,4.0,false)</f>
        <v>50</v>
      </c>
      <c s="23" r="R25">
        <f>RANK($U25,$U$12:$U$26,)+COUNTIF(U$12:U24,U25)</f>
        <v>14</v>
      </c>
      <c t="s" s="34" r="S25">
        <v>46</v>
      </c>
      <c s="34" r="T25">
        <f>(SUMIF($B$11:$B$196,"Thrashers",$D$11:$D$196))+(SUMIF($F$11:$F$196,"Thrashers",$H$11:$H$196))</f>
        <v>0</v>
      </c>
      <c s="34" r="U25">
        <f>K25+T25</f>
        <v>50</v>
      </c>
      <c s="34" r="V25"/>
      <c s="34" r="W25"/>
      <c s="34" r="X25"/>
      <c s="34" r="Y25"/>
    </row>
    <row s="34" customFormat="1" r="26">
      <c t="s" s="22" r="A26">
        <v>50</v>
      </c>
      <c t="s" s="29" r="B26">
        <v>45</v>
      </c>
      <c s="13" r="C26"/>
      <c t="str" s="34" r="D26">
        <f>IF((C26="W"),2.0,IF((C26="OTW"),2.0,IF((C26="L"),0.0,IF((C26="OTL"),1.0,""))))</f>
        <v/>
      </c>
      <c s="29" r="E26"/>
      <c t="s" s="29" r="F26">
        <v>43</v>
      </c>
      <c t="str" s="17" r="G26">
        <f>IF((C26="W"),"L",IF((C26="OTW"),"OTL",IF((C26="L"),"W",IF((C26="OTL"),"OTW",""))))</f>
        <v/>
      </c>
      <c t="str" s="23" r="H26">
        <f>IF((G26="W"),2.0,IF((G26="OTW"),2.0,IF((G26="L"),0.0,IF((G26="OTL"),1.0,""))))</f>
        <v/>
      </c>
      <c s="34" r="I26"/>
      <c t="s" s="34" r="J26">
        <v>43</v>
      </c>
      <c s="34" r="K26">
        <v>43</v>
      </c>
      <c s="34" r="L26"/>
      <c s="18" r="M26"/>
      <c s="62" r="N26">
        <v>15</v>
      </c>
      <c t="str" s="26" r="O26">
        <f>VLOOKUP(N26,$R$12:$S$26,2.0,false)</f>
        <v>Islanders</v>
      </c>
      <c s="26" r="P26"/>
      <c s="35" r="Q26">
        <f>VLOOKUP(N26,$R$12:$U$26,4.0,false)</f>
        <v>43</v>
      </c>
      <c s="23" r="R26">
        <f>RANK($U26,$U$12:$U$26,)+COUNTIF(U$12:U25,U26)</f>
        <v>15</v>
      </c>
      <c t="s" s="34" r="S26">
        <v>43</v>
      </c>
      <c s="34" r="T26">
        <f>(SUMIF($B$11:$B$196,"Islanders",$D$11:$D$196))+(SUMIF($F$11:$F$196,"Islanders",$H$11:$H$196))</f>
        <v>0</v>
      </c>
      <c s="34" r="U26">
        <f>K26+T26</f>
        <v>43</v>
      </c>
      <c s="34" r="V26"/>
      <c s="34" r="W26"/>
      <c s="34" r="X26"/>
      <c s="34" r="Y26"/>
    </row>
    <row r="27">
      <c t="s" s="71" r="A27">
        <v>51</v>
      </c>
      <c t="s" s="6" r="B27">
        <v>28</v>
      </c>
      <c s="19" r="C27"/>
      <c t="str" s="34" r="D27">
        <f>IF((C27="W"),2.0,IF((C27="OTW"),2.0,IF((C27="L"),0.0,IF((C27="OTL"),1.0,""))))</f>
        <v/>
      </c>
      <c s="6" r="E27"/>
      <c t="s" s="6" r="F27">
        <v>29</v>
      </c>
      <c t="str" s="17" r="G27">
        <f>IF((C27="W"),"L",IF((C27="OTW"),"OTL",IF((C27="L"),"W",IF((C27="OTL"),"OTW",""))))</f>
        <v/>
      </c>
      <c t="str" s="23" r="H27">
        <f>IF((G27="W"),2.0,IF((G27="OTW"),2.0,IF((G27="L"),0.0,IF((G27="OTL"),1.0,""))))</f>
        <v/>
      </c>
      <c s="34" r="I27"/>
      <c s="34" r="J27"/>
      <c s="34" r="K27"/>
      <c s="34" r="L27"/>
      <c s="34" r="M27"/>
      <c s="48" r="N27"/>
      <c s="48" r="O27"/>
      <c s="48" r="P27"/>
      <c s="48" r="Q27"/>
      <c s="34" r="R27"/>
      <c s="34" r="S27"/>
      <c s="34" r="T27"/>
      <c s="34" r="U27"/>
      <c s="34" r="V27"/>
      <c s="34" r="W27"/>
      <c s="34" r="X27"/>
      <c s="34" r="Y27"/>
    </row>
    <row r="28">
      <c s="3" r="A28"/>
      <c t="s" s="34" r="B28">
        <v>44</v>
      </c>
      <c s="11" r="C28"/>
      <c t="str" s="34" r="D28">
        <f>IF((C28="W"),2.0,IF((C28="OTW"),2.0,IF((C28="L"),0.0,IF((C28="OTL"),1.0,""))))</f>
        <v/>
      </c>
      <c s="34" r="E28"/>
      <c t="s" s="34" r="F28">
        <v>32</v>
      </c>
      <c s="17" r="G28"/>
      <c s="23" r="H28"/>
      <c s="34" r="I28"/>
      <c s="34" r="J28"/>
      <c s="34" r="K28"/>
      <c s="34" r="L28"/>
      <c s="34" r="M28"/>
      <c s="34" r="N28"/>
      <c s="34" r="O28"/>
      <c s="34" r="P28"/>
      <c s="34" r="Q28"/>
      <c s="34" r="R28"/>
      <c s="34" r="S28"/>
      <c s="34" r="T28"/>
      <c s="34" r="U28"/>
      <c s="34" r="V28"/>
      <c s="34" r="W28"/>
      <c s="34" r="X28"/>
      <c s="34" r="Y28"/>
    </row>
    <row r="29">
      <c s="3" r="A29"/>
      <c t="s" s="34" r="B29">
        <v>37</v>
      </c>
      <c s="11" r="C29"/>
      <c t="str" s="34" r="D29">
        <f>IF((C29="W"),2.0,IF((C29="OTW"),2.0,IF((C29="L"),0.0,IF((C29="OTL"),1.0,""))))</f>
        <v/>
      </c>
      <c s="34" r="E29"/>
      <c t="s" s="34" r="F29">
        <v>46</v>
      </c>
      <c s="17" r="G29"/>
      <c s="23" r="H29"/>
      <c s="34" r="I29"/>
      <c s="34" r="J29"/>
      <c s="34" r="K29"/>
      <c s="34" r="L29"/>
      <c s="34" r="M29"/>
      <c s="34" r="N29"/>
      <c s="34" r="O29"/>
      <c s="34" r="P29"/>
      <c s="34" r="Q29"/>
      <c s="34" r="R29"/>
      <c s="34" r="S29"/>
      <c s="34" r="T29"/>
      <c s="34" r="U29"/>
      <c s="34" r="V29"/>
      <c s="34" r="W29"/>
      <c s="34" r="X29"/>
      <c s="34" r="Y29"/>
    </row>
    <row r="30">
      <c s="3" r="A30"/>
      <c t="s" s="34" r="B30">
        <v>35</v>
      </c>
      <c s="11" r="C30"/>
      <c t="str" s="34" r="D30">
        <f>IF((C30="W"),2.0,IF((C30="OTW"),2.0,IF((C30="L"),0.0,IF((C30="OTL"),1.0,""))))</f>
        <v/>
      </c>
      <c s="34" r="E30"/>
      <c t="s" s="34" r="F30">
        <v>40</v>
      </c>
      <c s="17" r="G30"/>
      <c s="23" r="H30"/>
      <c s="34" r="I30"/>
      <c s="34" r="J30"/>
      <c s="34" r="K30"/>
      <c s="34" r="L30"/>
      <c s="34" r="M30"/>
      <c s="34" r="N30"/>
      <c s="34" r="O30"/>
      <c s="34" r="P30"/>
      <c s="34" r="Q30"/>
      <c s="34" r="R30"/>
      <c s="34" r="S30"/>
      <c s="34" r="T30"/>
      <c s="34" r="U30"/>
      <c s="34" r="V30"/>
      <c s="34" r="W30"/>
      <c s="34" r="X30"/>
      <c s="34" r="Y30"/>
    </row>
    <row r="31">
      <c s="3" r="A31"/>
      <c t="s" s="34" r="B31">
        <v>49</v>
      </c>
      <c s="11" r="C31"/>
      <c t="str" s="34" r="D31">
        <f>IF((C31="W"),2.0,IF((C31="OTW"),2.0,IF((C31="L"),0.0,IF((C31="OTL"),1.0,""))))</f>
        <v/>
      </c>
      <c s="34" r="E31"/>
      <c t="s" s="34" r="F31">
        <v>41</v>
      </c>
      <c s="17" r="G31"/>
      <c s="23" r="H31"/>
      <c s="34" r="I31"/>
      <c s="34" r="J31"/>
      <c s="34" r="K31"/>
      <c s="34" r="L31"/>
      <c s="34" r="M31"/>
      <c s="34" r="N31"/>
      <c s="34" r="O31"/>
      <c s="34" r="P31"/>
      <c s="34" r="Q31"/>
      <c s="34" r="R31"/>
      <c s="34" r="S31"/>
      <c s="34" r="T31"/>
      <c s="34" r="U31"/>
      <c s="34" r="V31"/>
      <c s="34" r="W31"/>
      <c s="34" r="X31"/>
      <c s="34" r="Y31"/>
    </row>
    <row r="32">
      <c s="2" r="A32"/>
      <c t="s" s="74" r="B32">
        <v>30</v>
      </c>
      <c s="8" r="C32"/>
      <c t="str" s="34" r="D32">
        <f>IF((C32="W"),2.0,IF((C32="OTW"),2.0,IF((C32="L"),0.0,IF((C32="OTL"),1.0,""))))</f>
        <v/>
      </c>
      <c s="74" r="E32"/>
      <c t="s" s="74" r="F32">
        <v>33</v>
      </c>
      <c s="17" r="G32"/>
      <c s="23" r="H32"/>
      <c s="34" r="I32"/>
      <c s="34" r="J32"/>
      <c s="34" r="K32"/>
      <c s="34" r="L32"/>
      <c s="34" r="M32"/>
      <c s="34" r="N32"/>
      <c s="34" r="O32"/>
      <c s="34" r="P32"/>
      <c s="34" r="Q32"/>
      <c s="34" r="R32"/>
      <c s="34" r="S32"/>
      <c s="34" r="T32"/>
      <c s="34" r="U32"/>
      <c s="34" r="V32"/>
      <c s="34" r="W32"/>
      <c s="34" r="X32"/>
      <c s="34" r="Y32"/>
    </row>
    <row r="33">
      <c t="s" s="22" r="A33">
        <v>52</v>
      </c>
      <c t="s" s="29" r="B33">
        <v>27</v>
      </c>
      <c s="13" r="C33"/>
      <c t="str" s="34" r="D33">
        <f>IF((C33="W"),2.0,IF((C33="OTW"),2.0,IF((C33="L"),0.0,IF((C33="OTL"),1.0,""))))</f>
        <v/>
      </c>
      <c s="29" r="E33"/>
      <c t="s" s="29" r="F33">
        <v>42</v>
      </c>
      <c s="17" r="G33"/>
      <c s="23" r="H33"/>
      <c s="34" r="I33"/>
      <c s="34" r="J33"/>
      <c s="34" r="K33"/>
      <c s="34" r="L33"/>
      <c s="34" r="M33"/>
      <c s="34" r="N33"/>
      <c s="34" r="O33"/>
      <c s="34" r="P33"/>
      <c s="34" r="Q33"/>
      <c s="34" r="R33"/>
      <c s="34" r="S33"/>
      <c s="34" r="T33"/>
      <c s="34" r="U33"/>
      <c s="34" r="V33"/>
      <c s="34" r="W33"/>
      <c s="34" r="X33"/>
      <c s="34" r="Y33"/>
    </row>
    <row r="34">
      <c t="s" s="71" r="A34">
        <v>53</v>
      </c>
      <c t="s" s="6" r="B34">
        <v>54</v>
      </c>
      <c s="19" r="C34"/>
      <c t="str" s="34" r="D34">
        <f>IF((C34="W"),2.0,IF((C34="OTW"),2.0,IF((C34="L"),0.0,IF((C34="OTL"),1.0,""))))</f>
        <v/>
      </c>
      <c s="6" r="E34"/>
      <c t="s" s="6" r="F34">
        <v>29</v>
      </c>
      <c s="17" r="G34"/>
      <c s="23" r="H34"/>
      <c s="34" r="I34"/>
      <c s="34" r="J34"/>
      <c s="34" r="K34"/>
      <c s="34" r="L34"/>
      <c s="34" r="M34"/>
      <c s="34" r="N34"/>
      <c s="34" r="O34"/>
      <c s="34" r="P34"/>
      <c s="34" r="Q34"/>
      <c s="34" r="R34"/>
      <c s="34" r="S34"/>
      <c s="34" r="T34"/>
      <c s="34" r="U34"/>
      <c s="34" r="V34"/>
      <c s="34" r="W34"/>
      <c s="34" r="X34"/>
      <c s="34" r="Y34"/>
    </row>
    <row r="35">
      <c s="3" r="A35"/>
      <c t="s" s="34" r="B35">
        <v>39</v>
      </c>
      <c s="11" r="C35"/>
      <c t="str" s="34" r="D35">
        <f>IF((C35="W"),2.0,IF((C35="OTW"),2.0,IF((C35="L"),0.0,IF((C35="OTL"),1.0,""))))</f>
        <v/>
      </c>
      <c s="34" r="E35"/>
      <c t="s" s="34" r="F35">
        <v>43</v>
      </c>
      <c s="17" r="G35"/>
      <c s="23" r="H35"/>
      <c s="34" r="I35"/>
      <c s="34" r="J35"/>
      <c s="34" r="K35"/>
      <c s="34" r="L35"/>
      <c s="34" r="M35"/>
      <c s="34" r="N35"/>
      <c s="34" r="O35"/>
      <c s="34" r="P35"/>
      <c s="34" r="Q35"/>
      <c s="34" r="R35"/>
      <c s="34" r="S35"/>
      <c s="34" r="T35"/>
      <c s="34" r="U35"/>
      <c s="34" r="V35"/>
      <c s="34" r="W35"/>
      <c s="34" r="X35"/>
      <c s="34" r="Y35"/>
    </row>
    <row r="36">
      <c s="3" r="A36"/>
      <c t="s" s="34" r="B36">
        <v>49</v>
      </c>
      <c s="11" r="C36"/>
      <c t="str" s="34" r="D36">
        <f>IF((C36="W"),2.0,IF((C36="OTW"),2.0,IF((C36="L"),0.0,IF((C36="OTL"),1.0,""))))</f>
        <v/>
      </c>
      <c s="34" r="E36"/>
      <c t="s" s="34" r="F36">
        <v>28</v>
      </c>
      <c s="17" r="G36"/>
      <c s="23" r="H36"/>
      <c s="34" r="I36"/>
      <c s="34" r="J36"/>
      <c s="34" r="K36"/>
      <c s="34" r="L36"/>
      <c s="34" r="M36"/>
      <c s="34" r="N36"/>
      <c s="34" r="O36"/>
      <c s="34" r="P36"/>
      <c s="34" r="Q36"/>
      <c s="34" r="R36"/>
      <c s="34" r="S36"/>
      <c s="34" r="T36"/>
      <c s="34" r="U36"/>
      <c s="34" r="V36"/>
      <c s="34" r="W36"/>
      <c s="34" r="X36"/>
      <c s="34" r="Y36"/>
    </row>
    <row r="37">
      <c s="3" r="A37"/>
      <c t="s" s="34" r="B37">
        <v>40</v>
      </c>
      <c s="11" r="C37"/>
      <c t="str" s="34" r="D37">
        <f>IF((C37="W"),2.0,IF((C37="OTW"),2.0,IF((C37="L"),0.0,IF((C37="OTL"),1.0,""))))</f>
        <v/>
      </c>
      <c s="34" r="E37"/>
      <c t="s" s="34" r="F37">
        <v>32</v>
      </c>
      <c s="17" r="G37"/>
      <c s="23" r="H37"/>
      <c s="34" r="I37"/>
      <c s="34" r="J37"/>
      <c s="34" r="K37"/>
      <c s="34" r="L37"/>
      <c s="34" r="M37"/>
      <c s="34" r="N37"/>
      <c s="34" r="O37"/>
      <c s="34" r="P37"/>
      <c s="34" r="Q37"/>
      <c s="34" r="R37"/>
      <c s="34" r="S37"/>
      <c s="34" r="T37"/>
      <c s="34" r="U37"/>
      <c s="34" r="V37"/>
      <c s="34" r="W37"/>
      <c s="34" r="X37"/>
      <c s="34" r="Y37"/>
    </row>
    <row r="38">
      <c s="3" r="A38"/>
      <c t="s" s="34" r="B38">
        <v>55</v>
      </c>
      <c s="11" r="C38"/>
      <c t="str" s="34" r="D38">
        <f>IF((C38="W"),2.0,IF((C38="OTW"),2.0,IF((C38="L"),0.0,IF((C38="OTL"),1.0,""))))</f>
        <v/>
      </c>
      <c s="34" r="E38"/>
      <c t="s" s="34" r="F38">
        <v>41</v>
      </c>
      <c s="17" r="G38"/>
      <c s="23" r="H38"/>
      <c s="34" r="I38"/>
      <c s="34" r="J38"/>
      <c s="34" r="K38"/>
      <c s="34" r="L38"/>
      <c s="34" r="M38"/>
      <c s="34" r="N38"/>
      <c s="34" r="O38"/>
      <c s="34" r="P38"/>
      <c s="34" r="Q38"/>
      <c s="34" r="R38"/>
      <c s="34" r="S38"/>
      <c s="34" r="T38"/>
      <c s="34" r="U38"/>
      <c s="34" r="V38"/>
      <c s="34" r="W38"/>
      <c s="34" r="X38"/>
      <c s="34" r="Y38"/>
    </row>
    <row r="39">
      <c s="2" r="A39"/>
      <c t="s" s="74" r="B39">
        <v>30</v>
      </c>
      <c s="8" r="C39"/>
      <c t="str" s="34" r="D39">
        <f>IF((C39="W"),2.0,IF((C39="OTW"),2.0,IF((C39="L"),0.0,IF((C39="OTL"),1.0,""))))</f>
        <v/>
      </c>
      <c s="74" r="E39"/>
      <c t="s" s="74" r="F39">
        <v>37</v>
      </c>
      <c s="17" r="G39"/>
      <c s="23" r="H39"/>
      <c s="34" r="I39"/>
      <c s="34" r="J39"/>
      <c s="34" r="K39"/>
      <c s="34" r="L39"/>
      <c s="34" r="M39"/>
      <c s="34" r="N39"/>
      <c s="34" r="O39"/>
      <c s="34" r="P39"/>
      <c s="34" r="Q39"/>
      <c s="34" r="R39"/>
      <c s="34" r="S39"/>
      <c s="34" r="T39"/>
      <c s="34" r="U39"/>
      <c s="34" r="V39"/>
      <c s="34" r="W39"/>
      <c s="34" r="X39"/>
      <c s="34" r="Y39"/>
    </row>
    <row r="40">
      <c t="s" s="71" r="A40">
        <v>56</v>
      </c>
      <c t="s" s="6" r="B40">
        <v>49</v>
      </c>
      <c s="19" r="C40"/>
      <c t="str" s="34" r="D40">
        <f>IF((C40="W"),2.0,IF((C40="OTW"),2.0,IF((C40="L"),0.0,IF((C40="OTL"),1.0,""))))</f>
        <v/>
      </c>
      <c s="6" r="E40"/>
      <c t="s" s="6" r="F40">
        <v>44</v>
      </c>
      <c s="17" r="G40"/>
      <c s="23" r="H40"/>
      <c s="34" r="I40"/>
      <c s="34" r="J40"/>
      <c s="34" r="K40"/>
      <c s="34" r="L40"/>
      <c s="34" r="M40"/>
      <c s="34" r="N40"/>
      <c s="34" r="O40"/>
      <c s="34" r="P40"/>
      <c s="34" r="Q40"/>
      <c s="34" r="R40"/>
      <c s="34" r="S40"/>
      <c s="34" r="T40"/>
      <c s="34" r="U40"/>
      <c s="34" r="V40"/>
      <c s="34" r="W40"/>
      <c s="34" r="X40"/>
      <c s="34" r="Y40"/>
    </row>
    <row r="41">
      <c s="3" r="A41"/>
      <c t="s" s="34" r="B41">
        <v>54</v>
      </c>
      <c s="11" r="C41"/>
      <c t="str" s="34" r="D41">
        <f>IF((C41="W"),2.0,IF((C41="OTW"),2.0,IF((C41="L"),0.0,IF((C41="OTL"),1.0,""))))</f>
        <v/>
      </c>
      <c s="34" r="E41"/>
      <c t="s" s="34" r="F41">
        <v>42</v>
      </c>
      <c s="17" r="G41"/>
      <c s="23" r="H41"/>
      <c s="34" r="I41"/>
      <c s="34" r="J41"/>
      <c s="34" r="K41"/>
      <c s="34" r="L41"/>
      <c s="34" r="M41"/>
      <c s="34" r="N41"/>
      <c s="34" r="O41"/>
      <c s="34" r="P41"/>
      <c s="34" r="Q41"/>
      <c s="34" r="R41"/>
      <c s="34" r="S41"/>
      <c s="34" r="T41"/>
      <c s="34" r="U41"/>
      <c s="34" r="V41"/>
      <c s="34" r="W41"/>
      <c s="34" r="X41"/>
      <c s="34" r="Y41"/>
    </row>
    <row r="42">
      <c s="3" r="A42"/>
      <c t="s" s="34" r="B42">
        <v>27</v>
      </c>
      <c s="11" r="C42"/>
      <c t="str" s="34" r="D42">
        <f>IF((C42="W"),2.0,IF((C42="OTW"),2.0,IF((C42="L"),0.0,IF((C42="OTL"),1.0,""))))</f>
        <v/>
      </c>
      <c s="34" r="E42"/>
      <c t="s" s="34" r="F42">
        <v>46</v>
      </c>
      <c s="17" r="G42"/>
      <c s="23" r="H42"/>
      <c s="34" r="I42"/>
      <c s="34" r="J42"/>
      <c s="34" r="K42"/>
      <c s="34" r="L42"/>
      <c s="34" r="M42"/>
      <c s="34" r="N42"/>
      <c s="34" r="O42"/>
      <c s="34" r="P42"/>
      <c s="34" r="Q42"/>
      <c s="34" r="R42"/>
      <c s="34" r="S42"/>
      <c s="34" r="T42"/>
      <c s="34" r="U42"/>
      <c s="34" r="V42"/>
      <c s="34" r="W42"/>
      <c s="34" r="X42"/>
      <c s="34" r="Y42"/>
    </row>
    <row r="43">
      <c s="2" r="A43"/>
      <c t="s" s="74" r="B43">
        <v>57</v>
      </c>
      <c s="8" r="C43"/>
      <c t="str" s="34" r="D43">
        <f>IF((C43="W"),2.0,IF((C43="OTW"),2.0,IF((C43="L"),0.0,IF((C43="OTL"),1.0,""))))</f>
        <v/>
      </c>
      <c s="74" r="E43"/>
      <c t="s" s="74" r="F43">
        <v>33</v>
      </c>
      <c s="17" r="G43"/>
      <c s="23" r="H43"/>
      <c s="34" r="I43"/>
      <c s="34" r="J43"/>
      <c s="34" r="K43"/>
      <c s="34" r="L43"/>
      <c s="34" r="M43"/>
      <c s="34" r="N43"/>
      <c s="34" r="O43"/>
      <c s="34" r="P43"/>
      <c s="34" r="Q43"/>
      <c s="34" r="R43"/>
      <c s="34" r="S43"/>
      <c s="34" r="T43"/>
      <c s="34" r="U43"/>
      <c s="34" r="V43"/>
      <c s="34" r="W43"/>
      <c s="34" r="X43"/>
      <c s="34" r="Y43"/>
    </row>
    <row r="44">
      <c t="s" s="71" r="A44">
        <v>58</v>
      </c>
      <c t="s" s="6" r="B44">
        <v>31</v>
      </c>
      <c s="19" r="C44"/>
      <c t="str" s="34" r="D44">
        <f>IF((C44="W"),2.0,IF((C44="OTW"),2.0,IF((C44="L"),0.0,IF((C44="OTL"),1.0,""))))</f>
        <v/>
      </c>
      <c s="6" r="E44"/>
      <c t="s" s="6" r="F44">
        <v>29</v>
      </c>
      <c s="17" r="G44"/>
      <c s="23" r="H44"/>
      <c s="34" r="I44"/>
      <c s="34" r="J44"/>
      <c s="34" r="K44"/>
      <c s="34" r="L44"/>
      <c s="34" r="M44"/>
      <c s="34" r="N44"/>
      <c s="34" r="O44"/>
      <c s="34" r="P44"/>
      <c s="34" r="Q44"/>
      <c s="34" r="R44"/>
      <c s="34" r="S44"/>
      <c s="34" r="T44"/>
      <c s="34" r="U44"/>
      <c s="34" r="V44"/>
      <c s="34" r="W44"/>
      <c s="34" r="X44"/>
      <c s="34" r="Y44"/>
    </row>
    <row r="45">
      <c s="3" r="A45"/>
      <c t="s" s="34" r="B45">
        <v>35</v>
      </c>
      <c s="11" r="C45"/>
      <c t="str" s="34" r="D45">
        <f>IF((C45="W"),2.0,IF((C45="OTW"),2.0,IF((C45="L"),0.0,IF((C45="OTL"),1.0,""))))</f>
        <v/>
      </c>
      <c s="34" r="E45"/>
      <c t="s" s="34" r="F45">
        <v>43</v>
      </c>
      <c s="17" r="G45"/>
      <c s="23" r="H45"/>
      <c s="34" r="I45"/>
      <c s="34" r="J45"/>
      <c s="34" r="K45"/>
      <c s="34" r="L45"/>
      <c s="34" r="M45"/>
      <c s="34" r="N45"/>
      <c s="34" r="O45"/>
      <c s="34" r="P45"/>
      <c s="34" r="Q45"/>
      <c s="34" r="R45"/>
      <c s="34" r="S45"/>
      <c s="34" r="T45"/>
      <c s="34" r="U45"/>
      <c s="34" r="V45"/>
      <c s="34" r="W45"/>
      <c s="34" r="X45"/>
      <c s="34" r="Y45"/>
    </row>
    <row r="46">
      <c s="3" r="A46"/>
      <c t="s" s="34" r="B46">
        <v>55</v>
      </c>
      <c s="11" r="C46"/>
      <c t="str" s="34" r="D46">
        <f>IF((C46="W"),2.0,IF((C46="OTW"),2.0,IF((C46="L"),0.0,IF((C46="OTL"),1.0,""))))</f>
        <v/>
      </c>
      <c s="34" r="E46"/>
      <c t="s" s="34" r="F46">
        <v>40</v>
      </c>
      <c s="17" r="G46"/>
      <c s="23" r="H46"/>
      <c s="34" r="I46"/>
      <c s="34" r="J46"/>
      <c s="34" r="K46"/>
      <c s="34" r="L46"/>
      <c s="34" r="M46"/>
      <c s="34" r="N46"/>
      <c s="34" r="O46"/>
      <c s="34" r="P46"/>
      <c s="34" r="Q46"/>
      <c s="34" r="R46"/>
      <c s="34" r="S46"/>
      <c s="34" r="T46"/>
      <c s="34" r="U46"/>
      <c s="34" r="V46"/>
      <c s="34" r="W46"/>
      <c s="34" r="X46"/>
      <c s="34" r="Y46"/>
    </row>
    <row r="47">
      <c s="3" r="A47"/>
      <c t="s" s="34" r="B47">
        <v>42</v>
      </c>
      <c s="11" r="C47"/>
      <c t="str" s="34" r="D47">
        <f>IF((C47="W"),2.0,IF((C47="OTW"),2.0,IF((C47="L"),0.0,IF((C47="OTL"),1.0,""))))</f>
        <v/>
      </c>
      <c s="34" r="E47"/>
      <c t="s" s="34" r="F47">
        <v>41</v>
      </c>
      <c s="17" r="G47"/>
      <c s="23" r="H47"/>
      <c s="34" r="I47"/>
      <c s="34" r="J47"/>
      <c s="34" r="K47"/>
      <c s="34" r="L47"/>
      <c s="34" r="M47"/>
      <c s="34" r="N47"/>
      <c s="34" r="O47"/>
      <c s="34" r="P47"/>
      <c s="34" r="Q47"/>
      <c s="34" r="R47"/>
      <c s="34" r="S47"/>
      <c s="34" r="T47"/>
      <c s="34" r="U47"/>
      <c s="34" r="V47"/>
      <c s="34" r="W47"/>
      <c s="34" r="X47"/>
      <c s="34" r="Y47"/>
    </row>
    <row r="48">
      <c s="3" r="A48"/>
      <c t="s" s="34" r="B48">
        <v>59</v>
      </c>
      <c s="11" r="C48"/>
      <c t="str" s="34" r="D48">
        <f>IF((C48="W"),2.0,IF((C48="OTW"),2.0,IF((C48="L"),0.0,IF((C48="OTL"),1.0,""))))</f>
        <v/>
      </c>
      <c s="34" r="E48"/>
      <c t="s" s="34" r="F48">
        <v>28</v>
      </c>
      <c s="17" r="G48"/>
      <c s="23" r="H48"/>
      <c s="34" r="I48"/>
      <c s="34" r="J48"/>
      <c s="34" r="K48"/>
      <c s="34" r="L48"/>
      <c s="34" r="M48"/>
      <c s="34" r="N48"/>
      <c s="34" r="O48"/>
      <c s="34" r="P48"/>
      <c s="34" r="Q48"/>
      <c s="34" r="R48"/>
      <c s="34" r="S48"/>
      <c s="34" r="T48"/>
      <c s="34" r="U48"/>
      <c s="34" r="V48"/>
      <c s="34" r="W48"/>
      <c s="34" r="X48"/>
      <c s="34" r="Y48"/>
    </row>
    <row r="49">
      <c s="3" r="A49"/>
      <c t="s" s="34" r="B49">
        <v>57</v>
      </c>
      <c s="11" r="C49"/>
      <c t="str" s="34" r="D49">
        <f>IF((C49="W"),2.0,IF((C49="OTW"),2.0,IF((C49="L"),0.0,IF((C49="OTL"),1.0,""))))</f>
        <v/>
      </c>
      <c s="34" r="E49"/>
      <c t="s" s="34" r="F49">
        <v>37</v>
      </c>
      <c s="17" r="G49"/>
      <c s="23" r="H49"/>
      <c s="34" r="I49"/>
      <c s="34" r="J49"/>
      <c s="34" r="K49"/>
      <c s="34" r="L49"/>
      <c s="34" r="M49"/>
      <c s="34" r="N49"/>
      <c s="34" r="O49"/>
      <c s="34" r="P49"/>
      <c s="34" r="Q49"/>
      <c s="34" r="R49"/>
      <c s="34" r="S49"/>
      <c s="34" r="T49"/>
      <c s="34" r="U49"/>
      <c s="34" r="V49"/>
      <c s="34" r="W49"/>
      <c s="34" r="X49"/>
      <c s="34" r="Y49"/>
    </row>
    <row r="50">
      <c s="2" r="A50"/>
      <c t="s" s="74" r="B50">
        <v>44</v>
      </c>
      <c s="8" r="C50"/>
      <c t="str" s="34" r="D50">
        <f>IF((C50="W"),2.0,IF((C50="OTW"),2.0,IF((C50="L"),0.0,IF((C50="OTL"),1.0,""))))</f>
        <v/>
      </c>
      <c s="74" r="E50"/>
      <c t="s" s="74" r="F50">
        <v>33</v>
      </c>
      <c s="17" r="G50"/>
      <c s="23" r="H50"/>
      <c s="34" r="I50"/>
      <c s="34" r="J50"/>
      <c s="34" r="K50"/>
      <c s="34" r="L50"/>
      <c s="34" r="M50"/>
      <c s="34" r="N50"/>
      <c s="34" r="O50"/>
      <c s="34" r="P50"/>
      <c s="34" r="Q50"/>
      <c s="34" r="R50"/>
      <c s="34" r="S50"/>
      <c s="34" r="T50"/>
      <c s="34" r="U50"/>
      <c s="34" r="V50"/>
      <c s="34" r="W50"/>
      <c s="34" r="X50"/>
      <c s="34" r="Y50"/>
    </row>
    <row r="51">
      <c t="s" s="71" r="A51">
        <v>60</v>
      </c>
      <c t="s" s="6" r="B51">
        <v>29</v>
      </c>
      <c s="19" r="C51"/>
      <c t="str" s="34" r="D51">
        <f>IF((C51="W"),2.0,IF((C51="OTW"),2.0,IF((C51="L"),0.0,IF((C51="OTL"),1.0,""))))</f>
        <v/>
      </c>
      <c s="6" r="E51"/>
      <c t="s" s="6" r="F51">
        <v>39</v>
      </c>
      <c s="17" r="G51"/>
      <c s="23" r="H51"/>
      <c s="34" r="I51"/>
      <c s="34" r="J51"/>
      <c s="34" r="K51"/>
      <c s="34" r="L51"/>
      <c s="34" r="M51"/>
      <c s="34" r="N51"/>
      <c s="34" r="O51"/>
      <c s="34" r="P51"/>
      <c s="34" r="Q51"/>
      <c s="34" r="R51"/>
      <c s="34" r="S51"/>
      <c s="34" r="T51"/>
      <c s="34" r="U51"/>
      <c s="34" r="V51"/>
      <c s="34" r="W51"/>
      <c s="34" r="X51"/>
      <c s="34" r="Y51"/>
    </row>
    <row r="52">
      <c s="3" r="A52"/>
      <c t="s" s="34" r="B52">
        <v>54</v>
      </c>
      <c s="11" r="C52"/>
      <c t="str" s="34" r="D52">
        <f>IF((C52="W"),2.0,IF((C52="OTW"),2.0,IF((C52="L"),0.0,IF((C52="OTL"),1.0,""))))</f>
        <v/>
      </c>
      <c s="34" r="E52"/>
      <c t="s" s="34" r="F52">
        <v>43</v>
      </c>
      <c s="17" r="G52"/>
      <c s="23" r="H52"/>
      <c s="34" r="I52"/>
      <c s="34" r="J52"/>
      <c s="34" r="K52"/>
      <c s="34" r="L52"/>
      <c s="34" r="M52"/>
      <c s="34" r="N52"/>
      <c s="34" r="O52"/>
      <c s="34" r="P52"/>
      <c s="34" r="Q52"/>
      <c s="34" r="R52"/>
      <c s="34" r="S52"/>
      <c s="34" r="T52"/>
      <c s="34" r="U52"/>
      <c s="34" r="V52"/>
      <c s="34" r="W52"/>
      <c s="34" r="X52"/>
      <c s="34" r="Y52"/>
    </row>
    <row r="53">
      <c s="3" r="A53"/>
      <c t="s" s="34" r="B53">
        <v>30</v>
      </c>
      <c s="11" r="C53"/>
      <c t="str" s="34" r="D53">
        <f>IF((C53="W"),2.0,IF((C53="OTW"),2.0,IF((C53="L"),0.0,IF((C53="OTL"),1.0,""))))</f>
        <v/>
      </c>
      <c s="34" r="E53"/>
      <c t="s" s="34" r="F53">
        <v>32</v>
      </c>
      <c s="17" r="G53"/>
      <c s="23" r="H53"/>
      <c s="34" r="I53"/>
      <c s="34" r="J53"/>
      <c s="34" r="K53"/>
      <c s="34" r="L53"/>
      <c s="34" r="M53"/>
      <c s="34" r="N53"/>
      <c s="34" r="O53"/>
      <c s="34" r="P53"/>
      <c s="34" r="Q53"/>
      <c s="34" r="R53"/>
      <c s="34" r="S53"/>
      <c s="34" r="T53"/>
      <c s="34" r="U53"/>
      <c s="34" r="V53"/>
      <c s="34" r="W53"/>
      <c s="34" r="X53"/>
      <c s="34" r="Y53"/>
    </row>
    <row r="54">
      <c s="3" r="A54"/>
      <c t="s" s="34" r="B54">
        <v>49</v>
      </c>
      <c s="11" r="C54"/>
      <c t="str" s="34" r="D54">
        <f>IF((C54="W"),2.0,IF((C54="OTW"),2.0,IF((C54="L"),0.0,IF((C54="OTL"),1.0,""))))</f>
        <v/>
      </c>
      <c s="34" r="E54"/>
      <c t="s" s="34" r="F54">
        <v>46</v>
      </c>
      <c s="17" r="G54"/>
      <c s="23" r="H54"/>
      <c s="34" r="I54"/>
      <c s="34" r="J54"/>
      <c s="34" r="K54"/>
      <c s="34" r="L54"/>
      <c s="34" r="M54"/>
      <c s="34" r="N54"/>
      <c s="34" r="O54"/>
      <c s="34" r="P54"/>
      <c s="34" r="Q54"/>
      <c s="34" r="R54"/>
      <c s="34" r="S54"/>
      <c s="34" r="T54"/>
      <c s="34" r="U54"/>
      <c s="34" r="V54"/>
      <c s="34" r="W54"/>
      <c s="34" r="X54"/>
      <c s="34" r="Y54"/>
    </row>
    <row r="55">
      <c s="2" r="A55"/>
      <c t="s" s="74" r="B55">
        <v>27</v>
      </c>
      <c s="8" r="C55"/>
      <c t="str" s="34" r="D55">
        <f>IF((C55="W"),2.0,IF((C55="OTW"),2.0,IF((C55="L"),0.0,IF((C55="OTL"),1.0,""))))</f>
        <v/>
      </c>
      <c s="74" r="E55"/>
      <c t="s" s="74" r="F55">
        <v>48</v>
      </c>
      <c s="17" r="G55"/>
      <c s="23" r="H55"/>
      <c s="34" r="I55"/>
      <c s="34" r="J55"/>
      <c s="34" r="K55"/>
      <c s="34" r="L55"/>
      <c s="34" r="M55"/>
      <c s="34" r="N55"/>
      <c s="34" r="O55"/>
      <c s="34" r="P55"/>
      <c s="34" r="Q55"/>
      <c s="34" r="R55"/>
      <c s="34" r="S55"/>
      <c s="34" r="T55"/>
      <c s="34" r="U55"/>
      <c s="34" r="V55"/>
      <c s="34" r="W55"/>
      <c s="34" r="X55"/>
      <c s="34" r="Y55"/>
    </row>
    <row r="56">
      <c t="s" s="71" r="A56">
        <v>61</v>
      </c>
      <c t="s" s="6" r="B56">
        <v>39</v>
      </c>
      <c s="19" r="C56"/>
      <c t="str" s="34" r="D56">
        <f>IF((C56="W"),2.0,IF((C56="OTW"),2.0,IF((C56="L"),0.0,IF((C56="OTL"),1.0,""))))</f>
        <v/>
      </c>
      <c s="6" r="E56"/>
      <c t="s" s="6" r="F56">
        <v>44</v>
      </c>
      <c s="17" r="G56"/>
      <c s="23" r="H56"/>
      <c s="34" r="I56"/>
      <c s="34" r="J56"/>
      <c s="34" r="K56"/>
      <c s="34" r="L56"/>
      <c s="34" r="M56"/>
      <c s="34" r="N56"/>
      <c s="34" r="O56"/>
      <c s="34" r="P56"/>
      <c s="34" r="Q56"/>
      <c s="34" r="R56"/>
      <c s="34" r="S56"/>
      <c s="34" r="T56"/>
      <c s="34" r="U56"/>
      <c s="34" r="V56"/>
      <c s="34" r="W56"/>
      <c s="34" r="X56"/>
      <c s="34" r="Y56"/>
    </row>
    <row r="57">
      <c s="2" r="A57"/>
      <c t="s" s="74" r="B57">
        <v>40</v>
      </c>
      <c s="8" r="C57"/>
      <c t="str" s="34" r="D57">
        <f>IF((C57="W"),2.0,IF((C57="OTW"),2.0,IF((C57="L"),0.0,IF((C57="OTL"),1.0,""))))</f>
        <v/>
      </c>
      <c s="74" r="E57"/>
      <c t="s" s="74" r="F57">
        <v>41</v>
      </c>
      <c s="17" r="G57"/>
      <c s="23" r="H57"/>
      <c s="34" r="I57"/>
      <c s="34" r="J57"/>
      <c s="34" r="K57"/>
      <c s="34" r="L57"/>
      <c s="34" r="M57"/>
      <c s="34" r="N57"/>
      <c s="34" r="O57"/>
      <c s="34" r="P57"/>
      <c s="34" r="Q57"/>
      <c s="34" r="R57"/>
      <c s="34" r="S57"/>
      <c s="34" r="T57"/>
      <c s="34" r="U57"/>
      <c s="34" r="V57"/>
      <c s="34" r="W57"/>
      <c s="34" r="X57"/>
      <c s="34" r="Y57"/>
    </row>
    <row r="58">
      <c t="s" s="71" r="A58">
        <v>62</v>
      </c>
      <c t="s" s="6" r="B58">
        <v>49</v>
      </c>
      <c s="19" r="C58"/>
      <c t="str" s="34" r="D58">
        <f>IF((C58="W"),2.0,IF((C58="OTW"),2.0,IF((C58="L"),0.0,IF((C58="OTL"),1.0,""))))</f>
        <v/>
      </c>
      <c s="6" r="E58"/>
      <c t="s" s="6" r="F58">
        <v>35</v>
      </c>
      <c s="17" r="G58"/>
      <c s="23" r="H58"/>
      <c s="34" r="I58"/>
      <c s="34" r="J58"/>
      <c s="34" r="K58"/>
      <c s="34" r="L58"/>
      <c s="34" r="M58"/>
      <c s="34" r="N58"/>
      <c s="34" r="O58"/>
      <c s="34" r="P58"/>
      <c s="34" r="Q58"/>
      <c s="34" r="R58"/>
      <c s="34" r="S58"/>
      <c s="34" r="T58"/>
      <c s="34" r="U58"/>
      <c s="34" r="V58"/>
      <c s="34" r="W58"/>
      <c s="34" r="X58"/>
      <c s="34" r="Y58"/>
    </row>
    <row r="59">
      <c s="3" r="A59"/>
      <c t="s" s="34" r="B59">
        <v>42</v>
      </c>
      <c s="11" r="C59"/>
      <c t="str" s="34" r="D59">
        <f>IF((C59="W"),2.0,IF((C59="OTW"),2.0,IF((C59="L"),0.0,IF((C59="OTL"),1.0,""))))</f>
        <v/>
      </c>
      <c s="34" r="E59"/>
      <c t="s" s="34" r="F59">
        <v>28</v>
      </c>
      <c s="17" r="G59"/>
      <c s="23" r="H59"/>
      <c s="34" r="I59"/>
      <c s="34" r="J59"/>
      <c s="34" r="K59"/>
      <c s="34" r="L59"/>
      <c s="34" r="M59"/>
      <c s="34" r="N59"/>
      <c s="34" r="O59"/>
      <c s="34" r="P59"/>
      <c s="34" r="Q59"/>
      <c s="34" r="R59"/>
      <c s="34" r="S59"/>
      <c s="34" r="T59"/>
      <c s="34" r="U59"/>
      <c s="34" r="V59"/>
      <c s="34" r="W59"/>
      <c s="34" r="X59"/>
      <c s="34" r="Y59"/>
    </row>
    <row r="60">
      <c s="3" r="A60"/>
      <c t="s" s="34" r="B60">
        <v>29</v>
      </c>
      <c s="11" r="C60"/>
      <c t="str" s="34" r="D60">
        <f>IF((C60="W"),2.0,IF((C60="OTW"),2.0,IF((C60="L"),0.0,IF((C60="OTL"),1.0,""))))</f>
        <v/>
      </c>
      <c s="34" r="E60"/>
      <c t="s" s="34" r="F60">
        <v>63</v>
      </c>
      <c s="17" r="G60"/>
      <c s="23" r="H60"/>
      <c s="34" r="I60"/>
      <c s="34" r="J60"/>
      <c s="34" r="K60"/>
      <c s="34" r="L60"/>
      <c s="34" r="M60"/>
      <c s="34" r="N60"/>
      <c s="34" r="O60"/>
      <c s="34" r="P60"/>
      <c s="34" r="Q60"/>
      <c s="34" r="R60"/>
      <c s="34" r="S60"/>
      <c s="34" r="T60"/>
      <c s="34" r="U60"/>
      <c s="34" r="V60"/>
      <c s="34" r="W60"/>
      <c s="34" r="X60"/>
      <c s="34" r="Y60"/>
    </row>
    <row r="61">
      <c s="3" r="A61"/>
      <c t="s" s="34" r="B61">
        <v>43</v>
      </c>
      <c s="11" r="C61"/>
      <c t="str" s="34" r="D61">
        <f>IF((C61="W"),2.0,IF((C61="OTW"),2.0,IF((C61="L"),0.0,IF((C61="OTL"),1.0,""))))</f>
        <v/>
      </c>
      <c s="34" r="E61"/>
      <c t="s" s="34" r="F61">
        <v>40</v>
      </c>
      <c s="17" r="G61"/>
      <c s="23" r="H61"/>
      <c s="34" r="I61"/>
      <c s="34" r="J61"/>
      <c s="34" r="K61"/>
      <c s="34" r="L61"/>
      <c s="34" r="M61"/>
      <c s="34" r="N61"/>
      <c s="34" r="O61"/>
      <c s="34" r="P61"/>
      <c s="34" r="Q61"/>
      <c s="34" r="R61"/>
      <c s="34" r="S61"/>
      <c s="34" r="T61"/>
      <c s="34" r="U61"/>
      <c s="34" r="V61"/>
      <c s="34" r="W61"/>
      <c s="34" r="X61"/>
      <c s="34" r="Y61"/>
    </row>
    <row r="62">
      <c s="3" r="A62"/>
      <c t="s" s="34" r="B62">
        <v>55</v>
      </c>
      <c s="11" r="C62"/>
      <c t="str" s="34" r="D62">
        <f>IF((C62="W"),2.0,IF((C62="OTW"),2.0,IF((C62="L"),0.0,IF((C62="OTL"),1.0,""))))</f>
        <v/>
      </c>
      <c s="34" r="E62"/>
      <c t="s" s="34" r="F62">
        <v>27</v>
      </c>
      <c s="17" r="G62"/>
      <c s="23" r="H62"/>
      <c s="34" r="I62"/>
      <c s="34" r="J62"/>
      <c s="34" r="K62"/>
      <c s="34" r="L62"/>
      <c s="34" r="M62"/>
      <c s="34" r="N62"/>
      <c s="34" r="O62"/>
      <c s="34" r="P62"/>
      <c s="34" r="Q62"/>
      <c s="34" r="R62"/>
      <c s="34" r="S62"/>
      <c s="34" r="T62"/>
      <c s="34" r="U62"/>
      <c s="34" r="V62"/>
      <c s="34" r="W62"/>
      <c s="34" r="X62"/>
      <c s="34" r="Y62"/>
    </row>
    <row r="63">
      <c s="3" r="A63"/>
      <c t="s" s="34" r="B63">
        <v>37</v>
      </c>
      <c s="11" r="C63"/>
      <c t="str" s="34" r="D63">
        <f>IF((C63="W"),2.0,IF((C63="OTW"),2.0,IF((C63="L"),0.0,IF((C63="OTL"),1.0,""))))</f>
        <v/>
      </c>
      <c s="34" r="E63"/>
      <c t="s" s="34" r="F63">
        <v>30</v>
      </c>
      <c s="17" r="G63"/>
      <c s="23" r="H63"/>
      <c s="34" r="I63"/>
      <c s="34" r="J63"/>
      <c s="34" r="K63"/>
      <c s="34" r="L63"/>
      <c s="34" r="M63"/>
      <c s="34" r="N63"/>
      <c s="34" r="O63"/>
      <c s="34" r="P63"/>
      <c s="34" r="Q63"/>
      <c s="34" r="R63"/>
      <c s="34" r="S63"/>
      <c s="34" r="T63"/>
      <c s="34" r="U63"/>
      <c s="34" r="V63"/>
      <c s="34" r="W63"/>
      <c s="34" r="X63"/>
      <c s="34" r="Y63"/>
    </row>
    <row r="64">
      <c s="2" r="A64"/>
      <c t="s" s="74" r="B64">
        <v>32</v>
      </c>
      <c s="8" r="C64"/>
      <c t="str" s="34" r="D64">
        <f>IF((C64="W"),2.0,IF((C64="OTW"),2.0,IF((C64="L"),0.0,IF((C64="OTL"),1.0,""))))</f>
        <v/>
      </c>
      <c s="74" r="E64"/>
      <c t="s" s="74" r="F64">
        <v>59</v>
      </c>
      <c s="17" r="G64"/>
      <c s="23" r="H64"/>
      <c s="34" r="I64"/>
      <c s="34" r="J64"/>
      <c s="34" r="K64"/>
      <c s="34" r="L64"/>
      <c s="34" r="M64"/>
      <c s="34" r="N64"/>
      <c s="34" r="O64"/>
      <c s="34" r="P64"/>
      <c s="34" r="Q64"/>
      <c s="34" r="R64"/>
      <c s="34" r="S64"/>
      <c s="34" r="T64"/>
      <c s="34" r="U64"/>
      <c s="34" r="V64"/>
      <c s="34" r="W64"/>
      <c s="34" r="X64"/>
      <c s="34" r="Y64"/>
    </row>
    <row r="65">
      <c t="s" s="71" r="A65">
        <v>64</v>
      </c>
      <c t="s" s="6" r="B65">
        <v>33</v>
      </c>
      <c s="19" r="C65"/>
      <c t="str" s="34" r="D65">
        <f>IF((C65="W"),2.0,IF((C65="OTW"),2.0,IF((C65="L"),0.0,IF((C65="OTL"),1.0,""))))</f>
        <v/>
      </c>
      <c s="6" r="E65"/>
      <c t="s" s="6" r="F65">
        <v>41</v>
      </c>
      <c s="17" r="G65"/>
      <c s="23" r="H65"/>
      <c s="34" r="I65"/>
      <c s="34" r="J65"/>
      <c s="34" r="K65"/>
      <c s="34" r="L65"/>
      <c s="34" r="M65"/>
      <c s="34" r="N65"/>
      <c s="34" r="O65"/>
      <c s="34" r="P65"/>
      <c s="34" r="Q65"/>
      <c s="34" r="R65"/>
      <c s="34" r="S65"/>
      <c s="34" r="T65"/>
      <c s="34" r="U65"/>
      <c s="34" r="V65"/>
      <c s="34" r="W65"/>
      <c s="34" r="X65"/>
      <c s="34" r="Y65"/>
    </row>
    <row r="66">
      <c s="2" r="A66"/>
      <c t="s" s="74" r="B66">
        <v>44</v>
      </c>
      <c s="8" r="C66"/>
      <c t="str" s="34" r="D66">
        <f>IF((C66="W"),2.0,IF((C66="OTW"),2.0,IF((C66="L"),0.0,IF((C66="OTL"),1.0,""))))</f>
        <v/>
      </c>
      <c s="74" r="E66"/>
      <c t="s" s="74" r="F66">
        <v>31</v>
      </c>
      <c s="17" r="G66"/>
      <c s="23" r="H66"/>
      <c s="34" r="I66"/>
      <c s="34" r="J66"/>
      <c s="34" r="K66"/>
      <c s="34" r="L66"/>
      <c s="34" r="M66"/>
      <c s="34" r="N66"/>
      <c s="34" r="O66"/>
      <c s="34" r="P66"/>
      <c s="34" r="Q66"/>
      <c s="34" r="R66"/>
      <c s="34" r="S66"/>
      <c s="34" r="T66"/>
      <c s="34" r="U66"/>
      <c s="34" r="V66"/>
      <c s="34" r="W66"/>
      <c s="34" r="X66"/>
      <c s="34" r="Y66"/>
    </row>
    <row r="67">
      <c t="s" s="71" r="A67">
        <v>65</v>
      </c>
      <c t="s" s="6" r="B67">
        <v>41</v>
      </c>
      <c s="19" r="C67"/>
      <c t="str" s="34" r="D67">
        <f>IF((C67="W"),2.0,IF((C67="OTW"),2.0,IF((C67="L"),0.0,IF((C67="OTL"),1.0,""))))</f>
        <v/>
      </c>
      <c s="6" r="E67"/>
      <c t="s" s="6" r="F67">
        <v>29</v>
      </c>
      <c s="17" r="G67"/>
      <c s="23" r="H67"/>
      <c s="34" r="I67"/>
      <c s="34" r="J67"/>
      <c s="34" r="K67"/>
      <c s="34" r="L67"/>
      <c s="34" r="M67"/>
      <c s="34" r="N67"/>
      <c s="34" r="O67"/>
      <c s="34" r="P67"/>
      <c s="34" r="Q67"/>
      <c s="34" r="R67"/>
      <c s="34" r="S67"/>
      <c s="34" r="T67"/>
      <c s="34" r="U67"/>
      <c s="34" r="V67"/>
      <c s="34" r="W67"/>
      <c s="34" r="X67"/>
      <c s="34" r="Y67"/>
    </row>
    <row r="68">
      <c s="3" r="A68"/>
      <c t="s" s="34" r="B68">
        <v>37</v>
      </c>
      <c s="11" r="C68"/>
      <c t="str" s="34" r="D68">
        <f>IF((C68="W"),2.0,IF((C68="OTW"),2.0,IF((C68="L"),0.0,IF((C68="OTL"),1.0,""))))</f>
        <v/>
      </c>
      <c s="34" r="E68"/>
      <c t="s" s="34" r="F68">
        <v>42</v>
      </c>
      <c s="17" r="G68"/>
      <c s="23" r="H68"/>
      <c s="34" r="I68"/>
      <c s="34" r="J68"/>
      <c s="34" r="K68"/>
      <c s="34" r="L68"/>
      <c s="34" r="M68"/>
      <c s="34" r="N68"/>
      <c s="34" r="O68"/>
      <c s="34" r="P68"/>
      <c s="34" r="Q68"/>
      <c s="34" r="R68"/>
      <c s="34" r="S68"/>
      <c s="34" r="T68"/>
      <c s="34" r="U68"/>
      <c s="34" r="V68"/>
      <c s="34" r="W68"/>
      <c s="34" r="X68"/>
      <c s="34" r="Y68"/>
    </row>
    <row r="69">
      <c s="3" r="A69"/>
      <c t="s" s="34" r="B69">
        <v>54</v>
      </c>
      <c s="11" r="C69"/>
      <c t="str" s="34" r="D69">
        <f>IF((C69="W"),2.0,IF((C69="OTW"),2.0,IF((C69="L"),0.0,IF((C69="OTL"),1.0,""))))</f>
        <v/>
      </c>
      <c s="34" r="E69"/>
      <c t="s" s="34" r="F69">
        <v>35</v>
      </c>
      <c s="17" r="G69"/>
      <c s="23" r="H69"/>
      <c s="34" r="I69"/>
      <c s="34" r="J69"/>
      <c s="34" r="K69"/>
      <c s="34" r="L69"/>
      <c s="34" r="M69"/>
      <c s="34" r="N69"/>
      <c s="34" r="O69"/>
      <c s="34" r="P69"/>
      <c s="34" r="Q69"/>
      <c s="34" r="R69"/>
      <c s="34" r="S69"/>
      <c s="34" r="T69"/>
      <c s="34" r="U69"/>
      <c s="34" r="V69"/>
      <c s="34" r="W69"/>
      <c s="34" r="X69"/>
      <c s="34" r="Y69"/>
    </row>
    <row r="70">
      <c s="3" r="A70"/>
      <c t="s" s="34" r="B70">
        <v>32</v>
      </c>
      <c s="11" r="C70"/>
      <c t="str" s="34" r="D70">
        <f>IF((C70="W"),2.0,IF((C70="OTW"),2.0,IF((C70="L"),0.0,IF((C70="OTL"),1.0,""))))</f>
        <v/>
      </c>
      <c s="34" r="E70"/>
      <c t="s" s="34" r="F70">
        <v>28</v>
      </c>
      <c s="17" r="G70"/>
      <c s="23" r="H70"/>
      <c s="34" r="I70"/>
      <c s="34" r="J70"/>
      <c s="34" r="K70"/>
      <c s="34" r="L70"/>
      <c s="34" r="M70"/>
      <c s="34" r="N70"/>
      <c s="34" r="O70"/>
      <c s="34" r="P70"/>
      <c s="34" r="Q70"/>
      <c s="34" r="R70"/>
      <c s="34" r="S70"/>
      <c s="34" r="T70"/>
      <c s="34" r="U70"/>
      <c s="34" r="V70"/>
      <c s="34" r="W70"/>
      <c s="34" r="X70"/>
      <c s="34" r="Y70"/>
    </row>
    <row r="71">
      <c s="3" r="A71"/>
      <c t="s" s="34" r="B71">
        <v>33</v>
      </c>
      <c s="11" r="C71"/>
      <c t="str" s="34" r="D71">
        <f>IF((C71="W"),2.0,IF((C71="OTW"),2.0,IF((C71="L"),0.0,IF((C71="OTL"),1.0,""))))</f>
        <v/>
      </c>
      <c s="34" r="E71"/>
      <c t="s" s="34" r="F71">
        <v>40</v>
      </c>
      <c s="17" r="G71"/>
      <c s="23" r="H71"/>
      <c s="34" r="I71"/>
      <c s="34" r="J71"/>
      <c s="34" r="K71"/>
      <c s="34" r="L71"/>
      <c s="34" r="M71"/>
      <c s="34" r="N71"/>
      <c s="34" r="O71"/>
      <c s="34" r="P71"/>
      <c s="34" r="Q71"/>
      <c s="34" r="R71"/>
      <c s="34" r="S71"/>
      <c s="34" r="T71"/>
      <c s="34" r="U71"/>
      <c s="34" r="V71"/>
      <c s="34" r="W71"/>
      <c s="34" r="X71"/>
      <c s="34" r="Y71"/>
    </row>
    <row r="72">
      <c s="3" r="A72"/>
      <c t="s" s="34" r="B72">
        <v>43</v>
      </c>
      <c s="11" r="C72"/>
      <c t="str" s="34" r="D72">
        <f>IF((C72="W"),2.0,IF((C72="OTW"),2.0,IF((C72="L"),0.0,IF((C72="OTL"),1.0,""))))</f>
        <v/>
      </c>
      <c s="34" r="E72"/>
      <c t="s" s="34" r="F72">
        <v>27</v>
      </c>
      <c s="17" r="G72"/>
      <c s="23" r="H72"/>
      <c s="34" r="I72"/>
      <c s="34" r="J72"/>
      <c s="34" r="K72"/>
      <c s="34" r="L72"/>
      <c s="34" r="M72"/>
      <c s="34" r="N72"/>
      <c s="34" r="O72"/>
      <c s="34" r="P72"/>
      <c s="34" r="Q72"/>
      <c s="34" r="R72"/>
      <c s="34" r="S72"/>
      <c s="34" r="T72"/>
      <c s="34" r="U72"/>
      <c s="34" r="V72"/>
      <c s="34" r="W72"/>
      <c s="34" r="X72"/>
      <c s="34" r="Y72"/>
    </row>
    <row r="73">
      <c s="3" r="A73"/>
      <c t="s" s="34" r="B73">
        <v>39</v>
      </c>
      <c s="11" r="C73"/>
      <c t="str" s="34" r="D73">
        <f>IF((C73="W"),2.0,IF((C73="OTW"),2.0,IF((C73="L"),0.0,IF((C73="OTL"),1.0,""))))</f>
        <v/>
      </c>
      <c s="34" r="E73"/>
      <c t="s" s="34" r="F73">
        <v>59</v>
      </c>
      <c s="17" r="G73"/>
      <c s="23" r="H73"/>
      <c s="34" r="I73"/>
      <c s="34" r="J73"/>
      <c s="34" r="K73"/>
      <c s="34" r="L73"/>
      <c s="34" r="M73"/>
      <c s="34" r="N73"/>
      <c s="34" r="O73"/>
      <c s="34" r="P73"/>
      <c s="34" r="Q73"/>
      <c s="34" r="R73"/>
      <c s="34" r="S73"/>
      <c s="34" r="T73"/>
      <c s="34" r="U73"/>
      <c s="34" r="V73"/>
      <c s="34" r="W73"/>
      <c s="34" r="X73"/>
      <c s="34" r="Y73"/>
    </row>
    <row r="74">
      <c s="3" r="A74"/>
      <c t="s" s="34" r="B74">
        <v>44</v>
      </c>
      <c s="11" r="C74"/>
      <c t="str" s="34" r="D74">
        <f>IF((C74="W"),2.0,IF((C74="OTW"),2.0,IF((C74="L"),0.0,IF((C74="OTL"),1.0,""))))</f>
        <v/>
      </c>
      <c s="34" r="E74"/>
      <c t="s" s="34" r="F74">
        <v>48</v>
      </c>
      <c s="17" r="G74"/>
      <c s="23" r="H74"/>
      <c s="34" r="I74"/>
      <c s="34" r="J74"/>
      <c s="34" r="K74"/>
      <c s="34" r="L74"/>
      <c s="34" r="M74"/>
      <c s="34" r="N74"/>
      <c s="34" r="O74"/>
      <c s="34" r="P74"/>
      <c s="34" r="Q74"/>
      <c s="34" r="R74"/>
      <c s="34" r="S74"/>
      <c s="34" r="T74"/>
      <c s="34" r="U74"/>
      <c s="34" r="V74"/>
      <c s="34" r="W74"/>
      <c s="34" r="X74"/>
      <c s="34" r="Y74"/>
    </row>
    <row r="75">
      <c s="2" r="A75"/>
      <c t="s" s="74" r="B75">
        <v>46</v>
      </c>
      <c s="8" r="C75"/>
      <c t="str" s="34" r="D75">
        <f>IF((C75="W"),2.0,IF((C75="OTW"),2.0,IF((C75="L"),0.0,IF((C75="OTL"),1.0,""))))</f>
        <v/>
      </c>
      <c s="74" r="E75"/>
      <c t="s" s="74" r="F75">
        <v>55</v>
      </c>
      <c s="17" r="G75"/>
      <c s="23" r="H75"/>
      <c s="34" r="I75"/>
      <c s="34" r="J75"/>
      <c s="34" r="K75"/>
      <c s="34" r="L75"/>
      <c s="34" r="M75"/>
      <c s="34" r="N75"/>
      <c s="34" r="O75"/>
      <c s="34" r="P75"/>
      <c s="34" r="Q75"/>
      <c s="34" r="R75"/>
      <c s="34" r="S75"/>
      <c s="34" r="T75"/>
      <c s="34" r="U75"/>
      <c s="34" r="V75"/>
      <c s="34" r="W75"/>
      <c s="34" r="X75"/>
      <c s="34" r="Y75"/>
    </row>
    <row r="76">
      <c t="s" s="22" r="A76">
        <v>66</v>
      </c>
      <c t="s" s="29" r="B76">
        <v>67</v>
      </c>
      <c s="13" r="C76"/>
      <c t="str" s="34" r="D76">
        <f>IF((C76="W"),2.0,IF((C76="OTW"),2.0,IF((C76="L"),0.0,IF((C76="OTL"),1.0,""))))</f>
        <v/>
      </c>
      <c s="29" r="E76"/>
      <c t="s" s="29" r="F76">
        <v>67</v>
      </c>
      <c s="17" r="G76"/>
      <c s="23" r="H76"/>
      <c s="34" r="I76"/>
      <c s="34" r="J76"/>
      <c s="34" r="K76"/>
      <c s="34" r="L76"/>
      <c s="34" r="M76"/>
      <c s="34" r="N76"/>
      <c s="34" r="O76"/>
      <c s="34" r="P76"/>
      <c s="34" r="Q76"/>
      <c s="34" r="R76"/>
      <c s="34" r="S76"/>
      <c s="34" r="T76"/>
      <c s="34" r="U76"/>
      <c s="34" r="V76"/>
      <c s="34" r="W76"/>
      <c s="34" r="X76"/>
      <c s="34" r="Y76"/>
    </row>
    <row r="77">
      <c t="s" s="71" r="A77">
        <v>68</v>
      </c>
      <c t="s" s="6" r="B77">
        <v>43</v>
      </c>
      <c s="19" r="C77"/>
      <c t="str" s="34" r="D77">
        <f>IF((C77="W"),2.0,IF((C77="OTW"),2.0,IF((C77="L"),0.0,IF((C77="OTL"),1.0,""))))</f>
        <v/>
      </c>
      <c s="6" r="E77"/>
      <c t="s" s="6" r="F77">
        <v>29</v>
      </c>
      <c s="17" r="G77"/>
      <c s="23" r="H77"/>
      <c s="34" r="I77"/>
      <c s="34" r="J77"/>
      <c s="34" r="K77"/>
      <c s="34" r="L77"/>
      <c s="34" r="M77"/>
      <c s="34" r="N77"/>
      <c s="34" r="O77"/>
      <c s="34" r="P77"/>
      <c s="34" r="Q77"/>
      <c s="34" r="R77"/>
      <c s="34" r="S77"/>
      <c s="34" r="T77"/>
      <c s="34" r="U77"/>
      <c s="34" r="V77"/>
      <c s="34" r="W77"/>
      <c s="34" r="X77"/>
      <c s="34" r="Y77"/>
    </row>
    <row r="78">
      <c s="3" r="A78"/>
      <c t="s" s="34" r="B78">
        <v>39</v>
      </c>
      <c s="11" r="C78"/>
      <c t="str" s="34" r="D78">
        <f>IF((C78="W"),2.0,IF((C78="OTW"),2.0,IF((C78="L"),0.0,IF((C78="OTL"),1.0,""))))</f>
        <v/>
      </c>
      <c s="34" r="E78"/>
      <c t="s" s="34" r="F78">
        <v>28</v>
      </c>
      <c s="17" r="G78"/>
      <c s="23" r="H78"/>
      <c s="34" r="I78"/>
      <c s="34" r="J78"/>
      <c s="34" r="K78"/>
      <c s="34" r="L78"/>
      <c s="34" r="M78"/>
      <c s="34" r="N78"/>
      <c s="34" r="O78"/>
      <c s="34" r="P78"/>
      <c s="34" r="Q78"/>
      <c s="34" r="R78"/>
      <c s="34" r="S78"/>
      <c s="34" r="T78"/>
      <c s="34" r="U78"/>
      <c s="34" r="V78"/>
      <c s="34" r="W78"/>
      <c s="34" r="X78"/>
      <c s="34" r="Y78"/>
    </row>
    <row r="79">
      <c s="3" r="A79"/>
      <c t="s" s="34" r="B79">
        <v>41</v>
      </c>
      <c s="11" r="C79"/>
      <c t="str" s="34" r="D79">
        <f>IF((C79="W"),2.0,IF((C79="OTW"),2.0,IF((C79="L"),0.0,IF((C79="OTL"),1.0,""))))</f>
        <v/>
      </c>
      <c s="34" r="E79"/>
      <c t="s" s="34" r="F79">
        <v>30</v>
      </c>
      <c s="17" r="G79"/>
      <c s="23" r="H79"/>
      <c s="34" r="I79"/>
      <c s="34" r="J79"/>
      <c s="34" r="K79"/>
      <c s="34" r="L79"/>
      <c s="34" r="M79"/>
      <c s="34" r="N79"/>
      <c s="34" r="O79"/>
      <c s="34" r="P79"/>
      <c s="34" r="Q79"/>
      <c s="34" r="R79"/>
      <c s="34" r="S79"/>
      <c s="34" r="T79"/>
      <c s="34" r="U79"/>
      <c s="34" r="V79"/>
      <c s="34" r="W79"/>
      <c s="34" r="X79"/>
      <c s="34" r="Y79"/>
    </row>
    <row r="80">
      <c s="3" r="A80"/>
      <c t="s" s="34" r="B80">
        <v>46</v>
      </c>
      <c s="11" r="C80"/>
      <c t="str" s="34" r="D80">
        <f>IF((C80="W"),2.0,IF((C80="OTW"),2.0,IF((C80="L"),0.0,IF((C80="OTL"),1.0,""))))</f>
        <v/>
      </c>
      <c s="34" r="E80"/>
      <c t="s" s="34" r="F80">
        <v>42</v>
      </c>
      <c s="17" r="G80"/>
      <c s="23" r="H80"/>
      <c s="34" r="I80"/>
      <c s="34" r="J80"/>
      <c s="34" r="K80"/>
      <c s="34" r="L80"/>
      <c s="34" r="M80"/>
      <c s="34" r="N80"/>
      <c s="34" r="O80"/>
      <c s="34" r="P80"/>
      <c s="34" r="Q80"/>
      <c s="34" r="R80"/>
      <c s="34" r="S80"/>
      <c s="34" r="T80"/>
      <c s="34" r="U80"/>
      <c s="34" r="V80"/>
      <c s="34" r="W80"/>
      <c s="34" r="X80"/>
      <c s="34" r="Y80"/>
    </row>
    <row r="81">
      <c s="3" r="A81"/>
      <c t="s" s="34" r="B81">
        <v>49</v>
      </c>
      <c s="11" r="C81"/>
      <c t="str" s="34" r="D81">
        <f>IF((C81="W"),2.0,IF((C81="OTW"),2.0,IF((C81="L"),0.0,IF((C81="OTL"),1.0,""))))</f>
        <v/>
      </c>
      <c s="34" r="E81"/>
      <c t="s" s="34" r="F81">
        <v>40</v>
      </c>
      <c s="17" r="G81"/>
      <c s="23" r="H81"/>
      <c s="34" r="I81"/>
      <c s="34" r="J81"/>
      <c s="34" r="K81"/>
      <c s="34" r="L81"/>
      <c s="34" r="M81"/>
      <c s="34" r="N81"/>
      <c s="34" r="O81"/>
      <c s="34" r="P81"/>
      <c s="34" r="Q81"/>
      <c s="34" r="R81"/>
      <c s="34" r="S81"/>
      <c s="34" r="T81"/>
      <c s="34" r="U81"/>
      <c s="34" r="V81"/>
      <c s="34" r="W81"/>
      <c s="34" r="X81"/>
      <c s="34" r="Y81"/>
    </row>
    <row r="82">
      <c s="3" r="A82"/>
      <c t="s" s="34" r="B82">
        <v>35</v>
      </c>
      <c s="11" r="C82"/>
      <c t="str" s="34" r="D82">
        <f>IF((C82="W"),2.0,IF((C82="OTW"),2.0,IF((C82="L"),0.0,IF((C82="OTL"),1.0,""))))</f>
        <v/>
      </c>
      <c s="34" r="E82"/>
      <c t="s" s="34" r="F82">
        <v>27</v>
      </c>
      <c s="17" r="G82"/>
      <c s="23" r="H82"/>
      <c s="34" r="I82"/>
      <c s="34" r="J82"/>
      <c s="34" r="K82"/>
      <c s="34" r="L82"/>
      <c s="34" r="M82"/>
      <c s="34" r="N82"/>
      <c s="34" r="O82"/>
      <c s="34" r="P82"/>
      <c s="34" r="Q82"/>
      <c s="34" r="R82"/>
      <c s="34" r="S82"/>
      <c s="34" r="T82"/>
      <c s="34" r="U82"/>
      <c s="34" r="V82"/>
      <c s="34" r="W82"/>
      <c s="34" r="X82"/>
      <c s="34" r="Y82"/>
    </row>
    <row r="83">
      <c s="3" r="A83"/>
      <c t="s" s="34" r="B83">
        <v>44</v>
      </c>
      <c s="11" r="C83"/>
      <c t="str" s="34" r="D83">
        <f>IF((C83="W"),2.0,IF((C83="OTW"),2.0,IF((C83="L"),0.0,IF((C83="OTL"),1.0,""))))</f>
        <v/>
      </c>
      <c s="34" r="E83"/>
      <c t="s" s="34" r="F83">
        <v>32</v>
      </c>
      <c s="17" r="G83"/>
      <c s="23" r="H83"/>
      <c s="34" r="I83"/>
      <c s="34" r="J83"/>
      <c s="34" r="K83"/>
      <c s="34" r="L83"/>
      <c s="34" r="M83"/>
      <c s="34" r="N83"/>
      <c s="34" r="O83"/>
      <c s="34" r="P83"/>
      <c s="34" r="Q83"/>
      <c s="34" r="R83"/>
      <c s="34" r="S83"/>
      <c s="34" r="T83"/>
      <c s="34" r="U83"/>
      <c s="34" r="V83"/>
      <c s="34" r="W83"/>
      <c s="34" r="X83"/>
      <c s="34" r="Y83"/>
    </row>
    <row r="84">
      <c s="2" r="A84"/>
      <c t="s" s="74" r="B84">
        <v>33</v>
      </c>
      <c s="8" r="C84"/>
      <c t="str" s="34" r="D84">
        <f>IF((C84="W"),2.0,IF((C84="OTW"),2.0,IF((C84="L"),0.0,IF((C84="OTL"),1.0,""))))</f>
        <v/>
      </c>
      <c s="74" r="E84"/>
      <c t="s" s="74" r="F84">
        <v>37</v>
      </c>
      <c s="17" r="G84"/>
      <c s="23" r="H84"/>
      <c s="34" r="I84"/>
      <c s="34" r="J84"/>
      <c s="34" r="K84"/>
      <c s="34" r="L84"/>
      <c s="34" r="M84"/>
      <c s="34" r="N84"/>
      <c s="34" r="O84"/>
      <c s="34" r="P84"/>
      <c s="34" r="Q84"/>
      <c s="34" r="R84"/>
      <c s="34" r="S84"/>
      <c s="34" r="T84"/>
      <c s="34" r="U84"/>
      <c s="34" r="V84"/>
      <c s="34" r="W84"/>
      <c s="34" r="X84"/>
      <c s="34" r="Y84"/>
    </row>
    <row r="85">
      <c t="s" s="71" r="A85">
        <v>69</v>
      </c>
      <c t="s" s="6" r="B85">
        <v>28</v>
      </c>
      <c s="19" r="C85"/>
      <c t="str" s="34" r="D85">
        <f>IF((C85="W"),2.0,IF((C85="OTW"),2.0,IF((C85="L"),0.0,IF((C85="OTL"),1.0,""))))</f>
        <v/>
      </c>
      <c s="6" r="E85"/>
      <c t="s" s="6" r="F85">
        <v>39</v>
      </c>
      <c s="17" r="G85"/>
      <c s="23" r="H85"/>
      <c s="34" r="I85"/>
      <c s="34" r="J85"/>
      <c s="34" r="K85"/>
      <c s="34" r="L85"/>
      <c s="34" r="M85"/>
      <c s="34" r="N85"/>
      <c s="34" r="O85"/>
      <c s="34" r="P85"/>
      <c s="34" r="Q85"/>
      <c s="34" r="R85"/>
      <c s="34" r="S85"/>
      <c s="34" r="T85"/>
      <c s="34" r="U85"/>
      <c s="34" r="V85"/>
      <c s="34" r="W85"/>
      <c s="34" r="X85"/>
      <c s="34" r="Y85"/>
    </row>
    <row r="86">
      <c s="3" r="A86"/>
      <c t="s" s="34" r="B86">
        <v>43</v>
      </c>
      <c s="11" r="C86"/>
      <c t="str" s="34" r="D86">
        <f>IF((C86="W"),2.0,IF((C86="OTW"),2.0,IF((C86="L"),0.0,IF((C86="OTL"),1.0,""))))</f>
        <v/>
      </c>
      <c s="34" r="E86"/>
      <c t="s" s="34" r="F86">
        <v>31</v>
      </c>
      <c s="17" r="G86"/>
      <c s="23" r="H86"/>
      <c s="34" r="I86"/>
      <c s="34" r="J86"/>
      <c s="34" r="K86"/>
      <c s="34" r="L86"/>
      <c s="34" r="M86"/>
      <c s="34" r="N86"/>
      <c s="34" r="O86"/>
      <c s="34" r="P86"/>
      <c s="34" r="Q86"/>
      <c s="34" r="R86"/>
      <c s="34" r="S86"/>
      <c s="34" r="T86"/>
      <c s="34" r="U86"/>
      <c s="34" r="V86"/>
      <c s="34" r="W86"/>
      <c s="34" r="X86"/>
      <c s="34" r="Y86"/>
    </row>
    <row r="87">
      <c s="2" r="A87"/>
      <c t="s" s="74" r="B87">
        <v>29</v>
      </c>
      <c s="8" r="C87"/>
      <c t="str" s="34" r="D87">
        <f>IF((C87="W"),2.0,IF((C87="OTW"),2.0,IF((C87="L"),0.0,IF((C87="OTL"),1.0,""))))</f>
        <v/>
      </c>
      <c s="74" r="E87"/>
      <c t="s" s="74" r="F87">
        <v>30</v>
      </c>
      <c s="17" r="G87"/>
      <c s="23" r="H87"/>
      <c s="34" r="I87"/>
      <c s="34" r="J87"/>
      <c s="34" r="K87"/>
      <c s="34" r="L87"/>
      <c s="34" r="M87"/>
      <c s="34" r="N87"/>
      <c s="34" r="O87"/>
      <c s="34" r="P87"/>
      <c s="34" r="Q87"/>
      <c s="34" r="R87"/>
      <c s="34" r="S87"/>
      <c s="34" r="T87"/>
      <c s="34" r="U87"/>
      <c s="34" r="V87"/>
      <c s="34" r="W87"/>
      <c s="34" r="X87"/>
      <c s="34" r="Y87"/>
    </row>
    <row r="88">
      <c t="s" s="22" r="A88">
        <v>70</v>
      </c>
      <c t="s" s="29" r="B88">
        <v>32</v>
      </c>
      <c s="13" r="C88"/>
      <c t="str" s="34" r="D88">
        <f>IF((C88="W"),2.0,IF((C88="OTW"),2.0,IF((C88="L"),0.0,IF((C88="OTL"),1.0,""))))</f>
        <v/>
      </c>
      <c s="29" r="E88"/>
      <c t="s" s="29" r="F88">
        <v>46</v>
      </c>
      <c s="17" r="G88"/>
      <c s="23" r="H88"/>
      <c s="34" r="I88"/>
      <c s="34" r="J88"/>
      <c s="34" r="K88"/>
      <c s="34" r="L88"/>
      <c s="34" r="M88"/>
      <c s="34" r="N88"/>
      <c s="34" r="O88"/>
      <c s="34" r="P88"/>
      <c s="34" r="Q88"/>
      <c s="34" r="R88"/>
      <c s="34" r="S88"/>
      <c s="34" r="T88"/>
      <c s="34" r="U88"/>
      <c s="34" r="V88"/>
      <c s="34" r="W88"/>
      <c s="34" r="X88"/>
      <c s="34" r="Y88"/>
    </row>
    <row r="89">
      <c t="s" s="71" r="A89">
        <v>71</v>
      </c>
      <c t="s" s="6" r="B89">
        <v>31</v>
      </c>
      <c s="19" r="C89"/>
      <c t="str" s="34" r="D89">
        <f>IF((C89="W"),2.0,IF((C89="OTW"),2.0,IF((C89="L"),0.0,IF((C89="OTL"),1.0,""))))</f>
        <v/>
      </c>
      <c s="6" r="E89"/>
      <c t="s" s="6" r="F89">
        <v>35</v>
      </c>
      <c s="17" r="G89"/>
      <c s="23" r="H89"/>
      <c s="34" r="I89"/>
      <c s="34" r="J89"/>
      <c s="34" r="K89"/>
      <c s="34" r="L89"/>
      <c s="34" r="M89"/>
      <c s="34" r="N89"/>
      <c s="34" r="O89"/>
      <c s="34" r="P89"/>
      <c s="34" r="Q89"/>
      <c s="34" r="R89"/>
      <c s="34" r="S89"/>
      <c s="34" r="T89"/>
      <c s="34" r="U89"/>
      <c s="34" r="V89"/>
      <c s="34" r="W89"/>
      <c s="34" r="X89"/>
      <c s="34" r="Y89"/>
    </row>
    <row r="90">
      <c s="3" r="A90"/>
      <c t="s" s="34" r="B90">
        <v>39</v>
      </c>
      <c s="11" r="C90"/>
      <c t="str" s="34" r="D90">
        <f>IF((C90="W"),2.0,IF((C90="OTW"),2.0,IF((C90="L"),0.0,IF((C90="OTL"),1.0,""))))</f>
        <v/>
      </c>
      <c s="34" r="E90"/>
      <c t="s" s="34" r="F90">
        <v>27</v>
      </c>
      <c s="17" r="G90"/>
      <c s="23" r="H90"/>
      <c s="34" r="I90"/>
      <c s="34" r="J90"/>
      <c s="34" r="K90"/>
      <c s="34" r="L90"/>
      <c s="34" r="M90"/>
      <c s="34" r="N90"/>
      <c s="34" r="O90"/>
      <c s="34" r="P90"/>
      <c s="34" r="Q90"/>
      <c s="34" r="R90"/>
      <c s="34" r="S90"/>
      <c s="34" r="T90"/>
      <c s="34" r="U90"/>
      <c s="34" r="V90"/>
      <c s="34" r="W90"/>
      <c s="34" r="X90"/>
      <c s="34" r="Y90"/>
    </row>
    <row r="91">
      <c s="3" r="A91"/>
      <c t="s" s="34" r="B91">
        <v>42</v>
      </c>
      <c s="11" r="C91"/>
      <c t="str" s="34" r="D91">
        <f>IF((C91="W"),2.0,IF((C91="OTW"),2.0,IF((C91="L"),0.0,IF((C91="OTL"),1.0,""))))</f>
        <v/>
      </c>
      <c s="34" r="E91"/>
      <c t="s" s="34" r="F91">
        <v>41</v>
      </c>
      <c s="17" r="G91"/>
      <c s="23" r="H91"/>
      <c s="34" r="I91"/>
      <c s="34" r="J91"/>
      <c s="34" r="K91"/>
      <c s="34" r="L91"/>
      <c s="34" r="M91"/>
      <c s="34" r="N91"/>
      <c s="34" r="O91"/>
      <c s="34" r="P91"/>
      <c s="34" r="Q91"/>
      <c s="34" r="R91"/>
      <c s="34" r="S91"/>
      <c s="34" r="T91"/>
      <c s="34" r="U91"/>
      <c s="34" r="V91"/>
      <c s="34" r="W91"/>
      <c s="34" r="X91"/>
      <c s="34" r="Y91"/>
    </row>
    <row r="92">
      <c s="3" r="A92"/>
      <c t="s" s="34" r="B92">
        <v>46</v>
      </c>
      <c s="11" r="C92"/>
      <c t="str" s="34" r="D92">
        <f>IF((C92="W"),2.0,IF((C92="OTW"),2.0,IF((C92="L"),0.0,IF((C92="OTL"),1.0,""))))</f>
        <v/>
      </c>
      <c s="34" r="E92"/>
      <c t="s" s="34" r="F92">
        <v>30</v>
      </c>
      <c s="17" r="G92"/>
      <c s="23" r="H92"/>
      <c s="34" r="I92"/>
      <c s="34" r="J92"/>
      <c s="34" r="K92"/>
      <c s="34" r="L92"/>
      <c s="34" r="M92"/>
      <c s="34" r="N92"/>
      <c s="34" r="O92"/>
      <c s="34" r="P92"/>
      <c s="34" r="Q92"/>
      <c s="34" r="R92"/>
      <c s="34" r="S92"/>
      <c s="34" r="T92"/>
      <c s="34" r="U92"/>
      <c s="34" r="V92"/>
      <c s="34" r="W92"/>
      <c s="34" r="X92"/>
      <c s="34" r="Y92"/>
    </row>
    <row r="93">
      <c s="3" r="A93"/>
      <c t="s" s="34" r="B93">
        <v>40</v>
      </c>
      <c s="11" r="C93"/>
      <c t="str" s="34" r="D93">
        <f>IF((C93="W"),2.0,IF((C93="OTW"),2.0,IF((C93="L"),0.0,IF((C93="OTL"),1.0,""))))</f>
        <v/>
      </c>
      <c s="34" r="E93"/>
      <c t="s" s="34" r="F93">
        <v>33</v>
      </c>
      <c s="17" r="G93"/>
      <c s="23" r="H93"/>
      <c s="34" r="I93"/>
      <c s="34" r="J93"/>
      <c s="34" r="K93"/>
      <c s="34" r="L93"/>
      <c s="34" r="M93"/>
      <c s="34" r="N93"/>
      <c s="34" r="O93"/>
      <c s="34" r="P93"/>
      <c s="34" r="Q93"/>
      <c s="34" r="R93"/>
      <c s="34" r="S93"/>
      <c s="34" r="T93"/>
      <c s="34" r="U93"/>
      <c s="34" r="V93"/>
      <c s="34" r="W93"/>
      <c s="34" r="X93"/>
      <c s="34" r="Y93"/>
    </row>
    <row r="94">
      <c s="3" r="A94"/>
      <c t="s" s="34" r="B94">
        <v>32</v>
      </c>
      <c s="11" r="C94"/>
      <c t="str" s="34" r="D94">
        <f>IF((C94="W"),2.0,IF((C94="OTW"),2.0,IF((C94="L"),0.0,IF((C94="OTL"),1.0,""))))</f>
        <v/>
      </c>
      <c s="34" r="E94"/>
      <c t="s" s="34" r="F94">
        <v>37</v>
      </c>
      <c s="17" r="G94"/>
      <c s="23" r="H94"/>
      <c s="34" r="I94"/>
      <c s="34" r="J94"/>
      <c s="34" r="K94"/>
      <c s="34" r="L94"/>
      <c s="34" r="M94"/>
      <c s="34" r="N94"/>
      <c s="34" r="O94"/>
      <c s="34" r="P94"/>
      <c s="34" r="Q94"/>
      <c s="34" r="R94"/>
      <c s="34" r="S94"/>
      <c s="34" r="T94"/>
      <c s="34" r="U94"/>
      <c s="34" r="V94"/>
      <c s="34" r="W94"/>
      <c s="34" r="X94"/>
      <c s="34" r="Y94"/>
    </row>
    <row r="95">
      <c s="2" r="A95"/>
      <c t="s" s="74" r="B95">
        <v>28</v>
      </c>
      <c s="8" r="C95"/>
      <c t="str" s="34" r="D95">
        <f>IF((C95="W"),2.0,IF((C95="OTW"),2.0,IF((C95="L"),0.0,IF((C95="OTL"),1.0,""))))</f>
        <v/>
      </c>
      <c s="74" r="E95"/>
      <c t="s" s="74" r="F95">
        <v>72</v>
      </c>
      <c s="17" r="G95"/>
      <c s="23" r="H95"/>
      <c s="34" r="I95"/>
      <c s="34" r="J95"/>
      <c s="34" r="K95"/>
      <c s="34" r="L95"/>
      <c s="34" r="M95"/>
      <c s="34" r="N95"/>
      <c s="34" r="O95"/>
      <c s="34" r="P95"/>
      <c s="34" r="Q95"/>
      <c s="34" r="R95"/>
      <c s="34" r="S95"/>
      <c s="34" r="T95"/>
      <c s="34" r="U95"/>
      <c s="34" r="V95"/>
      <c s="34" r="W95"/>
      <c s="34" r="X95"/>
      <c s="34" r="Y95"/>
    </row>
    <row r="96">
      <c t="s" s="22" r="A96">
        <v>73</v>
      </c>
      <c t="s" s="29" r="B96">
        <v>35</v>
      </c>
      <c s="13" r="C96"/>
      <c t="str" s="34" r="D96">
        <f>IF((C96="W"),2.0,IF((C96="OTW"),2.0,IF((C96="L"),0.0,IF((C96="OTL"),1.0,""))))</f>
        <v/>
      </c>
      <c s="29" r="E96"/>
      <c t="s" s="29" r="F96">
        <v>44</v>
      </c>
      <c s="17" r="G96"/>
      <c s="23" r="H96"/>
      <c s="34" r="I96"/>
      <c s="34" r="J96"/>
      <c s="34" r="K96"/>
      <c s="34" r="L96"/>
      <c s="34" r="M96"/>
      <c s="34" r="N96"/>
      <c s="34" r="O96"/>
      <c s="34" r="P96"/>
      <c s="34" r="Q96"/>
      <c s="34" r="R96"/>
      <c s="34" r="S96"/>
      <c s="34" r="T96"/>
      <c s="34" r="U96"/>
      <c s="34" r="V96"/>
      <c s="34" r="W96"/>
      <c s="34" r="X96"/>
      <c s="34" r="Y96"/>
    </row>
    <row r="97">
      <c t="s" s="71" r="A97">
        <v>74</v>
      </c>
      <c t="s" s="6" r="B97">
        <v>75</v>
      </c>
      <c s="19" r="C97"/>
      <c t="str" s="34" r="D97">
        <f>IF((C97="W"),2.0,IF((C97="OTW"),2.0,IF((C97="L"),0.0,IF((C97="OTL"),1.0,""))))</f>
        <v/>
      </c>
      <c s="6" r="E97"/>
      <c t="s" s="6" r="F97">
        <v>29</v>
      </c>
      <c s="17" r="G97"/>
      <c s="23" r="H97"/>
      <c s="34" r="I97"/>
      <c s="34" r="J97"/>
      <c s="34" r="K97"/>
      <c s="34" r="L97"/>
      <c s="34" r="M97"/>
      <c s="34" r="N97"/>
      <c s="34" r="O97"/>
      <c s="34" r="P97"/>
      <c s="34" r="Q97"/>
      <c s="34" r="R97"/>
      <c s="34" r="S97"/>
      <c s="34" r="T97"/>
      <c s="34" r="U97"/>
      <c s="34" r="V97"/>
      <c s="34" r="W97"/>
      <c s="34" r="X97"/>
      <c s="34" r="Y97"/>
    </row>
    <row r="98">
      <c s="3" r="A98"/>
      <c t="s" s="34" r="B98">
        <v>27</v>
      </c>
      <c s="11" r="C98"/>
      <c t="str" s="34" r="D98">
        <f>IF((C98="W"),2.0,IF((C98="OTW"),2.0,IF((C98="L"),0.0,IF((C98="OTL"),1.0,""))))</f>
        <v/>
      </c>
      <c s="34" r="E98"/>
      <c t="s" s="34" r="F98">
        <v>41</v>
      </c>
      <c s="17" r="G98"/>
      <c s="23" r="H98"/>
      <c s="34" r="I98"/>
      <c s="34" r="J98"/>
      <c s="34" r="K98"/>
      <c s="34" r="L98"/>
      <c s="34" r="M98"/>
      <c s="34" r="N98"/>
      <c s="34" r="O98"/>
      <c s="34" r="P98"/>
      <c s="34" r="Q98"/>
      <c s="34" r="R98"/>
      <c s="34" r="S98"/>
      <c s="34" r="T98"/>
      <c s="34" r="U98"/>
      <c s="34" r="V98"/>
      <c s="34" r="W98"/>
      <c s="34" r="X98"/>
      <c s="34" r="Y98"/>
    </row>
    <row r="99">
      <c s="3" r="A99"/>
      <c t="s" s="34" r="B99">
        <v>32</v>
      </c>
      <c s="11" r="C99"/>
      <c t="str" s="34" r="D99">
        <f>IF((C99="W"),2.0,IF((C99="OTW"),2.0,IF((C99="L"),0.0,IF((C99="OTL"),1.0,""))))</f>
        <v/>
      </c>
      <c s="34" r="E99"/>
      <c t="s" s="34" r="F99">
        <v>33</v>
      </c>
      <c s="17" r="G99"/>
      <c s="23" r="H99"/>
      <c s="34" r="I99"/>
      <c s="34" r="J99"/>
      <c s="34" r="K99"/>
      <c s="34" r="L99"/>
      <c s="34" r="M99"/>
      <c s="34" r="N99"/>
      <c s="34" r="O99"/>
      <c s="34" r="P99"/>
      <c s="34" r="Q99"/>
      <c s="34" r="R99"/>
      <c s="34" r="S99"/>
      <c s="34" r="T99"/>
      <c s="34" r="U99"/>
      <c s="34" r="V99"/>
      <c s="34" r="W99"/>
      <c s="34" r="X99"/>
      <c s="34" r="Y99"/>
    </row>
    <row r="100">
      <c s="2" r="A100"/>
      <c t="s" s="74" r="B100">
        <v>40</v>
      </c>
      <c s="8" r="C100"/>
      <c t="str" s="34" r="D100">
        <f>IF((C100="W"),2.0,IF((C100="OTW"),2.0,IF((C100="L"),0.0,IF((C100="OTL"),1.0,""))))</f>
        <v/>
      </c>
      <c s="74" r="E100"/>
      <c t="s" s="74" r="F100">
        <v>37</v>
      </c>
      <c s="17" r="G100"/>
      <c s="23" r="H100"/>
      <c s="34" r="I100"/>
      <c s="34" r="J100"/>
      <c s="34" r="K100"/>
      <c s="34" r="L100"/>
      <c s="34" r="M100"/>
      <c s="34" r="N100"/>
      <c s="34" r="O100"/>
      <c s="34" r="P100"/>
      <c s="34" r="Q100"/>
      <c s="34" r="R100"/>
      <c s="34" r="S100"/>
      <c s="34" r="T100"/>
      <c s="34" r="U100"/>
      <c s="34" r="V100"/>
      <c s="34" r="W100"/>
      <c s="34" r="X100"/>
      <c s="34" r="Y100"/>
    </row>
    <row r="101">
      <c t="s" s="71" r="A101">
        <v>76</v>
      </c>
      <c t="s" s="6" r="B101">
        <v>77</v>
      </c>
      <c s="19" r="C101"/>
      <c t="str" s="34" r="D101">
        <f>IF((C101="W"),2.0,IF((C101="OTW"),2.0,IF((C101="L"),0.0,IF((C101="OTL"),1.0,""))))</f>
        <v/>
      </c>
      <c s="6" r="E101"/>
      <c t="s" s="6" r="F101">
        <v>35</v>
      </c>
      <c s="17" r="G101"/>
      <c s="23" r="H101"/>
      <c s="34" r="I101"/>
      <c s="34" r="J101"/>
      <c s="34" r="K101"/>
      <c s="34" r="L101"/>
      <c s="34" r="M101"/>
      <c s="34" r="N101"/>
      <c s="34" r="O101"/>
      <c s="34" r="P101"/>
      <c s="34" r="Q101"/>
      <c s="34" r="R101"/>
      <c s="34" r="S101"/>
      <c s="34" r="T101"/>
      <c s="34" r="U101"/>
      <c s="34" r="V101"/>
      <c s="34" r="W101"/>
      <c s="34" r="X101"/>
      <c s="34" r="Y101"/>
    </row>
    <row r="102">
      <c s="3" r="A102"/>
      <c t="s" s="34" r="B102">
        <v>43</v>
      </c>
      <c s="11" r="C102"/>
      <c t="str" s="34" r="D102">
        <f>IF((C102="W"),2.0,IF((C102="OTW"),2.0,IF((C102="L"),0.0,IF((C102="OTL"),1.0,""))))</f>
        <v/>
      </c>
      <c s="34" r="E102"/>
      <c t="s" s="34" r="F102">
        <v>44</v>
      </c>
      <c s="17" r="G102"/>
      <c s="23" r="H102"/>
      <c s="34" r="I102"/>
      <c s="34" r="J102"/>
      <c s="34" r="K102"/>
      <c s="34" r="L102"/>
      <c s="34" r="M102"/>
      <c s="34" r="N102"/>
      <c s="34" r="O102"/>
      <c s="34" r="P102"/>
      <c s="34" r="Q102"/>
      <c s="34" r="R102"/>
      <c s="34" r="S102"/>
      <c s="34" r="T102"/>
      <c s="34" r="U102"/>
      <c s="34" r="V102"/>
      <c s="34" r="W102"/>
      <c s="34" r="X102"/>
      <c s="34" r="Y102"/>
    </row>
    <row r="103">
      <c s="3" r="A103"/>
      <c t="s" s="34" r="B103">
        <v>28</v>
      </c>
      <c s="11" r="C103"/>
      <c t="str" s="34" r="D103">
        <f>IF((C103="W"),2.0,IF((C103="OTW"),2.0,IF((C103="L"),0.0,IF((C103="OTL"),1.0,""))))</f>
        <v/>
      </c>
      <c s="34" r="E103"/>
      <c t="s" s="34" r="F103">
        <v>42</v>
      </c>
      <c s="17" r="G103"/>
      <c s="23" r="H103"/>
      <c s="34" r="I103"/>
      <c s="34" r="J103"/>
      <c s="34" r="K103"/>
      <c s="34" r="L103"/>
      <c s="34" r="M103"/>
      <c s="34" r="N103"/>
      <c s="34" r="O103"/>
      <c s="34" r="P103"/>
      <c s="34" r="Q103"/>
      <c s="34" r="R103"/>
      <c s="34" r="S103"/>
      <c s="34" r="T103"/>
      <c s="34" r="U103"/>
      <c s="34" r="V103"/>
      <c s="34" r="W103"/>
      <c s="34" r="X103"/>
      <c s="34" r="Y103"/>
    </row>
    <row r="104">
      <c s="3" r="A104"/>
      <c t="s" s="34" r="B104">
        <v>75</v>
      </c>
      <c s="11" r="C104"/>
      <c t="str" s="34" r="D104">
        <f>IF((C104="W"),2.0,IF((C104="OTW"),2.0,IF((C104="L"),0.0,IF((C104="OTL"),1.0,""))))</f>
        <v/>
      </c>
      <c s="34" r="E104"/>
      <c t="s" s="34" r="F104">
        <v>30</v>
      </c>
      <c s="17" r="G104"/>
      <c s="23" r="H104"/>
      <c s="34" r="I104"/>
      <c s="34" r="J104"/>
      <c s="34" r="K104"/>
      <c s="34" r="L104"/>
      <c s="34" r="M104"/>
      <c s="34" r="N104"/>
      <c s="34" r="O104"/>
      <c s="34" r="P104"/>
      <c s="34" r="Q104"/>
      <c s="34" r="R104"/>
      <c s="34" r="S104"/>
      <c s="34" r="T104"/>
      <c s="34" r="U104"/>
      <c s="34" r="V104"/>
      <c s="34" r="W104"/>
      <c s="34" r="X104"/>
      <c s="34" r="Y104"/>
    </row>
    <row r="105">
      <c s="2" r="A105"/>
      <c t="s" s="74" r="B105">
        <v>72</v>
      </c>
      <c s="8" r="C105"/>
      <c t="str" s="34" r="D105">
        <f>IF((C105="W"),2.0,IF((C105="OTW"),2.0,IF((C105="L"),0.0,IF((C105="OTL"),1.0,""))))</f>
        <v/>
      </c>
      <c s="74" r="E105"/>
      <c t="s" s="74" r="F105">
        <v>46</v>
      </c>
      <c s="17" r="G105"/>
      <c s="23" r="H105"/>
      <c s="34" r="I105"/>
      <c s="34" r="J105"/>
      <c s="34" r="K105"/>
      <c s="34" r="L105"/>
      <c s="34" r="M105"/>
      <c s="34" r="N105"/>
      <c s="34" r="O105"/>
      <c s="34" r="P105"/>
      <c s="34" r="Q105"/>
      <c s="34" r="R105"/>
      <c s="34" r="S105"/>
      <c s="34" r="T105"/>
      <c s="34" r="U105"/>
      <c s="34" r="V105"/>
      <c s="34" r="W105"/>
      <c s="34" r="X105"/>
      <c s="34" r="Y105"/>
    </row>
    <row r="106">
      <c t="s" s="71" r="A106">
        <v>78</v>
      </c>
      <c t="s" s="6" r="B106">
        <v>40</v>
      </c>
      <c s="19" r="C106"/>
      <c t="str" s="34" r="D106">
        <f>IF((C106="W"),2.0,IF((C106="OTW"),2.0,IF((C106="L"),0.0,IF((C106="OTL"),1.0,""))))</f>
        <v/>
      </c>
      <c s="6" r="E106"/>
      <c t="s" s="6" r="F106">
        <v>27</v>
      </c>
      <c s="17" r="G106"/>
      <c s="23" r="H106"/>
      <c s="34" r="I106"/>
      <c s="34" r="J106"/>
      <c s="34" r="K106"/>
      <c s="34" r="L106"/>
      <c s="34" r="M106"/>
      <c s="34" r="N106"/>
      <c s="34" r="O106"/>
      <c s="34" r="P106"/>
      <c s="34" r="Q106"/>
      <c s="34" r="R106"/>
      <c s="34" r="S106"/>
      <c s="34" r="T106"/>
      <c s="34" r="U106"/>
      <c s="34" r="V106"/>
      <c s="34" r="W106"/>
      <c s="34" r="X106"/>
      <c s="34" r="Y106"/>
    </row>
    <row r="107">
      <c s="3" r="A107"/>
      <c t="s" s="34" r="B107">
        <v>43</v>
      </c>
      <c s="11" r="C107"/>
      <c t="str" s="34" r="D107">
        <f>IF((C107="W"),2.0,IF((C107="OTW"),2.0,IF((C107="L"),0.0,IF((C107="OTL"),1.0,""))))</f>
        <v/>
      </c>
      <c s="34" r="E107"/>
      <c t="s" s="34" r="F107">
        <v>41</v>
      </c>
      <c s="17" r="G107"/>
      <c s="23" r="H107"/>
      <c s="34" r="I107"/>
      <c s="34" r="J107"/>
      <c s="34" r="K107"/>
      <c s="34" r="L107"/>
      <c s="34" r="M107"/>
      <c s="34" r="N107"/>
      <c s="34" r="O107"/>
      <c s="34" r="P107"/>
      <c s="34" r="Q107"/>
      <c s="34" r="R107"/>
      <c s="34" r="S107"/>
      <c s="34" r="T107"/>
      <c s="34" r="U107"/>
      <c s="34" r="V107"/>
      <c s="34" r="W107"/>
      <c s="34" r="X107"/>
      <c s="34" r="Y107"/>
    </row>
    <row r="108">
      <c s="3" r="A108"/>
      <c t="s" s="34" r="B108">
        <v>42</v>
      </c>
      <c s="11" r="C108"/>
      <c t="str" s="34" r="D108">
        <f>IF((C108="W"),2.0,IF((C108="OTW"),2.0,IF((C108="L"),0.0,IF((C108="OTL"),1.0,""))))</f>
        <v/>
      </c>
      <c s="34" r="E108"/>
      <c t="s" s="34" r="F108">
        <v>39</v>
      </c>
      <c s="17" r="G108"/>
      <c s="23" r="H108"/>
      <c s="34" r="I108"/>
      <c s="34" r="J108"/>
      <c s="34" r="K108"/>
      <c s="34" r="L108"/>
      <c s="34" r="M108"/>
      <c s="34" r="N108"/>
      <c s="34" r="O108"/>
      <c s="34" r="P108"/>
      <c s="34" r="Q108"/>
      <c s="34" r="R108"/>
      <c s="34" r="S108"/>
      <c s="34" r="T108"/>
      <c s="34" r="U108"/>
      <c s="34" r="V108"/>
      <c s="34" r="W108"/>
      <c s="34" r="X108"/>
      <c s="34" r="Y108"/>
    </row>
    <row r="109">
      <c s="3" r="A109"/>
      <c t="s" s="34" r="B109">
        <v>32</v>
      </c>
      <c s="11" r="C109"/>
      <c t="str" s="34" r="D109">
        <f>IF((C109="W"),2.0,IF((C109="OTW"),2.0,IF((C109="L"),0.0,IF((C109="OTL"),1.0,""))))</f>
        <v/>
      </c>
      <c s="34" r="E109"/>
      <c t="s" s="34" r="F109">
        <v>44</v>
      </c>
      <c s="17" r="G109"/>
      <c s="23" r="H109"/>
      <c s="34" r="I109"/>
      <c s="34" r="J109"/>
      <c s="34" r="K109"/>
      <c s="34" r="L109"/>
      <c s="34" r="M109"/>
      <c s="34" r="N109"/>
      <c s="34" r="O109"/>
      <c s="34" r="P109"/>
      <c s="34" r="Q109"/>
      <c s="34" r="R109"/>
      <c s="34" r="S109"/>
      <c s="34" r="T109"/>
      <c s="34" r="U109"/>
      <c s="34" r="V109"/>
      <c s="34" r="W109"/>
      <c s="34" r="X109"/>
      <c s="34" r="Y109"/>
    </row>
    <row r="110">
      <c s="3" r="A110"/>
      <c t="s" s="34" r="B110">
        <v>63</v>
      </c>
      <c s="11" r="C110"/>
      <c t="str" s="34" r="D110">
        <f>IF((C110="W"),2.0,IF((C110="OTW"),2.0,IF((C110="L"),0.0,IF((C110="OTL"),1.0,""))))</f>
        <v/>
      </c>
      <c s="34" r="E110"/>
      <c t="s" s="34" r="F110">
        <v>37</v>
      </c>
      <c s="17" r="G110"/>
      <c s="23" r="H110"/>
      <c s="34" r="I110"/>
      <c s="34" r="J110"/>
      <c s="34" r="K110"/>
      <c s="34" r="L110"/>
      <c s="34" r="M110"/>
      <c s="34" r="N110"/>
      <c s="34" r="O110"/>
      <c s="34" r="P110"/>
      <c s="34" r="Q110"/>
      <c s="34" r="R110"/>
      <c s="34" r="S110"/>
      <c s="34" r="T110"/>
      <c s="34" r="U110"/>
      <c s="34" r="V110"/>
      <c s="34" r="W110"/>
      <c s="34" r="X110"/>
      <c s="34" r="Y110"/>
    </row>
    <row r="111">
      <c s="2" r="A111"/>
      <c t="s" s="74" r="B111">
        <v>46</v>
      </c>
      <c s="8" r="C111"/>
      <c t="str" s="34" r="D111">
        <f>IF((C111="W"),2.0,IF((C111="OTW"),2.0,IF((C111="L"),0.0,IF((C111="OTL"),1.0,""))))</f>
        <v/>
      </c>
      <c s="74" r="E111"/>
      <c t="s" s="74" r="F111">
        <v>33</v>
      </c>
      <c s="17" r="G111"/>
      <c s="23" r="H111"/>
      <c s="34" r="I111"/>
      <c s="34" r="J111"/>
      <c s="34" r="K111"/>
      <c s="34" r="L111"/>
      <c s="34" r="M111"/>
      <c s="34" r="N111"/>
      <c s="34" r="O111"/>
      <c s="34" r="P111"/>
      <c s="34" r="Q111"/>
      <c s="34" r="R111"/>
      <c s="34" r="S111"/>
      <c s="34" r="T111"/>
      <c s="34" r="U111"/>
      <c s="34" r="V111"/>
      <c s="34" r="W111"/>
      <c s="34" r="X111"/>
      <c s="34" r="Y111"/>
    </row>
    <row r="112">
      <c t="s" s="71" r="A112">
        <v>79</v>
      </c>
      <c t="s" s="6" r="B112">
        <v>35</v>
      </c>
      <c s="19" r="C112"/>
      <c t="str" s="34" r="D112">
        <f>IF((C112="W"),2.0,IF((C112="OTW"),2.0,IF((C112="L"),0.0,IF((C112="OTL"),1.0,""))))</f>
        <v/>
      </c>
      <c s="6" r="E112"/>
      <c t="s" s="6" r="F112">
        <v>29</v>
      </c>
      <c s="17" r="G112"/>
      <c s="23" r="H112"/>
      <c s="34" r="I112"/>
      <c s="34" r="J112"/>
      <c s="34" r="K112"/>
      <c s="34" r="L112"/>
      <c s="34" r="M112"/>
      <c s="34" r="N112"/>
      <c s="34" r="O112"/>
      <c s="34" r="P112"/>
      <c s="34" r="Q112"/>
      <c s="34" r="R112"/>
      <c s="34" r="S112"/>
      <c s="34" r="T112"/>
      <c s="34" r="U112"/>
      <c s="34" r="V112"/>
      <c s="34" r="W112"/>
      <c s="34" r="X112"/>
      <c s="34" r="Y112"/>
    </row>
    <row r="113">
      <c s="3" r="A113"/>
      <c t="s" s="34" r="B113">
        <v>28</v>
      </c>
      <c s="11" r="C113"/>
      <c t="str" s="34" r="D113">
        <f>IF((C113="W"),2.0,IF((C113="OTW"),2.0,IF((C113="L"),0.0,IF((C113="OTL"),1.0,""))))</f>
        <v/>
      </c>
      <c s="34" r="E113"/>
      <c t="s" s="34" r="F113">
        <v>30</v>
      </c>
      <c t="str" s="17" r="G113">
        <f>IF((C144="W"),"L",IF((C144="OTW"),"OTL",IF((C144="L"),"W",IF((C144="OTL"),"OTW",""))))</f>
        <v/>
      </c>
      <c t="str" s="23" r="H113">
        <f>IF((G113="W"),2.0,IF((G113="OTW"),2.0,IF((G113="L"),0.0,IF((G113="OTL"),1.0,""))))</f>
        <v/>
      </c>
      <c s="34" r="I113"/>
      <c s="34" r="J113"/>
      <c s="34" r="K113"/>
      <c s="34" r="L113"/>
      <c s="34" r="M113"/>
      <c s="34" r="N113"/>
      <c s="34" r="O113"/>
      <c s="34" r="P113"/>
      <c s="34" r="Q113"/>
      <c s="34" r="R113"/>
      <c s="34" r="S113"/>
      <c s="34" r="T113"/>
      <c s="34" r="U113"/>
      <c s="34" r="V113"/>
      <c s="34" r="W113"/>
      <c s="34" r="X113"/>
      <c s="34" r="Y113"/>
    </row>
    <row r="114">
      <c s="2" r="A114"/>
      <c t="s" s="74" r="B114">
        <v>41</v>
      </c>
      <c s="8" r="C114"/>
      <c t="str" s="34" r="D114">
        <f>IF((C114="W"),2.0,IF((C114="OTW"),2.0,IF((C114="L"),0.0,IF((C114="OTL"),1.0,""))))</f>
        <v/>
      </c>
      <c s="74" r="E114"/>
      <c t="s" s="74" r="F114">
        <v>39</v>
      </c>
      <c t="str" s="17" r="G114">
        <f>IF((C145="W"),"L",IF((C145="OTW"),"OTL",IF((C145="L"),"W",IF((C145="OTL"),"OTW",""))))</f>
        <v/>
      </c>
      <c t="str" s="23" r="H114">
        <f>IF((G114="W"),2.0,IF((G114="OTW"),2.0,IF((G114="L"),0.0,IF((G114="OTL"),1.0,""))))</f>
        <v/>
      </c>
      <c s="34" r="I114"/>
      <c s="34" r="J114"/>
      <c s="34" r="K114"/>
      <c s="34" r="L114"/>
      <c s="34" r="M114"/>
      <c s="34" r="N114"/>
      <c s="34" r="O114"/>
      <c s="34" r="P114"/>
      <c s="34" r="Q114"/>
      <c s="34" r="R114"/>
      <c s="34" r="S114"/>
      <c s="34" r="T114"/>
      <c s="34" r="U114"/>
      <c s="34" r="V114"/>
      <c s="34" r="W114"/>
      <c s="34" r="X114"/>
      <c s="34" r="Y114"/>
    </row>
    <row r="115">
      <c t="s" s="71" r="A115">
        <v>80</v>
      </c>
      <c t="s" s="6" r="B115">
        <v>35</v>
      </c>
      <c s="19" r="C115"/>
      <c t="str" s="34" r="D115">
        <f>IF((C115="W"),2.0,IF((C115="OTW"),2.0,IF((C115="L"),0.0,IF((C115="OTL"),1.0,""))))</f>
        <v/>
      </c>
      <c s="6" r="E115"/>
      <c t="s" s="6" r="F115">
        <v>28</v>
      </c>
      <c t="str" s="17" r="G115">
        <f>IF((C146="W"),"L",IF((C146="OTW"),"OTL",IF((C146="L"),"W",IF((C146="OTL"),"OTW",""))))</f>
        <v/>
      </c>
      <c t="str" s="23" r="H115">
        <f>IF((G115="W"),2.0,IF((G115="OTW"),2.0,IF((G115="L"),0.0,IF((G115="OTL"),1.0,""))))</f>
        <v/>
      </c>
      <c s="34" r="I115"/>
      <c s="34" r="J115"/>
      <c s="34" r="K115"/>
      <c s="34" r="L115"/>
      <c s="34" r="M115"/>
      <c s="34" r="N115"/>
      <c s="34" r="O115"/>
      <c s="34" r="P115"/>
      <c s="34" r="Q115"/>
      <c s="34" r="R115"/>
      <c s="34" r="S115"/>
      <c s="34" r="T115"/>
      <c s="34" r="U115"/>
      <c s="34" r="V115"/>
      <c s="34" r="W115"/>
      <c s="34" r="X115"/>
      <c s="34" r="Y115"/>
    </row>
    <row r="116">
      <c s="2" r="A116"/>
      <c t="s" s="74" r="B116">
        <v>44</v>
      </c>
      <c s="8" r="C116"/>
      <c t="str" s="34" r="D116">
        <f>IF((C116="W"),2.0,IF((C116="OTW"),2.0,IF((C116="L"),0.0,IF((C116="OTL"),1.0,""))))</f>
        <v/>
      </c>
      <c s="74" r="E116"/>
      <c t="s" s="74" r="F116">
        <v>37</v>
      </c>
      <c t="str" s="17" r="G116">
        <f>IF((C147="W"),"L",IF((C147="OTW"),"OTL",IF((C147="L"),"W",IF((C147="OTL"),"OTW",""))))</f>
        <v/>
      </c>
      <c t="str" s="23" r="H116">
        <f>IF((G116="W"),2.0,IF((G116="OTW"),2.0,IF((G116="L"),0.0,IF((G116="OTL"),1.0,""))))</f>
        <v/>
      </c>
      <c s="34" r="I116"/>
      <c s="34" r="J116"/>
      <c s="34" r="K116"/>
      <c s="34" r="L116"/>
      <c s="34" r="M116"/>
      <c s="34" r="N116"/>
      <c s="34" r="O116"/>
      <c s="34" r="P116"/>
      <c s="34" r="Q116"/>
      <c s="34" r="R116"/>
      <c s="34" r="S116"/>
      <c s="34" r="T116"/>
      <c s="34" r="U116"/>
      <c s="34" r="V116"/>
      <c s="34" r="W116"/>
      <c s="34" r="X116"/>
      <c s="34" r="Y116"/>
    </row>
    <row r="117">
      <c t="s" s="71" r="A117">
        <v>81</v>
      </c>
      <c t="s" s="6" r="B117">
        <v>32</v>
      </c>
      <c s="19" r="C117"/>
      <c t="str" s="34" r="D117">
        <f>IF((C117="W"),2.0,IF((C117="OTW"),2.0,IF((C117="L"),0.0,IF((C117="OTL"),1.0,""))))</f>
        <v/>
      </c>
      <c s="6" r="E117"/>
      <c t="s" s="6" r="F117">
        <v>40</v>
      </c>
      <c t="str" s="17" r="G117">
        <f>IF((C148="W"),"L",IF((C148="OTW"),"OTL",IF((C148="L"),"W",IF((C148="OTL"),"OTW",""))))</f>
        <v/>
      </c>
      <c t="str" s="23" r="H117">
        <f>IF((G117="W"),2.0,IF((G117="OTW"),2.0,IF((G117="L"),0.0,IF((G117="OTL"),1.0,""))))</f>
        <v/>
      </c>
      <c s="34" r="I117"/>
      <c s="34" r="J117"/>
      <c s="34" r="K117"/>
      <c s="34" r="L117"/>
      <c s="34" r="M117"/>
      <c s="34" r="N117"/>
      <c s="34" r="O117"/>
      <c s="34" r="P117"/>
      <c s="34" r="Q117"/>
      <c s="34" r="R117"/>
      <c s="34" r="S117"/>
      <c s="34" r="T117"/>
      <c s="34" r="U117"/>
      <c s="34" r="V117"/>
      <c s="34" r="W117"/>
      <c s="34" r="X117"/>
      <c s="34" r="Y117"/>
    </row>
    <row customHeight="1" s="34" customFormat="1" r="118" ht="15.0">
      <c s="3" r="A118"/>
      <c t="s" s="40" r="B118">
        <v>77</v>
      </c>
      <c s="28" r="C118"/>
      <c t="str" s="34" r="D118">
        <f>IF((C118="W"),2.0,IF((C118="OTW"),2.0,IF((C118="L"),0.0,IF((C118="OTL"),1.0,""))))</f>
        <v/>
      </c>
      <c s="40" r="E118"/>
      <c t="s" s="40" r="F118">
        <v>39</v>
      </c>
      <c t="str" s="17" r="G118">
        <f>IF((C149="W"),"L",IF((C149="OTW"),"OTL",IF((C149="L"),"W",IF((C149="OTL"),"OTW",""))))</f>
        <v/>
      </c>
      <c t="str" s="23" r="H118">
        <f>IF((G118="W"),2.0,IF((G118="OTW"),2.0,IF((G118="L"),0.0,IF((G118="OTL"),1.0,""))))</f>
        <v/>
      </c>
      <c s="34" r="I118"/>
      <c s="34" r="J118"/>
      <c s="34" r="K118"/>
      <c s="34" r="L118"/>
      <c s="34" r="M118"/>
      <c s="34" r="N118"/>
      <c s="34" r="O118"/>
      <c s="34" r="P118"/>
      <c s="34" r="Q118"/>
      <c s="34" r="R118"/>
      <c s="34" r="S118"/>
      <c s="34" r="T118"/>
      <c s="34" r="U118"/>
      <c s="34" r="V118"/>
      <c s="34" r="W118"/>
      <c s="34" r="X118"/>
      <c s="34" r="Y118"/>
    </row>
    <row r="119">
      <c s="3" r="A119"/>
      <c t="s" s="34" r="B119">
        <v>46</v>
      </c>
      <c s="11" r="C119"/>
      <c t="str" s="34" r="D119">
        <f>IF((C119="W"),2.0,IF((C119="OTW"),2.0,IF((C119="L"),0.0,IF((C119="OTL"),1.0,""))))</f>
        <v/>
      </c>
      <c s="34" r="E119"/>
      <c t="s" s="34" r="F119">
        <v>27</v>
      </c>
      <c t="str" s="17" r="G119">
        <f>IF((C150="W"),"L",IF((C150="OTW"),"OTL",IF((C150="L"),"W",IF((C150="OTL"),"OTW",""))))</f>
        <v/>
      </c>
      <c t="str" s="23" r="H119">
        <f>IF((G119="W"),2.0,IF((G119="OTW"),2.0,IF((G119="L"),0.0,IF((G119="OTL"),1.0,""))))</f>
        <v/>
      </c>
      <c s="34" r="I119"/>
      <c s="34" r="J119"/>
      <c s="34" r="K119"/>
      <c s="34" r="L119"/>
      <c s="34" r="M119"/>
      <c s="34" r="N119"/>
      <c s="34" r="O119"/>
      <c s="34" r="P119"/>
      <c s="34" r="Q119"/>
      <c s="34" r="R119"/>
      <c s="34" r="S119"/>
      <c s="34" r="T119"/>
      <c s="34" r="U119"/>
      <c s="34" r="V119"/>
      <c s="34" r="W119"/>
      <c s="34" r="X119"/>
      <c s="34" r="Y119"/>
    </row>
    <row r="120">
      <c s="2" r="A120"/>
      <c t="s" s="74" r="B120">
        <v>63</v>
      </c>
      <c s="8" r="C120"/>
      <c t="str" s="34" r="D120">
        <f>IF((C120="W"),2.0,IF((C120="OTW"),2.0,IF((C120="L"),0.0,IF((C120="OTL"),1.0,""))))</f>
        <v/>
      </c>
      <c s="74" r="E120"/>
      <c t="s" s="74" r="F120">
        <v>33</v>
      </c>
      <c t="str" s="17" r="G120">
        <f>IF((C151="W"),"L",IF((C151="OTW"),"OTL",IF((C151="L"),"W",IF((C151="OTL"),"OTW",""))))</f>
        <v/>
      </c>
      <c t="str" s="23" r="H120">
        <f>IF((G120="W"),2.0,IF((G120="OTW"),2.0,IF((G120="L"),0.0,IF((G120="OTL"),1.0,""))))</f>
        <v/>
      </c>
      <c s="34" r="I120"/>
      <c s="34" r="J120"/>
      <c s="34" r="K120"/>
      <c s="34" r="L120"/>
      <c s="34" r="M120"/>
      <c s="34" r="N120"/>
      <c s="34" r="O120"/>
      <c s="34" r="P120"/>
      <c s="34" r="Q120"/>
      <c s="34" r="R120"/>
      <c s="34" r="S120"/>
      <c s="34" r="T120"/>
      <c s="34" r="U120"/>
      <c s="34" r="V120"/>
      <c s="34" r="W120"/>
      <c s="34" r="X120"/>
      <c s="34" r="Y120"/>
    </row>
    <row r="121">
      <c t="s" s="71" r="A121">
        <v>82</v>
      </c>
      <c t="s" s="6" r="B121">
        <v>37</v>
      </c>
      <c s="19" r="C121"/>
      <c t="str" s="34" r="D121">
        <f>IF((C121="W"),2.0,IF((C121="OTW"),2.0,IF((C121="L"),0.0,IF((C121="OTL"),1.0,""))))</f>
        <v/>
      </c>
      <c s="6" r="E121"/>
      <c t="s" s="6" r="F121">
        <v>42</v>
      </c>
      <c s="17" r="G121"/>
      <c s="23" r="H121"/>
      <c s="34" r="I121"/>
      <c s="34" r="J121"/>
      <c s="34" r="K121"/>
      <c s="34" r="L121"/>
      <c s="34" r="M121"/>
      <c s="34" r="N121"/>
      <c s="34" r="O121"/>
      <c s="34" r="P121"/>
      <c s="34" r="Q121"/>
      <c s="34" r="R121"/>
      <c s="34" r="S121"/>
      <c s="34" r="T121"/>
      <c s="34" r="U121"/>
      <c s="34" r="V121"/>
      <c s="34" r="W121"/>
      <c s="34" r="X121"/>
      <c s="34" r="Y121"/>
    </row>
    <row r="122">
      <c s="3" r="A122"/>
      <c t="s" s="34" r="B122">
        <v>77</v>
      </c>
      <c s="11" r="C122"/>
      <c t="str" s="34" r="D122">
        <f>IF((C122="W"),2.0,IF((C122="OTW"),2.0,IF((C122="L"),0.0,IF((C122="OTL"),1.0,""))))</f>
        <v/>
      </c>
      <c s="34" r="E122"/>
      <c t="s" s="34" r="F122">
        <v>43</v>
      </c>
      <c s="17" r="G122"/>
      <c s="23" r="H122"/>
      <c s="34" r="I122"/>
      <c s="34" r="J122"/>
      <c s="34" r="K122"/>
      <c s="34" r="L122"/>
      <c s="34" r="M122"/>
      <c s="34" r="N122"/>
      <c s="34" r="O122"/>
      <c s="34" r="P122"/>
      <c s="34" r="Q122"/>
      <c s="34" r="R122"/>
      <c s="34" r="S122"/>
      <c s="34" r="T122"/>
      <c s="34" r="U122"/>
      <c s="34" r="V122"/>
      <c s="34" r="W122"/>
      <c s="34" r="X122"/>
      <c s="34" r="Y122"/>
    </row>
    <row r="123">
      <c s="3" r="A123"/>
      <c t="s" s="34" r="B123">
        <v>41</v>
      </c>
      <c s="11" r="C123"/>
      <c t="str" s="34" r="D123">
        <f>IF((C123="W"),2.0,IF((C123="OTW"),2.0,IF((C123="L"),0.0,IF((C123="OTL"),1.0,""))))</f>
        <v/>
      </c>
      <c s="34" r="E123"/>
      <c t="s" s="34" r="F123">
        <v>44</v>
      </c>
      <c s="17" r="G123"/>
      <c s="23" r="H123"/>
      <c s="34" r="I123"/>
      <c s="34" r="J123"/>
      <c s="34" r="K123"/>
      <c s="34" r="L123"/>
      <c s="34" r="M123"/>
      <c s="34" r="N123"/>
      <c s="34" r="O123"/>
      <c s="34" r="P123"/>
      <c s="34" r="Q123"/>
      <c s="34" r="R123"/>
      <c s="34" r="S123"/>
      <c s="34" r="T123"/>
      <c s="34" r="U123"/>
      <c s="34" r="V123"/>
      <c s="34" r="W123"/>
      <c s="34" r="X123"/>
      <c s="34" r="Y123"/>
    </row>
    <row r="124">
      <c s="2" r="A124"/>
      <c t="s" s="74" r="B124">
        <v>49</v>
      </c>
      <c s="8" r="C124"/>
      <c t="str" s="34" r="D124">
        <f>IF((C124="W"),2.0,IF((C124="OTW"),2.0,IF((C124="L"),0.0,IF((C124="OTL"),1.0,""))))</f>
        <v/>
      </c>
      <c s="74" r="E124"/>
      <c t="s" s="74" r="F124">
        <v>30</v>
      </c>
      <c s="17" r="G124"/>
      <c s="23" r="H124"/>
      <c s="34" r="I124"/>
      <c s="34" r="J124"/>
      <c s="34" r="K124"/>
      <c s="34" r="L124"/>
      <c s="34" r="M124"/>
      <c s="34" r="N124"/>
      <c s="34" r="O124"/>
      <c s="34" r="P124"/>
      <c s="34" r="Q124"/>
      <c s="34" r="R124"/>
      <c s="34" r="S124"/>
      <c s="34" r="T124"/>
      <c s="34" r="U124"/>
      <c s="34" r="V124"/>
      <c s="34" r="W124"/>
      <c s="34" r="X124"/>
      <c s="34" r="Y124"/>
    </row>
    <row r="125">
      <c t="s" s="71" r="A125">
        <v>83</v>
      </c>
      <c t="s" s="6" r="B125">
        <v>37</v>
      </c>
      <c s="19" r="C125"/>
      <c t="str" s="34" r="D125">
        <f>IF((C125="W"),2.0,IF((C125="OTW"),2.0,IF((C125="L"),0.0,IF((C125="OTL"),1.0,""))))</f>
        <v/>
      </c>
      <c s="6" r="E125"/>
      <c t="s" s="6" r="F125">
        <v>28</v>
      </c>
      <c s="17" r="G125"/>
      <c s="23" r="H125"/>
      <c s="34" r="I125"/>
      <c s="34" r="J125"/>
      <c s="34" r="K125"/>
      <c s="34" r="L125"/>
      <c s="34" r="M125"/>
      <c s="34" r="N125"/>
      <c s="34" r="O125"/>
      <c s="34" r="P125"/>
      <c s="34" r="Q125"/>
      <c s="34" r="R125"/>
      <c s="34" r="S125"/>
      <c s="34" r="T125"/>
      <c s="34" r="U125"/>
      <c s="34" r="V125"/>
      <c s="34" r="W125"/>
      <c s="34" r="X125"/>
      <c s="34" r="Y125"/>
    </row>
    <row r="126">
      <c s="3" r="A126"/>
      <c t="s" s="34" r="B126">
        <v>39</v>
      </c>
      <c s="11" r="C126"/>
      <c t="str" s="34" r="D126">
        <f>IF((C126="W"),2.0,IF((C126="OTW"),2.0,IF((C126="L"),0.0,IF((C126="OTL"),1.0,""))))</f>
        <v/>
      </c>
      <c s="34" r="E126"/>
      <c t="s" s="34" r="F126">
        <v>46</v>
      </c>
      <c s="17" r="G126"/>
      <c s="23" r="H126"/>
      <c s="34" r="I126"/>
      <c s="34" r="J126"/>
      <c s="34" r="K126"/>
      <c s="34" r="L126"/>
      <c s="34" r="M126"/>
      <c s="34" r="N126"/>
      <c s="34" r="O126"/>
      <c s="34" r="P126"/>
      <c s="34" r="Q126"/>
      <c s="34" r="R126"/>
      <c s="34" r="S126"/>
      <c s="34" r="T126"/>
      <c s="34" r="U126"/>
      <c s="34" r="V126"/>
      <c s="34" r="W126"/>
      <c s="34" r="X126"/>
      <c s="34" r="Y126"/>
    </row>
    <row r="127">
      <c s="2" r="A127"/>
      <c t="s" s="74" r="B127">
        <v>33</v>
      </c>
      <c s="8" r="C127"/>
      <c t="str" s="34" r="D127">
        <f>IF((C127="W"),2.0,IF((C127="OTW"),2.0,IF((C127="L"),0.0,IF((C127="OTL"),1.0,""))))</f>
        <v/>
      </c>
      <c s="74" r="E127"/>
      <c t="s" s="74" r="F127">
        <v>27</v>
      </c>
      <c s="17" r="G127"/>
      <c s="23" r="H127"/>
      <c s="34" r="I127"/>
      <c s="34" r="J127"/>
      <c s="34" r="K127"/>
      <c s="34" r="L127"/>
      <c s="34" r="M127"/>
      <c s="34" r="N127"/>
      <c s="34" r="O127"/>
      <c s="34" r="P127"/>
      <c s="34" r="Q127"/>
      <c s="34" r="R127"/>
      <c s="34" r="S127"/>
      <c s="34" r="T127"/>
      <c s="34" r="U127"/>
      <c s="34" r="V127"/>
      <c s="34" r="W127"/>
      <c s="34" r="X127"/>
      <c s="34" r="Y127"/>
    </row>
    <row r="128">
      <c t="s" s="71" r="A128">
        <v>84</v>
      </c>
      <c t="s" s="6" r="B128">
        <v>33</v>
      </c>
      <c s="19" r="C128"/>
      <c t="str" s="34" r="D128">
        <f>IF((C128="W"),2.0,IF((C128="OTW"),2.0,IF((C128="L"),0.0,IF((C128="OTL"),1.0,""))))</f>
        <v/>
      </c>
      <c s="6" r="E128"/>
      <c t="s" s="6" r="F128">
        <v>32</v>
      </c>
      <c s="17" r="G128"/>
      <c s="23" r="H128"/>
      <c s="34" r="I128"/>
      <c s="34" r="J128"/>
      <c s="34" r="K128"/>
      <c s="34" r="L128"/>
      <c s="34" r="M128"/>
      <c s="34" r="N128"/>
      <c s="34" r="O128"/>
      <c s="34" r="P128"/>
      <c s="34" r="Q128"/>
      <c s="34" r="R128"/>
      <c s="34" r="S128"/>
      <c s="34" r="T128"/>
      <c s="34" r="U128"/>
      <c s="34" r="V128"/>
      <c s="34" r="W128"/>
      <c s="34" r="X128"/>
      <c s="34" r="Y128"/>
    </row>
    <row r="129">
      <c s="3" r="A129"/>
      <c t="s" s="34" r="B129">
        <v>40</v>
      </c>
      <c s="11" r="C129"/>
      <c t="str" s="34" r="D129">
        <f>IF((C129="W"),2.0,IF((C129="OTW"),2.0,IF((C129="L"),0.0,IF((C129="OTL"),1.0,""))))</f>
        <v/>
      </c>
      <c s="34" r="E129"/>
      <c t="s" s="34" r="F129">
        <v>42</v>
      </c>
      <c s="17" r="G129"/>
      <c s="23" r="H129"/>
      <c s="34" r="I129"/>
      <c s="34" r="J129"/>
      <c s="34" r="K129"/>
      <c s="34" r="L129"/>
      <c s="34" r="M129"/>
      <c s="34" r="N129"/>
      <c s="34" r="O129"/>
      <c s="34" r="P129"/>
      <c s="34" r="Q129"/>
      <c s="34" r="R129"/>
      <c s="34" r="S129"/>
      <c s="34" r="T129"/>
      <c s="34" r="U129"/>
      <c s="34" r="V129"/>
      <c s="34" r="W129"/>
      <c s="34" r="X129"/>
      <c s="34" r="Y129"/>
    </row>
    <row r="130">
      <c s="3" r="A130"/>
      <c t="s" s="34" r="B130">
        <v>43</v>
      </c>
      <c s="11" r="C130"/>
      <c t="str" s="34" r="D130">
        <f>IF((C130="W"),2.0,IF((C130="OTW"),2.0,IF((C130="L"),0.0,IF((C130="OTL"),1.0,""))))</f>
        <v/>
      </c>
      <c s="34" r="E130"/>
      <c t="s" s="34" r="F130">
        <v>72</v>
      </c>
      <c s="17" r="G130"/>
      <c s="23" r="H130"/>
      <c s="34" r="I130"/>
      <c s="34" r="J130"/>
      <c s="34" r="K130"/>
      <c s="34" r="L130"/>
      <c s="34" r="M130"/>
      <c s="34" r="N130"/>
      <c s="34" r="O130"/>
      <c s="34" r="P130"/>
      <c s="34" r="Q130"/>
      <c s="34" r="R130"/>
      <c s="34" r="S130"/>
      <c s="34" r="T130"/>
      <c s="34" r="U130"/>
      <c s="34" r="V130"/>
      <c s="34" r="W130"/>
      <c s="34" r="X130"/>
      <c s="34" r="Y130"/>
    </row>
    <row r="131">
      <c s="2" r="A131"/>
      <c t="s" s="74" r="B131">
        <v>35</v>
      </c>
      <c s="8" r="C131"/>
      <c t="str" s="34" r="D131">
        <f>IF((C131="W"),2.0,IF((C131="OTW"),2.0,IF((C131="L"),0.0,IF((C131="OTL"),1.0,""))))</f>
        <v/>
      </c>
      <c s="74" r="E131"/>
      <c t="s" s="74" r="F131">
        <v>31</v>
      </c>
      <c s="17" r="G131"/>
      <c s="23" r="H131"/>
      <c s="34" r="I131"/>
      <c s="34" r="J131"/>
      <c s="34" r="K131"/>
      <c s="34" r="L131"/>
      <c s="34" r="M131"/>
      <c s="34" r="N131"/>
      <c s="34" r="O131"/>
      <c s="34" r="P131"/>
      <c s="34" r="Q131"/>
      <c s="34" r="R131"/>
      <c s="34" r="S131"/>
      <c s="34" r="T131"/>
      <c s="34" r="U131"/>
      <c s="34" r="V131"/>
      <c s="34" r="W131"/>
      <c s="34" r="X131"/>
      <c s="34" r="Y131"/>
    </row>
    <row r="132">
      <c t="s" s="71" r="A132">
        <v>85</v>
      </c>
      <c t="s" s="6" r="B132">
        <v>39</v>
      </c>
      <c s="19" r="C132"/>
      <c t="str" s="34" r="D132">
        <f>IF((C132="W"),2.0,IF((C132="OTW"),2.0,IF((C132="L"),0.0,IF((C132="OTL"),1.0,""))))</f>
        <v/>
      </c>
      <c s="6" r="E132"/>
      <c t="s" s="6" r="F132">
        <v>30</v>
      </c>
      <c s="17" r="G132"/>
      <c s="23" r="H132"/>
      <c s="34" r="I132"/>
      <c s="34" r="J132"/>
      <c s="34" r="K132"/>
      <c s="34" r="L132"/>
      <c s="34" r="M132"/>
      <c s="34" r="N132"/>
      <c s="34" r="O132"/>
      <c s="34" r="P132"/>
      <c s="34" r="Q132"/>
      <c s="34" r="R132"/>
      <c s="34" r="S132"/>
      <c s="34" r="T132"/>
      <c s="34" r="U132"/>
      <c s="34" r="V132"/>
      <c s="34" r="W132"/>
      <c s="34" r="X132"/>
      <c s="34" r="Y132"/>
    </row>
    <row r="133">
      <c s="3" r="A133"/>
      <c t="s" s="34" r="B133">
        <v>29</v>
      </c>
      <c s="11" r="C133"/>
      <c t="str" s="34" r="D133">
        <f>IF((C133="W"),2.0,IF((C133="OTW"),2.0,IF((C133="L"),0.0,IF((C133="OTL"),1.0,""))))</f>
        <v/>
      </c>
      <c s="34" r="E133"/>
      <c t="s" s="34" r="F133">
        <v>40</v>
      </c>
      <c s="17" r="G133"/>
      <c s="23" r="H133"/>
      <c s="34" r="I133"/>
      <c s="34" r="J133"/>
      <c s="34" r="K133"/>
      <c s="34" r="L133"/>
      <c s="34" r="M133"/>
      <c s="34" r="N133"/>
      <c s="34" r="O133"/>
      <c s="34" r="P133"/>
      <c s="34" r="Q133"/>
      <c s="34" r="R133"/>
      <c s="34" r="S133"/>
      <c s="34" r="T133"/>
      <c s="34" r="U133"/>
      <c s="34" r="V133"/>
      <c s="34" r="W133"/>
      <c s="34" r="X133"/>
      <c s="34" r="Y133"/>
    </row>
    <row r="134">
      <c s="3" r="A134"/>
      <c t="s" s="34" r="B134">
        <v>42</v>
      </c>
      <c s="11" r="C134"/>
      <c t="str" s="34" r="D134">
        <f>IF((C134="W"),2.0,IF((C134="OTW"),2.0,IF((C134="L"),0.0,IF((C134="OTL"),1.0,""))))</f>
        <v/>
      </c>
      <c s="34" r="E134"/>
      <c t="s" s="34" r="F134">
        <v>27</v>
      </c>
      <c s="17" r="G134"/>
      <c s="23" r="H134"/>
      <c s="34" r="I134"/>
      <c s="34" r="J134"/>
      <c s="34" r="K134"/>
      <c s="34" r="L134"/>
      <c s="34" r="M134"/>
      <c s="34" r="N134"/>
      <c s="34" r="O134"/>
      <c s="34" r="P134"/>
      <c s="34" r="Q134"/>
      <c s="34" r="R134"/>
      <c s="34" r="S134"/>
      <c s="34" r="T134"/>
      <c s="34" r="U134"/>
      <c s="34" r="V134"/>
      <c s="34" r="W134"/>
      <c s="34" r="X134"/>
      <c s="34" r="Y134"/>
    </row>
    <row r="135">
      <c s="3" r="A135"/>
      <c t="s" s="34" r="B135">
        <v>44</v>
      </c>
      <c s="11" r="C135"/>
      <c t="str" s="34" r="D135">
        <f>IF((C135="W"),2.0,IF((C135="OTW"),2.0,IF((C135="L"),0.0,IF((C135="OTL"),1.0,""))))</f>
        <v/>
      </c>
      <c s="34" r="E135"/>
      <c t="s" s="34" r="F135">
        <v>35</v>
      </c>
      <c s="17" r="G135"/>
      <c s="23" r="H135"/>
      <c s="34" r="I135"/>
      <c s="34" r="J135"/>
      <c s="34" r="K135"/>
      <c s="34" r="L135"/>
      <c s="34" r="M135"/>
      <c s="34" r="N135"/>
      <c s="34" r="O135"/>
      <c s="34" r="P135"/>
      <c s="34" r="Q135"/>
      <c s="34" r="R135"/>
      <c s="34" r="S135"/>
      <c s="34" r="T135"/>
      <c s="34" r="U135"/>
      <c s="34" r="V135"/>
      <c s="34" r="W135"/>
      <c s="34" r="X135"/>
      <c s="34" r="Y135"/>
    </row>
    <row r="136">
      <c s="3" r="A136"/>
      <c t="s" s="34" r="B136">
        <v>28</v>
      </c>
      <c s="11" r="C136"/>
      <c t="str" s="34" r="D136">
        <f>IF((C136="W"),2.0,IF((C136="OTW"),2.0,IF((C136="L"),0.0,IF((C136="OTL"),1.0,""))))</f>
        <v/>
      </c>
      <c s="34" r="E136"/>
      <c t="s" s="34" r="F136">
        <v>43</v>
      </c>
      <c s="17" r="G136"/>
      <c s="23" r="H136"/>
      <c s="34" r="I136"/>
      <c s="34" r="J136"/>
      <c s="34" r="K136"/>
      <c s="34" r="L136"/>
      <c s="34" r="M136"/>
      <c s="34" r="N136"/>
      <c s="34" r="O136"/>
      <c s="34" r="P136"/>
      <c s="34" r="Q136"/>
      <c s="34" r="R136"/>
      <c s="34" r="S136"/>
      <c s="34" r="T136"/>
      <c s="34" r="U136"/>
      <c s="34" r="V136"/>
      <c s="34" r="W136"/>
      <c s="34" r="X136"/>
      <c s="34" r="Y136"/>
    </row>
    <row r="137">
      <c s="3" r="A137"/>
      <c t="s" s="34" r="B137">
        <v>41</v>
      </c>
      <c s="11" r="C137"/>
      <c t="str" s="34" r="D137">
        <f>IF((C137="W"),2.0,IF((C137="OTW"),2.0,IF((C137="L"),0.0,IF((C137="OTL"),1.0,""))))</f>
        <v/>
      </c>
      <c s="34" r="E137"/>
      <c t="s" s="34" r="F137">
        <v>46</v>
      </c>
      <c s="17" r="G137"/>
      <c s="23" r="H137"/>
      <c s="34" r="I137"/>
      <c s="34" r="J137"/>
      <c s="34" r="K137"/>
      <c s="34" r="L137"/>
      <c s="34" r="M137"/>
      <c s="34" r="N137"/>
      <c s="34" r="O137"/>
      <c s="34" r="P137"/>
      <c s="34" r="Q137"/>
      <c s="34" r="R137"/>
      <c s="34" r="S137"/>
      <c s="34" r="T137"/>
      <c s="34" r="U137"/>
      <c s="34" r="V137"/>
      <c s="34" r="W137"/>
      <c s="34" r="X137"/>
      <c s="34" r="Y137"/>
    </row>
    <row r="138">
      <c s="2" r="A138"/>
      <c t="s" s="74" r="B138">
        <v>37</v>
      </c>
      <c s="8" r="C138"/>
      <c t="str" s="34" r="D138">
        <f>IF((C138="W"),2.0,IF((C138="OTW"),2.0,IF((C138="L"),0.0,IF((C138="OTL"),1.0,""))))</f>
        <v/>
      </c>
      <c s="74" r="E138"/>
      <c t="s" s="74" r="F138">
        <v>48</v>
      </c>
      <c s="17" r="G138"/>
      <c s="23" r="H138"/>
      <c s="34" r="I138"/>
      <c s="34" r="J138"/>
      <c s="34" r="K138"/>
      <c s="34" r="L138"/>
      <c s="34" r="M138"/>
      <c s="34" r="N138"/>
      <c s="34" r="O138"/>
      <c s="34" r="P138"/>
      <c s="34" r="Q138"/>
      <c s="34" r="R138"/>
      <c s="34" r="S138"/>
      <c s="34" r="T138"/>
      <c s="34" r="U138"/>
      <c s="34" r="V138"/>
      <c s="34" r="W138"/>
      <c s="34" r="X138"/>
      <c s="34" r="Y138"/>
    </row>
    <row r="139">
      <c t="s" s="71" r="A139">
        <v>86</v>
      </c>
      <c t="s" s="6" r="B139">
        <v>41</v>
      </c>
      <c s="19" r="C139"/>
      <c t="str" s="34" r="D139">
        <f>IF((C139="W"),2.0,IF((C139="OTW"),2.0,IF((C139="L"),0.0,IF((C139="OTL"),1.0,""))))</f>
        <v/>
      </c>
      <c s="6" r="E139"/>
      <c t="s" s="6" r="F139">
        <v>33</v>
      </c>
      <c t="str" s="17" r="G139">
        <f>IF((C154="W"),"L",IF((C154="OTW"),"OTL",IF((C154="L"),"W",IF((C154="OTL"),"OTW",""))))</f>
        <v/>
      </c>
      <c t="str" s="23" r="H139">
        <f>IF((G139="W"),2.0,IF((G139="OTW"),2.0,IF((G139="L"),0.0,IF((G139="OTL"),1.0,""))))</f>
        <v/>
      </c>
      <c s="34" r="I139"/>
      <c s="34" r="J139"/>
      <c s="34" r="K139"/>
      <c s="34" r="L139"/>
      <c s="34" r="M139"/>
      <c s="34" r="N139"/>
      <c s="34" r="O139"/>
      <c s="34" r="P139"/>
      <c s="34" r="Q139"/>
      <c s="34" r="R139"/>
      <c s="34" r="S139"/>
      <c s="34" r="T139"/>
      <c s="34" r="U139"/>
      <c s="34" r="V139"/>
      <c s="34" r="W139"/>
      <c s="34" r="X139"/>
      <c s="34" r="Y139"/>
    </row>
    <row r="140">
      <c s="2" r="A140"/>
      <c t="s" s="74" r="B140">
        <v>29</v>
      </c>
      <c s="8" r="C140"/>
      <c t="str" s="34" r="D140">
        <f>IF((C140="W"),2.0,IF((C140="OTW"),2.0,IF((C140="L"),0.0,IF((C140="OTL"),1.0,""))))</f>
        <v/>
      </c>
      <c s="74" r="E140"/>
      <c t="s" s="74" r="F140">
        <v>87</v>
      </c>
      <c t="str" s="17" r="G140">
        <f>IF((C155="W"),"L",IF((C155="OTW"),"OTL",IF((C155="L"),"W",IF((C155="OTL"),"OTW",""))))</f>
        <v/>
      </c>
      <c t="str" s="23" r="H140">
        <f>IF((G140="W"),2.0,IF((G140="OTW"),2.0,IF((G140="L"),0.0,IF((G140="OTL"),1.0,""))))</f>
        <v/>
      </c>
      <c s="34" r="I140"/>
      <c s="34" r="J140"/>
      <c s="34" r="K140"/>
      <c s="34" r="L140"/>
      <c s="34" r="M140"/>
      <c s="53" r="N140"/>
      <c s="34" r="O140"/>
      <c s="34" r="P140"/>
      <c s="34" r="Q140"/>
      <c s="34" r="R140"/>
      <c s="34" r="S140"/>
      <c s="34" r="T140"/>
      <c s="34" r="U140"/>
      <c s="34" r="V140"/>
      <c s="34" r="W140"/>
      <c s="34" r="X140"/>
      <c s="34" r="Y140"/>
    </row>
    <row r="141">
      <c t="s" s="22" r="A141">
        <v>88</v>
      </c>
      <c t="s" s="29" r="B141">
        <v>35</v>
      </c>
      <c s="13" r="C141"/>
      <c t="str" s="34" r="D141">
        <f>IF((C141="W"),2.0,IF((C141="OTW"),2.0,IF((C141="L"),0.0,IF((C141="OTL"),1.0,""))))</f>
        <v/>
      </c>
      <c s="29" r="E141"/>
      <c t="s" s="29" r="F141">
        <v>39</v>
      </c>
      <c t="str" s="17" r="G141">
        <f>IF((C156="W"),"L",IF((C156="OTW"),"OTL",IF((C156="L"),"W",IF((C156="OTL"),"OTW",""))))</f>
        <v/>
      </c>
      <c t="str" s="23" r="H141">
        <f>IF((G141="W"),2.0,IF((G141="OTW"),2.0,IF((G141="L"),0.0,IF((G141="OTL"),1.0,""))))</f>
        <v/>
      </c>
      <c s="34" r="I141"/>
      <c s="34" r="J141"/>
      <c s="34" r="K141"/>
      <c s="34" r="L141"/>
      <c s="34" r="M141"/>
      <c s="53" r="N141"/>
      <c s="34" r="O141"/>
      <c s="34" r="P141"/>
      <c s="34" r="Q141"/>
      <c s="34" r="R141"/>
      <c s="34" r="S141"/>
      <c s="34" r="T141"/>
      <c s="34" r="U141"/>
      <c s="34" r="V141"/>
      <c s="34" r="W141"/>
      <c s="34" r="X141"/>
      <c s="34" r="Y141"/>
    </row>
    <row customHeight="1" s="34" customFormat="1" r="142" ht="15.0">
      <c t="s" s="71" r="A142">
        <v>89</v>
      </c>
      <c t="s" s="54" r="B142">
        <v>33</v>
      </c>
      <c s="56" r="C142"/>
      <c t="str" s="34" r="D142">
        <f>IF((C142="W"),2.0,IF((C142="OTW"),2.0,IF((C142="L"),0.0,IF((C142="OTL"),1.0,""))))</f>
        <v/>
      </c>
      <c s="54" r="E142"/>
      <c t="s" s="54" r="F142">
        <v>29</v>
      </c>
      <c t="str" s="17" r="G142">
        <f>IF((C157="W"),"L",IF((C157="OTW"),"OTL",IF((C157="L"),"W",IF((C157="OTL"),"OTW",""))))</f>
        <v/>
      </c>
      <c t="str" s="23" r="H142">
        <f>IF((G142="W"),2.0,IF((G142="OTW"),2.0,IF((G142="L"),0.0,IF((G142="OTL"),1.0,""))))</f>
        <v/>
      </c>
      <c s="34" r="I142"/>
      <c s="34" r="J142"/>
      <c s="34" r="K142"/>
      <c s="34" r="L142"/>
      <c s="34" r="M142"/>
      <c s="53" r="N142"/>
      <c s="34" r="O142"/>
      <c s="34" r="P142"/>
      <c s="34" r="Q142"/>
      <c s="34" r="R142"/>
      <c s="34" r="S142"/>
      <c s="34" r="T142"/>
      <c s="34" r="U142"/>
      <c s="34" r="V142"/>
      <c s="34" r="W142"/>
      <c s="34" r="X142"/>
      <c s="34" r="Y142"/>
    </row>
    <row r="143">
      <c s="2" r="A143"/>
      <c t="s" s="74" r="B143">
        <v>41</v>
      </c>
      <c s="8" r="C143"/>
      <c t="str" s="34" r="D143">
        <f>IF((C143="W"),2.0,IF((C143="OTW"),2.0,IF((C143="L"),0.0,IF((C143="OTL"),1.0,""))))</f>
        <v/>
      </c>
      <c s="74" r="E143"/>
      <c t="s" s="74" r="F143">
        <v>90</v>
      </c>
      <c t="str" s="17" r="G143">
        <f>IF((C158="W"),"L",IF((C158="OTW"),"OTL",IF((C158="L"),"W",IF((C158="OTL"),"OTW",""))))</f>
        <v/>
      </c>
      <c t="str" s="23" r="H143">
        <f>IF((G143="W"),2.0,IF((G143="OTW"),2.0,IF((G143="L"),0.0,IF((G143="OTL"),1.0,""))))</f>
        <v/>
      </c>
      <c s="34" r="I143"/>
      <c s="34" r="J143"/>
      <c s="34" r="K143"/>
      <c s="34" r="L143"/>
      <c s="34" r="M143"/>
      <c s="53" r="N143"/>
      <c s="34" r="O143"/>
      <c s="34" r="P143"/>
      <c s="34" r="Q143"/>
      <c s="34" r="R143"/>
      <c s="34" r="S143"/>
      <c s="34" r="T143"/>
      <c s="34" r="U143"/>
      <c s="34" r="V143"/>
      <c s="34" r="W143"/>
      <c s="34" r="X143"/>
      <c s="34" r="Y143"/>
    </row>
    <row r="144">
      <c t="s" s="71" r="A144">
        <v>91</v>
      </c>
      <c t="s" s="6" r="B144">
        <v>43</v>
      </c>
      <c s="19" r="C144"/>
      <c t="str" s="34" r="D144">
        <f>IF((C144="W"),2.0,IF((C144="OTW"),2.0,IF((C144="L"),0.0,IF((C144="OTL"),1.0,""))))</f>
        <v/>
      </c>
      <c s="6" r="E144"/>
      <c t="s" s="6" r="F144">
        <v>32</v>
      </c>
      <c t="str" s="17" r="G144">
        <f>IF((C159="W"),"L",IF((C159="OTW"),"OTL",IF((C159="L"),"W",IF((C159="OTL"),"OTW",""))))</f>
        <v/>
      </c>
      <c t="str" s="23" r="H144">
        <f>IF((G144="W"),2.0,IF((G144="OTW"),2.0,IF((G144="L"),0.0,IF((G144="OTL"),1.0,""))))</f>
        <v/>
      </c>
      <c s="34" r="I144"/>
      <c s="34" r="J144"/>
      <c s="34" r="K144"/>
      <c s="34" r="L144"/>
      <c s="34" r="M144"/>
      <c s="53" r="N144"/>
      <c s="34" r="O144"/>
      <c s="34" r="P144"/>
      <c s="34" r="Q144"/>
      <c s="34" r="R144"/>
      <c s="34" r="S144"/>
      <c s="34" r="T144"/>
      <c s="34" r="U144"/>
      <c s="34" r="V144"/>
      <c s="34" r="W144"/>
      <c s="34" r="X144"/>
      <c s="34" r="Y144"/>
    </row>
    <row r="145">
      <c s="3" r="A145"/>
      <c t="s" s="34" r="B145">
        <v>42</v>
      </c>
      <c s="11" r="C145"/>
      <c t="str" s="34" r="D145">
        <f>IF((C145="W"),2.0,IF((C145="OTW"),2.0,IF((C145="L"),0.0,IF((C145="OTL"),1.0,""))))</f>
        <v/>
      </c>
      <c s="34" r="E145"/>
      <c t="s" s="34" r="F145">
        <v>92</v>
      </c>
      <c t="str" s="17" r="G145">
        <f>IF((C160="W"),"L",IF((C160="OTW"),"OTL",IF((C160="L"),"W",IF((C160="OTL"),"OTW",""))))</f>
        <v/>
      </c>
      <c t="str" s="23" r="H145">
        <f>IF((G145="W"),2.0,IF((G145="OTW"),2.0,IF((G145="L"),0.0,IF((G145="OTL"),1.0,""))))</f>
        <v/>
      </c>
      <c s="34" r="I145"/>
      <c s="34" r="J145"/>
      <c s="34" r="K145"/>
      <c s="34" r="L145"/>
      <c s="34" r="M145"/>
      <c s="53" r="N145"/>
      <c s="34" r="O145"/>
      <c s="34" r="P145"/>
      <c s="34" r="Q145"/>
      <c s="34" r="R145"/>
      <c s="34" r="S145"/>
      <c s="34" r="T145"/>
      <c s="34" r="U145"/>
      <c s="34" r="V145"/>
      <c s="34" r="W145"/>
      <c s="34" r="X145"/>
      <c s="34" r="Y145"/>
    </row>
    <row r="146">
      <c s="3" r="A146"/>
      <c t="s" s="34" r="B146">
        <v>28</v>
      </c>
      <c s="11" r="C146"/>
      <c t="str" s="34" r="D146">
        <f>IF((C146="W"),2.0,IF((C146="OTW"),2.0,IF((C146="L"),0.0,IF((C146="OTL"),1.0,""))))</f>
        <v/>
      </c>
      <c s="34" r="E146"/>
      <c t="s" s="34" r="F146">
        <v>93</v>
      </c>
      <c t="str" s="17" r="G146">
        <f>IF((C161="W"),"L",IF((C161="OTW"),"OTL",IF((C161="L"),"W",IF((C161="OTL"),"OTW",""))))</f>
        <v/>
      </c>
      <c t="str" s="23" r="H146">
        <f>IF((G146="W"),2.0,IF((G146="OTW"),2.0,IF((G146="L"),0.0,IF((G146="OTL"),1.0,""))))</f>
        <v/>
      </c>
      <c s="34" r="I146"/>
      <c s="34" r="J146"/>
      <c s="34" r="K146"/>
      <c s="34" r="L146"/>
      <c s="34" r="M146"/>
      <c s="53" r="N146"/>
      <c s="34" r="O146"/>
      <c s="34" r="P146"/>
      <c s="34" r="Q146"/>
      <c s="34" r="R146"/>
      <c s="34" r="S146"/>
      <c s="34" r="T146"/>
      <c s="34" r="U146"/>
      <c s="34" r="V146"/>
      <c s="34" r="W146"/>
      <c s="34" r="X146"/>
      <c s="34" r="Y146"/>
    </row>
    <row r="147">
      <c s="2" r="A147"/>
      <c t="s" s="74" r="B147">
        <v>35</v>
      </c>
      <c s="8" r="C147"/>
      <c t="str" s="34" r="D147">
        <f>IF((C147="W"),2.0,IF((C147="OTW"),2.0,IF((C147="L"),0.0,IF((C147="OTL"),1.0,""))))</f>
        <v/>
      </c>
      <c s="74" r="E147"/>
      <c t="s" s="74" r="F147">
        <v>30</v>
      </c>
      <c t="str" s="17" r="G147">
        <f>IF((C162="W"),"L",IF((C162="OTW"),"OTL",IF((C162="L"),"W",IF((C162="OTL"),"OTW",""))))</f>
        <v/>
      </c>
      <c t="str" s="23" r="H147">
        <f>IF((G147="W"),2.0,IF((G147="OTW"),2.0,IF((G147="L"),0.0,IF((G147="OTL"),1.0,""))))</f>
        <v/>
      </c>
      <c s="34" r="I147"/>
      <c s="34" r="J147"/>
      <c s="34" r="K147"/>
      <c s="34" r="L147"/>
      <c s="34" r="M147"/>
      <c s="53" r="N147"/>
      <c s="34" r="O147"/>
      <c s="34" r="P147"/>
      <c s="34" r="Q147"/>
      <c s="34" r="R147"/>
      <c s="34" r="S147"/>
      <c s="34" r="T147"/>
      <c s="34" r="U147"/>
      <c s="34" r="V147"/>
      <c s="34" r="W147"/>
      <c s="34" r="X147"/>
      <c s="34" r="Y147"/>
    </row>
    <row r="148">
      <c t="s" s="71" r="A148">
        <v>94</v>
      </c>
      <c t="s" s="6" r="B148">
        <v>41</v>
      </c>
      <c s="19" r="C148"/>
      <c t="str" s="34" r="D148">
        <f>IF((C148="W"),2.0,IF((C148="OTW"),2.0,IF((C148="L"),0.0,IF((C148="OTL"),1.0,""))))</f>
        <v/>
      </c>
      <c s="6" r="E148"/>
      <c t="s" s="6" r="F148">
        <v>29</v>
      </c>
      <c t="str" s="17" r="G148">
        <f>IF((C163="W"),"L",IF((C163="OTW"),"OTL",IF((C163="L"),"W",IF((C163="OTL"),"OTW",""))))</f>
        <v/>
      </c>
      <c t="str" s="23" r="H148">
        <f>IF((G148="W"),2.0,IF((G148="OTW"),2.0,IF((G148="L"),0.0,IF((G148="OTL"),1.0,""))))</f>
        <v/>
      </c>
      <c s="34" r="I148"/>
      <c s="34" r="J148"/>
      <c s="34" r="K148"/>
      <c s="34" r="L148"/>
      <c s="34" r="M148"/>
      <c s="53" r="N148"/>
      <c s="34" r="O148"/>
      <c s="34" r="P148"/>
      <c s="34" r="Q148"/>
      <c s="34" r="R148"/>
      <c s="34" r="S148"/>
      <c s="34" r="T148"/>
      <c s="34" r="U148"/>
      <c s="34" r="V148"/>
      <c s="34" r="W148"/>
      <c s="34" r="X148"/>
      <c s="34" r="Y148"/>
    </row>
    <row r="149">
      <c s="3" r="A149"/>
      <c t="s" s="34" r="B149">
        <v>27</v>
      </c>
      <c s="11" r="C149"/>
      <c t="str" s="34" r="D149">
        <f>IF((C149="W"),2.0,IF((C149="OTW"),2.0,IF((C149="L"),0.0,IF((C149="OTL"),1.0,""))))</f>
        <v/>
      </c>
      <c s="34" r="E149"/>
      <c t="s" s="34" r="F149">
        <v>95</v>
      </c>
      <c t="str" s="17" r="G149">
        <f>IF((C164="W"),"L",IF((C164="OTW"),"OTL",IF((C164="L"),"W",IF((C164="OTL"),"OTW",""))))</f>
        <v/>
      </c>
      <c t="str" s="23" r="H149">
        <f>IF((G149="W"),2.0,IF((G149="OTW"),2.0,IF((G149="L"),0.0,IF((G149="OTL"),1.0,""))))</f>
        <v/>
      </c>
      <c s="34" r="I149"/>
      <c s="34" r="J149"/>
      <c s="34" r="K149"/>
      <c s="34" r="L149"/>
      <c s="34" r="M149"/>
      <c s="53" r="N149"/>
      <c s="34" r="O149"/>
      <c s="34" r="P149"/>
      <c s="34" r="Q149"/>
      <c s="34" r="R149"/>
      <c s="34" r="S149"/>
      <c s="34" r="T149"/>
      <c s="34" r="U149"/>
      <c s="34" r="V149"/>
      <c s="34" r="W149"/>
      <c s="34" r="X149"/>
      <c s="34" r="Y149"/>
    </row>
    <row r="150">
      <c s="2" r="A150"/>
      <c t="s" s="74" r="B150">
        <v>39</v>
      </c>
      <c s="8" r="C150"/>
      <c t="str" s="34" r="D150">
        <f>IF((C150="W"),2.0,IF((C150="OTW"),2.0,IF((C150="L"),0.0,IF((C150="OTL"),1.0,""))))</f>
        <v/>
      </c>
      <c s="74" r="E150"/>
      <c t="s" s="74" r="F150">
        <v>44</v>
      </c>
      <c t="str" s="17" r="G150">
        <f>IF((C165="W"),"L",IF((C165="OTW"),"OTL",IF((C165="L"),"W",IF((C165="OTL"),"OTW",""))))</f>
        <v/>
      </c>
      <c t="str" s="23" r="H150">
        <f>IF((G150="W"),2.0,IF((G150="OTW"),2.0,IF((G150="L"),0.0,IF((G150="OTL"),1.0,""))))</f>
        <v/>
      </c>
      <c s="34" r="I150"/>
      <c s="34" r="J150"/>
      <c s="34" r="K150"/>
      <c s="34" r="L150"/>
      <c s="34" r="M150"/>
      <c s="53" r="N150"/>
      <c s="34" r="O150"/>
      <c s="34" r="P150"/>
      <c s="34" r="Q150"/>
      <c s="34" r="R150"/>
      <c s="34" r="S150"/>
      <c s="34" r="T150"/>
      <c s="34" r="U150"/>
      <c s="34" r="V150"/>
      <c s="34" r="W150"/>
      <c s="34" r="X150"/>
      <c s="34" r="Y150"/>
    </row>
    <row r="151">
      <c t="s" s="71" r="A151">
        <v>96</v>
      </c>
      <c t="s" s="6" r="B151">
        <v>33</v>
      </c>
      <c s="19" r="C151"/>
      <c t="str" s="34" r="D151">
        <f>IF((C151="W"),2.0,IF((C151="OTW"),2.0,IF((C151="L"),0.0,IF((C151="OTL"),1.0,""))))</f>
        <v/>
      </c>
      <c s="6" r="E151"/>
      <c t="s" s="6" r="F151">
        <v>35</v>
      </c>
      <c t="str" s="17" r="G151">
        <f>IF((C166="W"),"L",IF((C166="OTW"),"OTL",IF((C166="L"),"W",IF((C166="OTL"),"OTW",""))))</f>
        <v/>
      </c>
      <c t="str" s="23" r="H151">
        <f>IF((G151="W"),2.0,IF((G151="OTW"),2.0,IF((G151="L"),0.0,IF((G151="OTL"),1.0,""))))</f>
        <v/>
      </c>
      <c s="34" r="I151"/>
      <c s="34" r="J151"/>
      <c s="34" r="K151"/>
      <c s="34" r="L151"/>
      <c s="34" r="M151"/>
      <c s="53" r="N151"/>
      <c s="34" r="O151"/>
      <c s="34" r="P151"/>
      <c s="34" r="Q151"/>
      <c s="34" r="R151"/>
      <c s="34" r="S151"/>
      <c s="34" r="T151"/>
      <c s="34" r="U151"/>
      <c s="34" r="V151"/>
      <c s="34" r="W151"/>
      <c s="34" r="X151"/>
      <c s="34" r="Y151"/>
    </row>
    <row r="152">
      <c s="3" r="A152"/>
      <c t="s" s="34" r="B152">
        <v>40</v>
      </c>
      <c s="11" r="C152"/>
      <c t="str" s="34" r="D152">
        <f>IF((C152="W"),2.0,IF((C152="OTW"),2.0,IF((C152="L"),0.0,IF((C152="OTL"),1.0,""))))</f>
        <v/>
      </c>
      <c s="34" r="E152"/>
      <c t="s" s="34" r="F152">
        <v>87</v>
      </c>
      <c t="str" s="17" r="G152">
        <f>IF((C167="W"),"L",IF((C167="OTW"),"OTL",IF((C167="L"),"W",IF((C167="OTL"),"OTW",""))))</f>
        <v/>
      </c>
      <c t="str" s="23" r="H152">
        <f>IF((G152="W"),2.0,IF((G152="OTW"),2.0,IF((G152="L"),0.0,IF((G152="OTL"),1.0,""))))</f>
        <v/>
      </c>
      <c s="34" r="I152"/>
      <c s="34" r="J152"/>
      <c s="34" r="K152"/>
      <c s="34" r="L152"/>
      <c s="34" r="M152"/>
      <c s="53" r="N152"/>
      <c s="34" r="O152"/>
      <c s="34" r="P152"/>
      <c s="34" r="Q152"/>
      <c s="34" r="R152"/>
      <c s="34" r="S152"/>
      <c s="34" r="T152"/>
      <c s="34" r="U152"/>
      <c s="34" r="V152"/>
      <c s="34" r="W152"/>
      <c s="34" r="X152"/>
      <c s="34" r="Y152"/>
    </row>
    <row r="153">
      <c s="3" r="A153"/>
      <c t="s" s="34" r="B153">
        <v>42</v>
      </c>
      <c s="11" r="C153"/>
      <c t="str" s="34" r="D153">
        <f>IF((C153="W"),2.0,IF((C153="OTW"),2.0,IF((C153="L"),0.0,IF((C153="OTL"),1.0,""))))</f>
        <v/>
      </c>
      <c s="34" r="E153"/>
      <c t="s" s="34" r="F153">
        <v>32</v>
      </c>
      <c t="str" s="17" r="G153">
        <f>IF((C168="W"),"L",IF((C168="OTW"),"OTL",IF((C168="L"),"W",IF((C168="OTL"),"OTW",""))))</f>
        <v/>
      </c>
      <c t="str" s="23" r="H153">
        <f>IF((G153="W"),2.0,IF((G153="OTW"),2.0,IF((G153="L"),0.0,IF((G153="OTL"),1.0,""))))</f>
        <v/>
      </c>
      <c s="34" r="I153"/>
      <c s="34" r="J153"/>
      <c s="34" r="K153"/>
      <c s="34" r="L153"/>
      <c s="34" r="M153"/>
      <c s="53" r="N153"/>
      <c s="34" r="O153"/>
      <c s="34" r="P153"/>
      <c s="34" r="Q153"/>
      <c s="34" r="R153"/>
      <c s="34" r="S153"/>
      <c s="34" r="T153"/>
      <c s="34" r="U153"/>
      <c s="34" r="V153"/>
      <c s="34" r="W153"/>
      <c s="34" r="X153"/>
      <c s="34" r="Y153"/>
    </row>
    <row r="154">
      <c s="2" r="A154"/>
      <c t="s" s="74" r="B154">
        <v>46</v>
      </c>
      <c s="8" r="C154"/>
      <c t="str" s="34" r="D154">
        <f>IF((C154="W"),2.0,IF((C154="OTW"),2.0,IF((C154="L"),0.0,IF((C154="OTL"),1.0,""))))</f>
        <v/>
      </c>
      <c s="74" r="E154"/>
      <c t="s" s="74" r="F154">
        <v>90</v>
      </c>
      <c t="str" s="17" r="G154">
        <f>IF((C169="W"),"L",IF((C169="OTW"),"OTL",IF((C169="L"),"W",IF((C169="OTL"),"OTW",""))))</f>
        <v/>
      </c>
      <c t="str" s="23" r="H154">
        <f>IF((G154="W"),2.0,IF((G154="OTW"),2.0,IF((G154="L"),0.0,IF((G154="OTL"),1.0,""))))</f>
        <v/>
      </c>
      <c s="34" r="I154"/>
      <c s="34" r="J154"/>
      <c s="34" r="K154"/>
      <c s="34" r="L154"/>
      <c s="34" r="M154"/>
      <c s="53" r="N154"/>
      <c s="34" r="O154"/>
      <c s="34" r="P154"/>
      <c s="34" r="Q154"/>
      <c s="34" r="R154"/>
      <c s="34" r="S154"/>
      <c s="34" r="T154"/>
      <c s="34" r="U154"/>
      <c s="34" r="V154"/>
      <c s="34" r="W154"/>
      <c s="34" r="X154"/>
      <c s="34" r="Y154"/>
    </row>
    <row r="155">
      <c t="s" s="71" r="A155">
        <v>97</v>
      </c>
      <c t="s" s="6" r="B155">
        <v>39</v>
      </c>
      <c s="19" r="C155"/>
      <c t="str" s="34" r="D155">
        <f>IF((C155="W"),2.0,IF((C155="OTW"),2.0,IF((C155="L"),0.0,IF((C155="OTL"),1.0,""))))</f>
        <v/>
      </c>
      <c s="6" r="E155"/>
      <c t="s" s="6" r="F155">
        <v>29</v>
      </c>
      <c t="str" s="17" r="G155">
        <f>IF((C170="W"),"L",IF((C170="OTW"),"OTL",IF((C170="L"),"W",IF((C170="OTL"),"OTW",""))))</f>
        <v/>
      </c>
      <c t="str" s="23" r="H155">
        <f>IF((G155="W"),2.0,IF((G155="OTW"),2.0,IF((G155="L"),0.0,IF((G155="OTL"),1.0,""))))</f>
        <v/>
      </c>
      <c s="34" r="I155"/>
      <c s="34" r="J155"/>
      <c s="34" r="K155"/>
      <c s="34" r="L155"/>
      <c s="34" r="M155"/>
      <c s="53" r="N155"/>
      <c s="34" r="O155"/>
      <c s="34" r="P155"/>
      <c s="34" r="Q155"/>
      <c s="34" r="R155"/>
      <c s="34" r="S155"/>
      <c s="34" r="T155"/>
      <c s="34" r="U155"/>
      <c s="34" r="V155"/>
      <c s="34" r="W155"/>
      <c s="34" r="X155"/>
      <c s="34" r="Y155"/>
    </row>
    <row r="156">
      <c s="3" r="A156"/>
      <c t="s" s="34" r="B156">
        <v>35</v>
      </c>
      <c s="11" r="C156"/>
      <c t="str" s="34" r="D156">
        <f>IF((C156="W"),2.0,IF((C156="OTW"),2.0,IF((C156="L"),0.0,IF((C156="OTL"),1.0,""))))</f>
        <v/>
      </c>
      <c s="34" r="E156"/>
      <c t="s" s="34" r="F156">
        <v>42</v>
      </c>
      <c t="str" s="17" r="G156">
        <f>IF((C171="W"),"L",IF((C171="OTW"),"OTL",IF((C171="L"),"W",IF((C171="OTL"),"OTW",""))))</f>
        <v/>
      </c>
      <c t="str" s="23" r="H156">
        <f>IF((G156="W"),2.0,IF((G156="OTW"),2.0,IF((G156="L"),0.0,IF((G156="OTL"),1.0,""))))</f>
        <v/>
      </c>
      <c s="34" r="I156"/>
      <c s="34" r="J156"/>
      <c s="34" r="K156"/>
      <c s="34" r="L156"/>
      <c s="34" r="M156"/>
      <c s="53" r="N156"/>
      <c s="34" r="O156"/>
      <c s="34" r="P156"/>
      <c s="34" r="Q156"/>
      <c s="34" r="R156"/>
      <c s="34" r="S156"/>
      <c s="34" r="T156"/>
      <c s="34" r="U156"/>
      <c s="34" r="V156"/>
      <c s="34" r="W156"/>
      <c s="34" r="X156"/>
      <c s="34" r="Y156"/>
    </row>
    <row r="157">
      <c s="3" r="A157"/>
      <c t="s" s="34" r="B157">
        <v>27</v>
      </c>
      <c s="11" r="C157"/>
      <c t="str" s="34" r="D157">
        <f>IF((C157="W"),2.0,IF((C157="OTW"),2.0,IF((C157="L"),0.0,IF((C157="OTL"),1.0,""))))</f>
        <v/>
      </c>
      <c s="34" r="E157"/>
      <c t="s" s="34" r="F157">
        <v>93</v>
      </c>
      <c t="str" s="17" r="G157">
        <f>IF((C172="W"),"L",IF((C172="OTW"),"OTL",IF((C172="L"),"W",IF((C172="OTL"),"OTW",""))))</f>
        <v/>
      </c>
      <c t="str" s="23" r="H157">
        <f>IF((G157="W"),2.0,IF((G157="OTW"),2.0,IF((G157="L"),0.0,IF((G157="OTL"),1.0,""))))</f>
        <v/>
      </c>
      <c s="34" r="I157"/>
      <c s="34" r="J157"/>
      <c s="34" r="K157"/>
      <c s="34" r="L157"/>
      <c s="34" r="M157"/>
      <c s="53" r="N157"/>
      <c s="34" r="O157"/>
      <c s="34" r="P157"/>
      <c s="34" r="Q157"/>
      <c s="34" r="R157"/>
      <c s="34" r="S157"/>
      <c s="34" r="T157"/>
      <c s="34" r="U157"/>
      <c s="34" r="V157"/>
      <c s="34" r="W157"/>
      <c s="34" r="X157"/>
      <c s="34" r="Y157"/>
    </row>
    <row customHeight="1" s="34" customFormat="1" r="158" ht="15.0">
      <c s="3" r="A158"/>
      <c t="s" s="40" r="B158">
        <v>28</v>
      </c>
      <c s="28" r="C158"/>
      <c t="str" s="34" r="D158">
        <f>IF((C158="W"),2.0,IF((C158="OTW"),2.0,IF((C158="L"),0.0,IF((C158="OTL"),1.0,""))))</f>
        <v/>
      </c>
      <c s="40" r="E158"/>
      <c t="s" s="40" r="F158">
        <v>41</v>
      </c>
      <c t="str" s="17" r="G158">
        <f>IF((C173="W"),"L",IF((C173="OTW"),"OTL",IF((C173="L"),"W",IF((C173="OTL"),"OTW",""))))</f>
        <v/>
      </c>
      <c t="str" s="23" r="H158">
        <f>IF((G158="W"),2.0,IF((G158="OTW"),2.0,IF((G158="L"),0.0,IF((G158="OTL"),1.0,""))))</f>
        <v/>
      </c>
      <c s="34" r="I158"/>
      <c s="34" r="J158"/>
      <c s="34" r="K158"/>
      <c s="34" r="L158"/>
      <c s="34" r="M158"/>
      <c s="53" r="N158"/>
      <c s="34" r="O158"/>
      <c s="34" r="P158"/>
      <c s="34" r="Q158"/>
      <c s="34" r="R158"/>
      <c s="34" r="S158"/>
      <c s="34" r="T158"/>
      <c s="34" r="U158"/>
      <c s="34" r="V158"/>
      <c s="34" r="W158"/>
      <c s="34" r="X158"/>
      <c s="34" r="Y158"/>
    </row>
    <row r="159">
      <c s="3" r="A159"/>
      <c t="s" s="34" r="B159">
        <v>33</v>
      </c>
      <c s="11" r="C159"/>
      <c t="str" s="34" r="D159">
        <f>IF((C159="W"),2.0,IF((C159="OTW"),2.0,IF((C159="L"),0.0,IF((C159="OTL"),1.0,""))))</f>
        <v/>
      </c>
      <c s="34" r="E159"/>
      <c t="s" s="34" r="F159">
        <v>95</v>
      </c>
      <c t="str" s="17" r="G159">
        <f>IF((C174="W"),"L",IF((C174="OTW"),"OTL",IF((C174="L"),"W",IF((C174="OTL"),"OTW",""))))</f>
        <v/>
      </c>
      <c t="str" s="23" r="H159">
        <f>IF((G159="W"),2.0,IF((G159="OTW"),2.0,IF((G159="L"),0.0,IF((G159="OTL"),1.0,""))))</f>
        <v/>
      </c>
      <c s="34" r="I159"/>
      <c s="34" r="J159"/>
      <c s="34" r="K159"/>
      <c s="34" r="L159"/>
      <c s="34" r="M159"/>
      <c s="53" r="N159"/>
      <c s="34" r="O159"/>
      <c s="34" r="P159"/>
      <c s="34" r="Q159"/>
      <c s="34" r="R159"/>
      <c s="34" r="S159"/>
      <c s="34" r="T159"/>
      <c s="34" r="U159"/>
      <c s="34" r="V159"/>
      <c s="34" r="W159"/>
      <c s="34" r="X159"/>
      <c s="34" r="Y159"/>
    </row>
    <row r="160">
      <c s="2" r="A160"/>
      <c t="s" s="74" r="B160">
        <v>30</v>
      </c>
      <c s="8" r="C160"/>
      <c t="str" s="34" r="D160">
        <f>IF((C160="W"),2.0,IF((C160="OTW"),2.0,IF((C160="L"),0.0,IF((C160="OTL"),1.0,""))))</f>
        <v/>
      </c>
      <c s="74" r="E160"/>
      <c t="s" s="74" r="F160">
        <v>44</v>
      </c>
      <c t="str" s="17" r="G160">
        <f>IF((C175="W"),"L",IF((C175="OTW"),"OTL",IF((C175="L"),"W",IF((C175="OTL"),"OTW",""))))</f>
        <v/>
      </c>
      <c t="str" s="23" r="H160">
        <f>IF((G160="W"),2.0,IF((G160="OTW"),2.0,IF((G160="L"),0.0,IF((G160="OTL"),1.0,""))))</f>
        <v/>
      </c>
      <c s="34" r="I160"/>
      <c s="34" r="J160"/>
      <c s="34" r="K160"/>
      <c s="34" r="L160"/>
      <c s="34" r="M160"/>
      <c s="53" r="N160"/>
      <c s="34" r="O160"/>
      <c s="34" r="P160"/>
      <c s="34" r="Q160"/>
      <c s="34" r="R160"/>
      <c s="34" r="S160"/>
      <c s="34" r="T160"/>
      <c s="34" r="U160"/>
      <c s="34" r="V160"/>
      <c s="34" r="W160"/>
      <c s="34" r="X160"/>
      <c s="34" r="Y160"/>
    </row>
    <row r="161">
      <c t="s" s="71" r="A161">
        <v>98</v>
      </c>
      <c t="s" s="6" r="B161">
        <v>46</v>
      </c>
      <c s="19" r="C161"/>
      <c t="str" s="34" r="D161">
        <f>IF((C161="W"),2.0,IF((C161="OTW"),2.0,IF((C161="L"),0.0,IF((C161="OTL"),1.0,""))))</f>
        <v/>
      </c>
      <c s="6" r="E161"/>
      <c t="s" s="6" r="F161">
        <v>32</v>
      </c>
      <c t="str" s="17" r="G161">
        <f>IF((C176="W"),"L",IF((C176="OTW"),"OTL",IF((C176="L"),"W",IF((C176="OTL"),"OTW",""))))</f>
        <v/>
      </c>
      <c t="str" s="23" r="H161">
        <f>IF((G161="W"),2.0,IF((G161="OTW"),2.0,IF((G161="L"),0.0,IF((G161="OTL"),1.0,""))))</f>
        <v/>
      </c>
      <c s="34" r="I161"/>
      <c s="34" r="J161"/>
      <c s="34" r="K161"/>
      <c s="34" r="L161"/>
      <c s="34" r="M161"/>
      <c s="53" r="N161"/>
      <c s="34" r="O161"/>
      <c s="34" r="P161"/>
      <c s="34" r="Q161"/>
      <c s="34" r="R161"/>
      <c s="34" r="S161"/>
      <c s="34" r="T161"/>
      <c s="34" r="U161"/>
      <c s="34" r="V161"/>
      <c s="34" r="W161"/>
      <c s="34" r="X161"/>
      <c s="34" r="Y161"/>
    </row>
    <row r="162">
      <c s="2" r="A162"/>
      <c t="s" s="74" r="B162">
        <v>30</v>
      </c>
      <c s="8" r="C162"/>
      <c t="str" s="34" r="D162">
        <f>IF((C162="W"),2.0,IF((C162="OTW"),2.0,IF((C162="L"),0.0,IF((C162="OTL"),1.0,""))))</f>
        <v/>
      </c>
      <c s="74" r="E162"/>
      <c t="s" s="74" r="F162">
        <v>90</v>
      </c>
      <c t="str" s="17" r="G162">
        <f>IF((C177="W"),"L",IF((C177="OTW"),"OTL",IF((C177="L"),"W",IF((C177="OTL"),"OTW",""))))</f>
        <v/>
      </c>
      <c t="str" s="23" r="H162">
        <f>IF((G162="W"),2.0,IF((G162="OTW"),2.0,IF((G162="L"),0.0,IF((G162="OTL"),1.0,""))))</f>
        <v/>
      </c>
      <c s="34" r="I162"/>
      <c s="34" r="J162"/>
      <c s="34" r="K162"/>
      <c s="34" r="L162"/>
      <c s="34" r="M162"/>
      <c s="53" r="N162"/>
      <c s="34" r="O162"/>
      <c s="34" r="P162"/>
      <c s="34" r="Q162"/>
      <c s="34" r="R162"/>
      <c s="34" r="S162"/>
      <c s="34" r="T162"/>
      <c s="34" r="U162"/>
      <c s="34" r="V162"/>
      <c s="34" r="W162"/>
      <c s="34" r="X162"/>
      <c s="34" r="Y162"/>
    </row>
    <row r="163">
      <c t="s" s="71" r="A163">
        <v>99</v>
      </c>
      <c t="s" s="6" r="B163">
        <v>100</v>
      </c>
      <c s="19" r="C163"/>
      <c t="str" s="34" r="D163">
        <f>IF((C163="W"),2.0,IF((C163="OTW"),2.0,IF((C163="L"),0.0,IF((C163="OTL"),1.0,""))))</f>
        <v/>
      </c>
      <c s="6" r="E163"/>
      <c t="s" s="6" r="F163">
        <v>42</v>
      </c>
      <c t="str" s="17" r="G163">
        <f>IF((C178="W"),"L",IF((C178="OTW"),"OTL",IF((C178="L"),"W",IF((C178="OTL"),"OTW",""))))</f>
        <v/>
      </c>
      <c t="str" s="23" r="H163">
        <f>IF((G163="W"),2.0,IF((G163="OTW"),2.0,IF((G163="L"),0.0,IF((G163="OTL"),1.0,""))))</f>
        <v/>
      </c>
      <c s="34" r="I163"/>
      <c s="34" r="J163"/>
      <c s="34" r="K163"/>
      <c s="34" r="L163"/>
      <c s="34" r="M163"/>
      <c s="53" r="N163"/>
      <c s="34" r="O163"/>
      <c s="34" r="P163"/>
      <c s="34" r="Q163"/>
      <c s="34" r="R163"/>
      <c s="34" r="S163"/>
      <c s="34" r="T163"/>
      <c s="34" r="U163"/>
      <c s="34" r="V163"/>
      <c s="34" r="W163"/>
      <c s="34" r="X163"/>
      <c s="34" r="Y163"/>
    </row>
    <row r="164">
      <c s="2" r="A164"/>
      <c t="s" s="74" r="B164">
        <v>41</v>
      </c>
      <c s="8" r="C164"/>
      <c t="str" s="34" r="D164">
        <f>IF((C164="W"),2.0,IF((C164="OTW"),2.0,IF((C164="L"),0.0,IF((C164="OTL"),1.0,""))))</f>
        <v/>
      </c>
      <c s="74" r="E164"/>
      <c t="s" s="74" r="F164">
        <v>101</v>
      </c>
      <c t="str" s="17" r="G164">
        <f>IF((C179="W"),"L",IF((C179="OTW"),"OTL",IF((C179="L"),"W",IF((C179="OTL"),"OTW",""))))</f>
        <v/>
      </c>
      <c t="str" s="23" r="H164">
        <f>IF((G164="W"),2.0,IF((G164="OTW"),2.0,IF((G164="L"),0.0,IF((G164="OTL"),1.0,""))))</f>
        <v/>
      </c>
      <c s="34" r="I164"/>
      <c s="34" r="J164"/>
      <c s="34" r="K164"/>
      <c s="34" r="L164"/>
      <c s="34" r="M164"/>
      <c s="53" r="N164"/>
      <c s="34" r="O164"/>
      <c s="34" r="P164"/>
      <c s="34" r="Q164"/>
      <c s="34" r="R164"/>
      <c s="34" r="S164"/>
      <c s="34" r="T164"/>
      <c s="34" r="U164"/>
      <c s="34" r="V164"/>
      <c s="34" r="W164"/>
      <c s="34" r="X164"/>
      <c s="34" r="Y164"/>
    </row>
    <row r="165">
      <c t="s" s="71" r="A165">
        <v>102</v>
      </c>
      <c t="s" s="6" r="B165">
        <v>40</v>
      </c>
      <c s="19" r="C165"/>
      <c t="str" s="34" r="D165">
        <f>IF((C165="W"),2.0,IF((C165="OTW"),2.0,IF((C165="L"),0.0,IF((C165="OTL"),1.0,""))))</f>
        <v/>
      </c>
      <c s="6" r="E165"/>
      <c t="s" s="6" r="F165">
        <v>35</v>
      </c>
      <c t="str" s="17" r="G165">
        <f>IF((C180="W"),"L",IF((C180="OTW"),"OTL",IF((C180="L"),"W",IF((C180="OTL"),"OTW",""))))</f>
        <v/>
      </c>
      <c t="str" s="23" r="H165">
        <f>IF((G165="W"),2.0,IF((G165="OTW"),2.0,IF((G165="L"),0.0,IF((G165="OTL"),1.0,""))))</f>
        <v/>
      </c>
      <c s="34" r="I165"/>
      <c s="34" r="J165"/>
      <c s="34" r="K165"/>
      <c s="34" r="L165"/>
      <c s="34" r="M165"/>
      <c s="53" r="N165"/>
      <c s="34" r="O165"/>
      <c s="34" r="P165"/>
      <c s="34" r="Q165"/>
      <c s="34" r="R165"/>
      <c s="34" r="S165"/>
      <c s="34" r="T165"/>
      <c s="34" r="U165"/>
      <c s="34" r="V165"/>
      <c s="34" r="W165"/>
      <c s="34" r="X165"/>
      <c s="34" r="Y165"/>
    </row>
    <row r="166">
      <c s="3" r="A166"/>
      <c t="s" s="34" r="B166">
        <v>37</v>
      </c>
      <c s="11" r="C166"/>
      <c t="str" s="34" r="D166">
        <f>IF((C166="W"),2.0,IF((C166="OTW"),2.0,IF((C166="L"),0.0,IF((C166="OTL"),1.0,""))))</f>
        <v/>
      </c>
      <c s="34" r="E166"/>
      <c t="s" s="34" r="F166">
        <v>39</v>
      </c>
      <c t="str" s="17" r="G166">
        <f>IF((C181="W"),"L",IF((C181="OTW"),"OTL",IF((C181="L"),"W",IF((C181="OTL"),"OTW",""))))</f>
        <v/>
      </c>
      <c t="str" s="23" r="H166">
        <f>IF((G166="W"),2.0,IF((G166="OTW"),2.0,IF((G166="L"),0.0,IF((G166="OTL"),1.0,""))))</f>
        <v/>
      </c>
      <c s="34" r="I166"/>
      <c s="34" r="J166"/>
      <c s="34" r="K166"/>
      <c s="34" r="L166"/>
      <c s="34" r="M166"/>
      <c s="53" r="N166"/>
      <c s="34" r="O166"/>
      <c s="34" r="P166"/>
      <c s="34" r="Q166"/>
      <c s="34" r="R166"/>
      <c s="34" r="S166"/>
      <c s="34" r="T166"/>
      <c s="34" r="U166"/>
      <c s="34" r="V166"/>
      <c s="34" r="W166"/>
      <c s="34" r="X166"/>
      <c s="34" r="Y166"/>
    </row>
    <row r="167">
      <c s="3" r="A167"/>
      <c t="s" s="34" r="B167">
        <v>43</v>
      </c>
      <c s="11" r="C167"/>
      <c t="str" s="34" r="D167">
        <f>IF((C167="W"),2.0,IF((C167="OTW"),2.0,IF((C167="L"),0.0,IF((C167="OTL"),1.0,""))))</f>
        <v/>
      </c>
      <c s="34" r="E167"/>
      <c t="s" s="34" r="F167">
        <v>87</v>
      </c>
      <c t="str" s="17" r="G167">
        <f>IF((C182="W"),"L",IF((C182="OTW"),"OTL",IF((C182="L"),"W",IF((C182="OTL"),"OTW",""))))</f>
        <v/>
      </c>
      <c t="str" s="23" r="H167">
        <f>IF((G167="W"),2.0,IF((G167="OTW"),2.0,IF((G167="L"),0.0,IF((G167="OTL"),1.0,""))))</f>
        <v/>
      </c>
      <c s="34" r="I167"/>
      <c s="34" r="J167"/>
      <c s="34" r="K167"/>
      <c s="34" r="L167"/>
      <c s="34" r="M167"/>
      <c s="53" r="N167"/>
      <c s="34" r="O167"/>
      <c s="34" r="P167"/>
      <c s="34" r="Q167"/>
      <c s="34" r="R167"/>
      <c s="34" r="S167"/>
      <c s="34" r="T167"/>
      <c s="34" r="U167"/>
      <c s="34" r="V167"/>
      <c s="34" r="W167"/>
      <c s="34" r="X167"/>
      <c s="34" r="Y167"/>
    </row>
    <row customHeight="1" s="34" customFormat="1" r="168" ht="15.0">
      <c s="3" r="A168"/>
      <c t="s" s="40" r="B168">
        <v>32</v>
      </c>
      <c s="28" r="C168"/>
      <c t="str" s="34" r="D168">
        <f>IF((C168="W"),2.0,IF((C168="OTW"),2.0,IF((C168="L"),0.0,IF((C168="OTL"),1.0,""))))</f>
        <v/>
      </c>
      <c s="40" r="E168"/>
      <c t="s" s="40" r="F168">
        <v>44</v>
      </c>
      <c t="str" s="17" r="G168">
        <f>IF((C183="W"),"L",IF((C183="OTW"),"OTL",IF((C183="L"),"W",IF((C183="OTL"),"OTW",""))))</f>
        <v/>
      </c>
      <c t="str" s="23" r="H168">
        <f>IF((G168="W"),2.0,IF((G168="OTW"),2.0,IF((G168="L"),0.0,IF((G168="OTL"),1.0,""))))</f>
        <v/>
      </c>
      <c s="34" r="I168"/>
      <c s="34" r="J168"/>
      <c s="34" r="K168"/>
      <c s="34" r="L168"/>
      <c s="34" r="M168"/>
      <c s="53" r="N168"/>
      <c s="34" r="O168"/>
      <c s="34" r="P168"/>
      <c s="34" r="Q168"/>
      <c s="34" r="R168"/>
      <c s="34" r="S168"/>
      <c s="34" r="T168"/>
      <c s="34" r="U168"/>
      <c s="34" r="V168"/>
      <c s="34" r="W168"/>
      <c s="34" r="X168"/>
      <c s="34" r="Y168"/>
    </row>
    <row r="169">
      <c s="3" r="A169"/>
      <c t="s" s="34" r="B169">
        <v>29</v>
      </c>
      <c s="11" r="C169"/>
      <c t="str" s="34" r="D169">
        <f>IF((C169="W"),2.0,IF((C169="OTW"),2.0,IF((C169="L"),0.0,IF((C169="OTL"),1.0,""))))</f>
        <v/>
      </c>
      <c s="34" r="E169"/>
      <c t="s" s="34" r="F169">
        <v>92</v>
      </c>
      <c t="str" s="17" r="G169">
        <f>IF((C184="W"),"L",IF((C184="OTW"),"OTL",IF((C184="L"),"W",IF((C184="OTL"),"OTW",""))))</f>
        <v/>
      </c>
      <c t="str" s="23" r="H169">
        <f>IF((G169="W"),2.0,IF((G169="OTW"),2.0,IF((G169="L"),0.0,IF((G169="OTL"),1.0,""))))</f>
        <v/>
      </c>
      <c s="34" r="I169"/>
      <c s="34" r="J169"/>
      <c s="34" r="K169"/>
      <c s="34" r="L169"/>
      <c s="34" r="M169"/>
      <c s="53" r="N169"/>
      <c s="34" r="O169"/>
      <c s="34" r="P169"/>
      <c s="34" r="Q169"/>
      <c s="34" r="R169"/>
      <c s="34" r="S169"/>
      <c s="34" r="T169"/>
      <c s="34" r="U169"/>
      <c s="34" r="V169"/>
      <c s="34" r="W169"/>
      <c s="34" r="X169"/>
      <c s="34" r="Y169"/>
    </row>
    <row r="170">
      <c s="2" r="A170"/>
      <c t="s" s="74" r="B170">
        <v>30</v>
      </c>
      <c s="8" r="C170"/>
      <c t="str" s="34" r="D170">
        <f>IF((C170="W"),2.0,IF((C170="OTW"),2.0,IF((C170="L"),0.0,IF((C170="OTL"),1.0,""))))</f>
        <v/>
      </c>
      <c s="74" r="E170"/>
      <c t="s" s="74" r="F170">
        <v>33</v>
      </c>
      <c t="str" s="17" r="G170">
        <f>IF((C185="W"),"L",IF((C185="OTW"),"OTL",IF((C185="L"),"W",IF((C185="OTL"),"OTW",""))))</f>
        <v/>
      </c>
      <c t="str" s="23" r="H170">
        <f>IF((G170="W"),2.0,IF((G170="OTW"),2.0,IF((G170="L"),0.0,IF((G170="OTL"),1.0,""))))</f>
        <v/>
      </c>
      <c s="34" r="I170"/>
      <c s="34" r="J170"/>
      <c s="34" r="K170"/>
      <c s="34" r="L170"/>
      <c s="34" r="M170"/>
      <c s="53" r="N170"/>
      <c s="34" r="O170"/>
      <c s="34" r="P170"/>
      <c s="34" r="Q170"/>
      <c s="34" r="R170"/>
      <c s="34" r="S170"/>
      <c s="34" r="T170"/>
      <c s="34" r="U170"/>
      <c s="34" r="V170"/>
      <c s="34" r="W170"/>
      <c s="34" r="X170"/>
      <c s="34" r="Y170"/>
    </row>
    <row r="171">
      <c t="s" s="22" r="A171">
        <v>103</v>
      </c>
      <c t="s" s="29" r="B171">
        <v>42</v>
      </c>
      <c s="13" r="C171"/>
      <c t="str" s="34" r="D171">
        <f>IF((C171="W"),2.0,IF((C171="OTW"),2.0,IF((C171="L"),0.0,IF((C171="OTL"),1.0,""))))</f>
        <v/>
      </c>
      <c s="29" r="E171"/>
      <c t="s" s="29" r="F171">
        <v>93</v>
      </c>
      <c t="str" s="17" r="G171">
        <f>IF((C113="W"),"L",IF((C113="OTW"),"OTL",IF((C113="L"),"W",IF((C113="OTL"),"OTW",""))))</f>
        <v/>
      </c>
      <c t="str" s="23" r="H171">
        <f>IF((G171="W"),2.0,IF((G171="OTW"),2.0,IF((G171="L"),0.0,IF((G171="OTL"),1.0,""))))</f>
        <v/>
      </c>
      <c s="34" r="I171"/>
      <c s="34" r="J171"/>
      <c s="34" r="K171"/>
      <c s="34" r="L171"/>
      <c s="34" r="M171"/>
      <c s="53" r="N171"/>
      <c s="34" r="O171"/>
      <c s="34" r="P171"/>
      <c s="34" r="Q171"/>
      <c s="34" r="R171"/>
      <c s="34" r="S171"/>
      <c s="34" r="T171"/>
      <c s="34" r="U171"/>
      <c s="34" r="V171"/>
      <c s="34" r="W171"/>
      <c s="34" r="X171"/>
      <c s="34" r="Y171"/>
    </row>
    <row r="172">
      <c t="s" s="71" r="A172">
        <v>104</v>
      </c>
      <c t="s" s="6" r="B172">
        <v>27</v>
      </c>
      <c s="19" r="C172"/>
      <c t="str" s="34" r="D172">
        <f>IF((C172="W"),2.0,IF((C172="OTW"),2.0,IF((C172="L"),0.0,IF((C172="OTL"),1.0,""))))</f>
        <v/>
      </c>
      <c s="6" r="E172"/>
      <c t="s" s="6" r="F172">
        <v>29</v>
      </c>
      <c t="str" s="17" r="G172">
        <f>IF((C114="W"),"L",IF((C114="OTW"),"OTL",IF((C114="L"),"W",IF((C114="OTL"),"OTW",""))))</f>
        <v/>
      </c>
      <c t="str" s="23" r="H172">
        <f>IF((G172="W"),2.0,IF((G172="OTW"),2.0,IF((G172="L"),0.0,IF((G172="OTL"),1.0,""))))</f>
        <v/>
      </c>
      <c s="34" r="I172"/>
      <c s="34" r="J172"/>
      <c s="34" r="K172"/>
      <c s="34" r="L172"/>
      <c s="34" r="M172"/>
      <c s="53" r="N172"/>
      <c s="34" r="O172"/>
      <c s="34" r="P172"/>
      <c s="34" r="Q172"/>
      <c s="34" r="R172"/>
      <c s="34" r="S172"/>
      <c s="34" r="T172"/>
      <c s="34" r="U172"/>
      <c s="34" r="V172"/>
      <c s="34" r="W172"/>
      <c s="34" r="X172"/>
      <c s="34" r="Y172"/>
    </row>
    <row r="173">
      <c s="3" r="A173"/>
      <c t="s" s="34" r="B173">
        <v>28</v>
      </c>
      <c s="11" r="C173"/>
      <c t="str" s="34" r="D173">
        <f>IF((C173="W"),2.0,IF((C173="OTW"),2.0,IF((C173="L"),0.0,IF((C173="OTL"),1.0,""))))</f>
        <v/>
      </c>
      <c s="34" r="E173"/>
      <c t="s" s="34" r="F173">
        <v>39</v>
      </c>
      <c t="str" s="17" r="G173">
        <f>IF((C115="W"),"L",IF((C115="OTW"),"OTL",IF((C115="L"),"W",IF((C115="OTL"),"OTW",""))))</f>
        <v/>
      </c>
      <c t="str" s="23" r="H173">
        <f>IF((G173="W"),2.0,IF((G173="OTW"),2.0,IF((G173="L"),0.0,IF((G173="OTL"),1.0,""))))</f>
        <v/>
      </c>
      <c s="34" r="I173"/>
      <c s="34" r="J173"/>
      <c s="34" r="K173"/>
      <c s="34" r="L173"/>
      <c s="34" r="M173"/>
      <c s="53" r="N173"/>
      <c s="34" r="O173"/>
      <c s="34" r="P173"/>
      <c s="34" r="Q173"/>
      <c s="34" r="R173"/>
      <c s="34" r="S173"/>
      <c s="34" r="T173"/>
      <c s="34" r="U173"/>
      <c s="34" r="V173"/>
      <c s="34" r="W173"/>
      <c s="34" r="X173"/>
      <c s="34" r="Y173"/>
    </row>
    <row r="174">
      <c s="3" r="A174"/>
      <c t="s" s="34" r="B174">
        <v>42</v>
      </c>
      <c s="11" r="C174"/>
      <c t="str" s="34" r="D174">
        <f>IF((C174="W"),2.0,IF((C174="OTW"),2.0,IF((C174="L"),0.0,IF((C174="OTL"),1.0,""))))</f>
        <v/>
      </c>
      <c s="34" r="E174"/>
      <c t="s" s="34" r="F174">
        <v>44</v>
      </c>
      <c t="str" s="17" r="G174">
        <f>IF((C116="W"),"L",IF((C116="OTW"),"OTL",IF((C116="L"),"W",IF((C116="OTL"),"OTW",""))))</f>
        <v/>
      </c>
      <c t="str" s="23" r="H174">
        <f>IF((G174="W"),2.0,IF((G174="OTW"),2.0,IF((G174="L"),0.0,IF((G174="OTL"),1.0,""))))</f>
        <v/>
      </c>
      <c s="34" r="I174"/>
      <c s="34" r="J174"/>
      <c s="34" r="K174"/>
      <c s="34" r="L174"/>
      <c s="34" r="M174"/>
      <c s="53" r="N174"/>
      <c s="34" r="O174"/>
      <c s="34" r="P174"/>
      <c s="34" r="Q174"/>
      <c s="34" r="R174"/>
      <c s="34" r="S174"/>
      <c s="34" r="T174"/>
      <c s="34" r="U174"/>
      <c s="34" r="V174"/>
      <c s="34" r="W174"/>
      <c s="34" r="X174"/>
      <c s="34" r="Y174"/>
    </row>
    <row r="175">
      <c s="3" r="A175"/>
      <c t="s" s="34" r="B175">
        <v>37</v>
      </c>
      <c s="11" r="C175"/>
      <c t="str" s="34" r="D175">
        <f>IF((C175="W"),2.0,IF((C175="OTW"),2.0,IF((C175="L"),0.0,IF((C175="OTL"),1.0,""))))</f>
        <v/>
      </c>
      <c s="34" r="E175"/>
      <c t="s" s="34" r="F175">
        <v>92</v>
      </c>
      <c t="str" s="17" r="G175">
        <f>IF((C117="W"),"L",IF((C117="OTW"),"OTL",IF((C117="L"),"W",IF((C117="OTL"),"OTW",""))))</f>
        <v/>
      </c>
      <c t="str" s="23" r="H175">
        <f>IF((G175="W"),2.0,IF((G175="OTW"),2.0,IF((G175="L"),0.0,IF((G175="OTL"),1.0,""))))</f>
        <v/>
      </c>
      <c s="34" r="I175"/>
      <c s="34" r="J175"/>
      <c s="34" r="K175"/>
      <c s="34" r="L175"/>
      <c s="34" r="M175"/>
      <c s="53" r="N175"/>
      <c s="34" r="O175"/>
      <c s="34" r="P175"/>
      <c s="34" r="Q175"/>
      <c s="34" r="R175"/>
      <c s="34" r="S175"/>
      <c s="34" r="T175"/>
      <c s="34" r="U175"/>
      <c s="34" r="V175"/>
      <c s="34" r="W175"/>
      <c s="34" r="X175"/>
      <c s="34" r="Y175"/>
    </row>
    <row customHeight="1" s="34" customFormat="1" r="176" ht="15.0">
      <c s="3" r="A176"/>
      <c t="s" s="40" r="B176">
        <v>35</v>
      </c>
      <c s="28" r="C176"/>
      <c t="str" s="34" r="D176">
        <f>IF((C176="W"),2.0,IF((C176="OTW"),2.0,IF((C176="L"),0.0,IF((C176="OTL"),1.0,""))))</f>
        <v/>
      </c>
      <c s="40" r="E176"/>
      <c t="s" s="40" r="F176">
        <v>41</v>
      </c>
      <c t="str" s="17" r="G176">
        <f>IF((C118="W"),"L",IF((C118="OTW"),"OTL",IF((C118="L"),"W",IF((C118="OTL"),"OTW",""))))</f>
        <v/>
      </c>
      <c t="str" s="23" r="H176">
        <f>IF((G176="W"),2.0,IF((G176="OTW"),2.0,IF((G176="L"),0.0,IF((G176="OTL"),1.0,""))))</f>
        <v/>
      </c>
      <c s="34" r="I176"/>
      <c s="34" r="J176"/>
      <c s="34" r="K176"/>
      <c s="34" r="L176"/>
      <c s="34" r="M176"/>
      <c s="53" r="N176"/>
      <c s="34" r="O176"/>
      <c s="34" r="P176"/>
      <c s="34" r="Q176"/>
      <c s="34" r="R176"/>
      <c s="34" r="S176"/>
      <c s="34" r="T176"/>
      <c s="34" r="U176"/>
      <c s="34" r="V176"/>
      <c s="34" r="W176"/>
      <c s="34" r="X176"/>
      <c s="34" r="Y176"/>
    </row>
    <row r="177">
      <c s="3" r="A177"/>
      <c t="s" s="34" r="B177">
        <v>43</v>
      </c>
      <c s="11" r="C177"/>
      <c t="str" s="34" r="D177">
        <f>IF((C177="W"),2.0,IF((C177="OTW"),2.0,IF((C177="L"),0.0,IF((C177="OTL"),1.0,""))))</f>
        <v/>
      </c>
      <c s="34" r="E177"/>
      <c t="s" s="34" r="F177">
        <v>30</v>
      </c>
      <c t="str" s="17" r="G177">
        <f>IF((C119="W"),"L",IF((C119="OTW"),"OTL",IF((C119="L"),"W",IF((C119="OTL"),"OTW",""))))</f>
        <v/>
      </c>
      <c t="str" s="23" r="H177">
        <f>IF((G177="W"),2.0,IF((G177="OTW"),2.0,IF((G177="L"),0.0,IF((G177="OTL"),1.0,""))))</f>
        <v/>
      </c>
      <c s="34" r="I177"/>
      <c s="34" r="J177"/>
      <c s="34" r="K177"/>
      <c s="34" r="L177"/>
      <c s="34" r="M177"/>
      <c s="53" r="N177"/>
      <c s="34" r="O177"/>
      <c s="34" r="P177"/>
      <c s="34" r="Q177"/>
      <c s="34" r="R177"/>
      <c s="34" r="S177"/>
      <c s="34" r="T177"/>
      <c s="34" r="U177"/>
      <c s="34" r="V177"/>
      <c s="34" r="W177"/>
      <c s="34" r="X177"/>
      <c s="34" r="Y177"/>
    </row>
    <row r="178">
      <c s="2" r="A178"/>
      <c t="s" s="74" r="B178">
        <v>32</v>
      </c>
      <c s="8" r="C178"/>
      <c t="str" s="34" r="D178">
        <f>IF((C178="W"),2.0,IF((C178="OTW"),2.0,IF((C178="L"),0.0,IF((C178="OTL"),1.0,""))))</f>
        <v/>
      </c>
      <c s="74" r="E178"/>
      <c t="s" s="74" r="F178">
        <v>33</v>
      </c>
      <c t="str" s="17" r="G178">
        <f>IF((C120="W"),"L",IF((C120="OTW"),"OTL",IF((C120="L"),"W",IF((C120="OTL"),"OTW",""))))</f>
        <v/>
      </c>
      <c t="str" s="23" r="H178">
        <f>IF((G178="W"),2.0,IF((G178="OTW"),2.0,IF((G178="L"),0.0,IF((G178="OTL"),1.0,""))))</f>
        <v/>
      </c>
      <c s="34" r="I178"/>
      <c s="34" r="J178"/>
      <c s="34" r="K178"/>
      <c s="34" r="L178"/>
      <c s="34" r="M178"/>
      <c s="53" r="N178"/>
      <c s="34" r="O178"/>
      <c s="34" r="P178"/>
      <c s="34" r="Q178"/>
      <c s="34" r="R178"/>
      <c s="34" r="S178"/>
      <c s="34" r="T178"/>
      <c s="34" r="U178"/>
      <c s="34" r="V178"/>
      <c s="34" r="W178"/>
      <c s="34" r="X178"/>
      <c s="34" r="Y178"/>
    </row>
    <row r="179">
      <c t="s" s="71" r="A179">
        <v>105</v>
      </c>
      <c t="s" s="6" r="B179">
        <v>44</v>
      </c>
      <c s="19" r="C179"/>
      <c t="str" s="34" r="D179">
        <f>IF((C179="W"),2.0,IF((C179="OTW"),2.0,IF((C179="L"),0.0,IF((C179="OTL"),1.0,""))))</f>
        <v/>
      </c>
      <c s="6" r="E179"/>
      <c t="s" s="6" r="F179">
        <v>35</v>
      </c>
      <c t="str" s="17" r="G179">
        <f>IF((C121="W"),"L",IF((C121="OTW"),"OTL",IF((C121="L"),"W",IF((C121="OTL"),"OTW",""))))</f>
        <v/>
      </c>
      <c t="str" s="23" r="H179">
        <f>IF((G179="W"),2.0,IF((G179="OTW"),2.0,IF((G179="L"),0.0,IF((G179="OTL"),1.0,""))))</f>
        <v/>
      </c>
      <c s="34" r="I179"/>
      <c s="34" r="J179"/>
      <c s="34" r="K179"/>
      <c s="34" r="L179"/>
      <c s="34" r="M179"/>
      <c s="53" r="N179"/>
      <c s="34" r="O179"/>
      <c s="34" r="P179"/>
      <c s="34" r="Q179"/>
      <c s="34" r="R179"/>
      <c s="34" r="S179"/>
      <c s="34" r="T179"/>
      <c s="34" r="U179"/>
      <c s="34" r="V179"/>
      <c s="34" r="W179"/>
      <c s="34" r="X179"/>
      <c s="34" r="Y179"/>
    </row>
    <row r="180">
      <c s="3" r="A180"/>
      <c t="s" s="34" r="B180">
        <v>28</v>
      </c>
      <c s="11" r="C180"/>
      <c t="str" s="34" r="D180">
        <f>IF((C180="W"),2.0,IF((C180="OTW"),2.0,IF((C180="L"),0.0,IF((C180="OTL"),1.0,""))))</f>
        <v/>
      </c>
      <c s="34" r="E180"/>
      <c t="s" s="34" r="F180">
        <v>95</v>
      </c>
      <c t="str" s="17" r="G180">
        <f>IF((C122="W"),"L",IF((C122="OTW"),"OTL",IF((C122="L"),"W",IF((C122="OTL"),"OTW",""))))</f>
        <v/>
      </c>
      <c t="str" s="23" r="H180">
        <f>IF((G180="W"),2.0,IF((G180="OTW"),2.0,IF((G180="L"),0.0,IF((G180="OTL"),1.0,""))))</f>
        <v/>
      </c>
      <c s="34" r="I180"/>
      <c s="34" r="J180"/>
      <c s="34" r="K180"/>
      <c s="34" r="L180"/>
      <c s="34" r="M180"/>
      <c s="53" r="N180"/>
      <c s="34" r="O180"/>
      <c s="34" r="P180"/>
      <c s="34" r="Q180"/>
      <c s="34" r="R180"/>
      <c s="34" r="S180"/>
      <c s="34" r="T180"/>
      <c s="34" r="U180"/>
      <c s="34" r="V180"/>
      <c s="34" r="W180"/>
      <c s="34" r="X180"/>
      <c s="34" r="Y180"/>
    </row>
    <row r="181">
      <c s="3" r="A181"/>
      <c t="s" s="34" r="B181">
        <v>29</v>
      </c>
      <c s="11" r="C181"/>
      <c t="str" s="34" r="D181">
        <f>IF((C181="W"),2.0,IF((C181="OTW"),2.0,IF((C181="L"),0.0,IF((C181="OTL"),1.0,""))))</f>
        <v/>
      </c>
      <c s="34" r="E181"/>
      <c t="s" s="34" r="F181">
        <v>42</v>
      </c>
      <c t="str" s="17" r="G181">
        <f>IF((C139="W"),"L",IF((C139="OTW"),"OTL",IF((C139="L"),"W",IF((C139="OTL"),"OTW",""))))</f>
        <v/>
      </c>
      <c t="str" s="23" r="H181">
        <f>IF((G181="W"),2.0,IF((G181="OTW"),2.0,IF((G181="L"),0.0,IF((G181="OTL"),1.0,""))))</f>
        <v/>
      </c>
      <c s="34" r="I181"/>
      <c s="34" r="J181"/>
      <c s="34" r="K181"/>
      <c s="34" r="L181"/>
      <c s="34" r="M181"/>
      <c s="53" r="N181"/>
      <c s="34" r="O181"/>
      <c s="34" r="P181"/>
      <c s="34" r="Q181"/>
      <c s="34" r="R181"/>
      <c s="34" r="S181"/>
      <c s="34" r="T181"/>
      <c s="34" r="U181"/>
      <c s="34" r="V181"/>
      <c s="34" r="W181"/>
      <c s="34" r="X181"/>
      <c s="34" r="Y181"/>
    </row>
    <row r="182">
      <c s="3" r="A182"/>
      <c t="s" s="34" r="B182">
        <v>41</v>
      </c>
      <c s="11" r="C182"/>
      <c t="str" s="34" r="D182">
        <f>IF((C182="W"),2.0,IF((C182="OTW"),2.0,IF((C182="L"),0.0,IF((C182="OTL"),1.0,""))))</f>
        <v/>
      </c>
      <c s="34" r="E182"/>
      <c t="s" s="34" r="F182">
        <v>93</v>
      </c>
      <c t="str" s="17" r="G182">
        <f>IF((C140="W"),"L",IF((C140="OTW"),"OTL",IF((C140="L"),"W",IF((C140="OTL"),"OTW",""))))</f>
        <v/>
      </c>
      <c t="str" s="23" r="H182">
        <f>IF((G182="W"),2.0,IF((G182="OTW"),2.0,IF((G182="L"),0.0,IF((G182="OTL"),1.0,""))))</f>
        <v/>
      </c>
      <c s="34" r="I182"/>
      <c s="34" r="J182"/>
      <c s="34" r="K182"/>
      <c s="34" r="L182"/>
      <c s="34" r="M182"/>
      <c s="53" r="N182"/>
      <c s="34" r="O182"/>
      <c s="34" r="P182"/>
      <c s="34" r="Q182"/>
      <c s="34" r="R182"/>
      <c s="34" r="S182"/>
      <c s="34" r="T182"/>
      <c s="34" r="U182"/>
      <c s="34" r="V182"/>
      <c s="34" r="W182"/>
      <c s="34" r="X182"/>
      <c s="34" r="Y182"/>
    </row>
    <row r="183">
      <c s="3" r="A183"/>
      <c t="s" s="34" r="B183">
        <v>30</v>
      </c>
      <c s="11" r="C183"/>
      <c t="str" s="34" r="D183">
        <f>IF((C183="W"),2.0,IF((C183="OTW"),2.0,IF((C183="L"),0.0,IF((C183="OTL"),1.0,""))))</f>
        <v/>
      </c>
      <c s="34" r="E183"/>
      <c t="s" s="34" r="F183">
        <v>101</v>
      </c>
      <c t="str" s="17" r="G183">
        <f>IF((C141="W"),"L",IF((C141="OTW"),"OTL",IF((C141="L"),"W",IF((C141="OTL"),"OTW",""))))</f>
        <v/>
      </c>
      <c t="str" s="23" r="H183">
        <f>IF((G183="W"),2.0,IF((G183="OTW"),2.0,IF((G183="L"),0.0,IF((G183="OTL"),1.0,""))))</f>
        <v/>
      </c>
      <c s="34" r="I183"/>
      <c s="34" r="J183"/>
      <c s="34" r="K183"/>
      <c s="34" r="L183"/>
      <c s="34" r="M183"/>
      <c s="53" r="N183"/>
      <c s="34" r="O183"/>
      <c s="34" r="P183"/>
      <c s="34" r="Q183"/>
      <c s="34" r="R183"/>
      <c s="34" r="S183"/>
      <c s="34" r="T183"/>
      <c s="34" r="U183"/>
      <c s="34" r="V183"/>
      <c s="34" r="W183"/>
      <c s="34" r="X183"/>
      <c s="34" r="Y183"/>
    </row>
    <row customHeight="1" s="34" customFormat="1" r="184" ht="15.0">
      <c s="3" r="A184"/>
      <c t="s" s="40" r="B184">
        <v>33</v>
      </c>
      <c s="28" r="C184"/>
      <c t="str" s="34" r="D184">
        <f>IF((C184="W"),2.0,IF((C184="OTW"),2.0,IF((C184="L"),0.0,IF((C184="OTL"),1.0,""))))</f>
        <v/>
      </c>
      <c s="40" r="E184"/>
      <c t="s" s="40" r="F184">
        <v>92</v>
      </c>
      <c t="str" s="17" r="G184">
        <f>IF((C142="W"),"L",IF((C142="OTW"),"OTL",IF((C142="L"),"W",IF((C142="OTL"),"OTW",""))))</f>
        <v/>
      </c>
      <c t="str" s="23" r="H184">
        <f>IF((G184="W"),2.0,IF((G184="OTW"),2.0,IF((G184="L"),0.0,IF((G184="OTL"),1.0,""))))</f>
        <v/>
      </c>
      <c s="34" r="I184"/>
      <c s="34" r="J184"/>
      <c s="34" r="K184"/>
      <c s="34" r="L184"/>
      <c s="34" r="M184"/>
      <c s="53" r="N184"/>
      <c s="34" r="O184"/>
      <c s="34" r="P184"/>
      <c s="34" r="Q184"/>
      <c s="34" r="R184"/>
      <c s="34" r="S184"/>
      <c s="34" r="T184"/>
      <c s="34" r="U184"/>
      <c s="34" r="V184"/>
      <c s="34" r="W184"/>
      <c s="34" r="X184"/>
      <c s="34" r="Y184"/>
    </row>
    <row r="185">
      <c s="2" r="A185"/>
      <c t="s" s="74" r="B185">
        <v>32</v>
      </c>
      <c s="8" r="C185"/>
      <c t="str" s="34" r="D185">
        <f>IF((C185="W"),2.0,IF((C185="OTW"),2.0,IF((C185="L"),0.0,IF((C185="OTL"),1.0,""))))</f>
        <v/>
      </c>
      <c s="74" r="E185"/>
      <c t="s" s="74" r="F185">
        <v>90</v>
      </c>
      <c t="str" s="17" r="G185">
        <f>IF((C143="W"),"L",IF((C143="OTW"),"OTL",IF((C143="L"),"W",IF((C143="OTL"),"OTW",""))))</f>
        <v/>
      </c>
      <c t="str" s="23" r="H185">
        <f>IF((G185="W"),2.0,IF((G185="OTW"),2.0,IF((G185="L"),0.0,IF((G185="OTL"),1.0,""))))</f>
        <v/>
      </c>
      <c s="34" r="I185"/>
      <c s="34" r="J185"/>
      <c s="34" r="K185"/>
      <c s="34" r="L185"/>
      <c s="34" r="M185"/>
      <c s="53" r="N185"/>
      <c s="34" r="O185"/>
      <c s="34" r="P185"/>
      <c s="34" r="Q185"/>
      <c s="34" r="R185"/>
      <c s="34" r="S185"/>
      <c s="34" r="T185"/>
      <c s="34" r="U185"/>
      <c s="34" r="V185"/>
      <c s="34" r="W185"/>
      <c s="34" r="X185"/>
      <c s="34" r="Y185"/>
    </row>
    <row r="186">
      <c t="s" s="71" r="A186">
        <v>105</v>
      </c>
      <c t="s" s="6" r="B186">
        <v>44</v>
      </c>
      <c s="19" r="C186"/>
      <c t="str" s="34" r="D186">
        <f>IF((C186="W"),2.0,IF((C186="OTW"),2.0,IF((C186="L"),0.0,IF((C186="OTL"),1.0,""))))</f>
        <v/>
      </c>
      <c s="6" r="E186"/>
      <c t="s" s="6" r="F186">
        <v>35</v>
      </c>
      <c t="str" s="17" r="G186">
        <f>IF((C186="W"),"L",IF((C186="OTW"),"OTL",IF((C186="L"),"W",IF((C186="OTL"),"OTW",""))))</f>
        <v/>
      </c>
      <c t="str" s="23" r="H186">
        <f>IF((G186="W"),2.0,IF((G186="OTW"),2.0,IF((G186="L"),0.0,IF((G186="OTL"),1.0,""))))</f>
        <v/>
      </c>
      <c s="34" r="I186"/>
      <c s="34" r="J186"/>
      <c s="34" r="K186"/>
      <c s="34" r="L186"/>
      <c s="34" r="M186"/>
      <c s="53" r="N186"/>
      <c s="34" r="O186"/>
      <c s="34" r="P186"/>
      <c s="34" r="Q186"/>
      <c s="34" r="R186"/>
      <c s="34" r="S186"/>
      <c s="34" r="T186"/>
      <c s="34" r="U186"/>
      <c s="34" r="V186"/>
      <c s="34" r="W186"/>
      <c s="34" r="X186"/>
      <c s="34" r="Y186"/>
    </row>
    <row r="187">
      <c s="3" r="A187"/>
      <c t="s" s="34" r="B187">
        <v>28</v>
      </c>
      <c s="11" r="C187"/>
      <c t="str" s="34" r="D187">
        <f>IF((C187="W"),2.0,IF((C187="OTW"),2.0,IF((C187="L"),0.0,IF((C187="OTL"),1.0,""))))</f>
        <v/>
      </c>
      <c s="34" r="E187"/>
      <c t="s" s="34" r="F187">
        <v>95</v>
      </c>
      <c t="str" s="17" r="G187">
        <f>IF((C187="W"),"L",IF((C187="OTW"),"OTL",IF((C187="L"),"W",IF((C187="OTL"),"OTW",""))))</f>
        <v/>
      </c>
      <c t="str" s="23" r="H187">
        <f>IF((G187="W"),2.0,IF((G187="OTW"),2.0,IF((G187="L"),0.0,IF((G187="OTL"),1.0,""))))</f>
        <v/>
      </c>
      <c s="34" r="I187"/>
      <c s="34" r="J187"/>
      <c s="34" r="K187"/>
      <c s="34" r="L187"/>
      <c s="34" r="M187"/>
      <c s="53" r="N187"/>
      <c s="34" r="O187"/>
      <c s="34" r="P187"/>
      <c s="34" r="Q187"/>
      <c s="34" r="R187"/>
      <c s="34" r="S187"/>
      <c s="34" r="T187"/>
      <c s="34" r="U187"/>
      <c s="34" r="V187"/>
      <c s="34" r="W187"/>
      <c s="34" r="X187"/>
      <c s="34" r="Y187"/>
    </row>
    <row r="188">
      <c s="3" r="A188"/>
      <c t="s" s="34" r="B188">
        <v>106</v>
      </c>
      <c s="11" r="C188"/>
      <c t="str" s="34" r="D188">
        <f>IF((C188="W"),2.0,IF((C188="OTW"),2.0,IF((C188="L"),0.0,IF((C188="OTL"),1.0,""))))</f>
        <v/>
      </c>
      <c s="34" r="E188"/>
      <c t="s" s="34" r="F188">
        <v>42</v>
      </c>
      <c t="str" s="17" r="G188">
        <f>IF((C188="W"),"L",IF((C188="OTW"),"OTL",IF((C188="L"),"W",IF((C188="OTL"),"OTW",""))))</f>
        <v/>
      </c>
      <c t="str" s="23" r="H188">
        <f>IF((G188="W"),2.0,IF((G188="OTW"),2.0,IF((G188="L"),0.0,IF((G188="OTL"),1.0,""))))</f>
        <v/>
      </c>
      <c s="34" r="I188"/>
      <c s="34" r="J188"/>
      <c s="34" r="K188"/>
      <c s="34" r="L188"/>
      <c s="34" r="M188"/>
      <c s="53" r="N188"/>
      <c s="34" r="O188"/>
      <c s="34" r="P188"/>
      <c s="34" r="Q188"/>
      <c s="34" r="R188"/>
      <c s="34" r="S188"/>
      <c s="34" r="T188"/>
      <c s="34" r="U188"/>
      <c s="34" r="V188"/>
      <c s="34" r="W188"/>
      <c s="34" r="X188"/>
      <c s="34" r="Y188"/>
    </row>
    <row r="189">
      <c s="34" r="A189"/>
      <c t="s" s="34" r="B189">
        <v>107</v>
      </c>
      <c s="11" r="C189"/>
      <c t="str" s="34" r="D189">
        <f>IF((C189="W"),2.0,IF((C189="OTW"),2.0,IF((C189="L"),0.0,IF((C189="OTL"),1.0,""))))</f>
        <v/>
      </c>
      <c s="34" r="E189"/>
      <c t="s" s="34" r="F189">
        <v>93</v>
      </c>
      <c t="str" s="17" r="G189">
        <f>IF((C189="W"),"L",IF((C189="OTW"),"OTL",IF((C189="L"),"W",IF((C189="OTL"),"OTW",""))))</f>
        <v/>
      </c>
      <c t="str" s="23" r="H189">
        <f>IF((G189="W"),2.0,IF((G189="OTW"),2.0,IF((G189="L"),0.0,IF((G189="OTL"),1.0,""))))</f>
        <v/>
      </c>
      <c s="34" r="I189"/>
      <c s="34" r="J189"/>
      <c s="34" r="K189"/>
      <c s="34" r="L189"/>
      <c s="34" r="M189"/>
      <c s="53" r="N189"/>
      <c s="34" r="O189"/>
      <c s="34" r="P189"/>
      <c s="34" r="Q189"/>
      <c s="34" r="R189"/>
      <c s="34" r="S189"/>
      <c s="34" r="T189"/>
      <c s="34" r="U189"/>
      <c s="34" r="V189"/>
      <c s="34" r="W189"/>
      <c s="34" r="X189"/>
      <c s="34" r="Y189"/>
    </row>
    <row s="34" customFormat="1" r="190">
      <c s="3" r="A190"/>
      <c t="s" s="34" r="B190">
        <v>108</v>
      </c>
      <c s="11" r="C190"/>
      <c t="str" s="34" r="D190">
        <f>IF((C190="W"),2.0,IF((C190="OTW"),2.0,IF((C190="L"),0.0,IF((C190="OTL"),1.0,""))))</f>
        <v/>
      </c>
      <c s="34" r="E190"/>
      <c t="s" s="34" r="F190">
        <v>101</v>
      </c>
      <c t="str" s="17" r="G190">
        <f>IF((C190="W"),"L",IF((C190="OTW"),"OTL",IF((C190="L"),"W",IF((C190="OTL"),"OTW",""))))</f>
        <v/>
      </c>
      <c t="str" s="23" r="H190">
        <f>IF((G190="W"),2.0,IF((G190="OTW"),2.0,IF((G190="L"),0.0,IF((G190="OTL"),1.0,""))))</f>
        <v/>
      </c>
      <c s="34" r="I190"/>
      <c s="34" r="J190"/>
      <c s="34" r="K190"/>
      <c s="34" r="L190"/>
      <c s="34" r="M190"/>
      <c s="53" r="N190"/>
      <c s="34" r="O190"/>
      <c s="34" r="P190"/>
      <c s="34" r="Q190"/>
      <c s="34" r="R190"/>
      <c s="34" r="S190"/>
      <c s="34" r="T190"/>
      <c s="34" r="U190"/>
      <c s="34" r="V190"/>
      <c s="34" r="W190"/>
      <c s="34" r="X190"/>
      <c s="34" r="Y190"/>
    </row>
    <row customHeight="1" s="34" customFormat="1" r="191" ht="15.0">
      <c s="3" r="A191"/>
      <c t="s" s="40" r="B191">
        <v>109</v>
      </c>
      <c s="28" r="C191"/>
      <c t="str" s="34" r="D191">
        <f>IF((C191="W"),2.0,IF((C191="OTW"),2.0,IF((C191="L"),0.0,IF((C191="OTL"),1.0,""))))</f>
        <v/>
      </c>
      <c s="40" r="E191"/>
      <c t="s" s="40" r="F191">
        <v>92</v>
      </c>
      <c t="str" s="17" r="G191">
        <f>IF((C191="W"),"L",IF((C191="OTW"),"OTL",IF((C191="L"),"W",IF((C191="OTL"),"OTW",""))))</f>
        <v/>
      </c>
      <c t="str" s="23" r="H191">
        <f>IF((G191="W"),2.0,IF((G191="OTW"),2.0,IF((G191="L"),0.0,IF((G191="OTL"),1.0,""))))</f>
        <v/>
      </c>
      <c s="34" r="I191"/>
      <c s="34" r="J191"/>
      <c s="34" r="K191"/>
      <c s="34" r="L191"/>
      <c s="34" r="M191"/>
      <c s="53" r="N191"/>
      <c s="34" r="O191"/>
      <c s="34" r="P191"/>
      <c s="34" r="Q191"/>
      <c s="34" r="R191"/>
      <c s="34" r="S191"/>
      <c s="34" r="T191"/>
      <c s="34" r="U191"/>
      <c s="34" r="V191"/>
      <c s="34" r="W191"/>
      <c s="34" r="X191"/>
      <c s="34" r="Y191"/>
    </row>
    <row r="192">
      <c s="2" r="A192"/>
      <c t="s" s="74" r="B192">
        <v>110</v>
      </c>
      <c s="8" r="C192"/>
      <c t="str" s="34" r="D192">
        <f>IF((C192="W"),2.0,IF((C192="OTW"),2.0,IF((C192="L"),0.0,IF((C192="OTL"),1.0,""))))</f>
        <v/>
      </c>
      <c s="74" r="E192"/>
      <c t="s" s="74" r="F192">
        <v>90</v>
      </c>
      <c t="str" s="17" r="G192">
        <f>IF((C192="W"),"L",IF((C192="OTW"),"OTL",IF((C192="L"),"W",IF((C192="OTL"),"OTW",""))))</f>
        <v/>
      </c>
      <c t="str" s="23" r="H192">
        <f>IF((G192="W"),2.0,IF((G192="OTW"),2.0,IF((G192="L"),0.0,IF((G192="OTL"),1.0,""))))</f>
        <v/>
      </c>
      <c s="34" r="I192"/>
      <c s="34" r="J192"/>
      <c s="34" r="K192"/>
      <c s="34" r="L192"/>
      <c s="34" r="M192"/>
      <c s="53" r="N192"/>
      <c s="34" r="O192"/>
      <c s="34" r="P192"/>
      <c s="34" r="Q192"/>
      <c s="34" r="R192"/>
      <c s="34" r="S192"/>
      <c s="34" r="T192"/>
      <c s="34" r="U192"/>
      <c s="34" r="V192"/>
      <c s="34" r="W192"/>
      <c s="34" r="X192"/>
      <c s="34" r="Y192"/>
    </row>
    <row r="193">
      <c t="s" s="71" r="A193">
        <v>111</v>
      </c>
      <c t="s" s="6" r="B193">
        <v>106</v>
      </c>
      <c s="19" r="C193"/>
      <c t="str" s="34" r="D193">
        <f>IF((C193="W"),2.0,IF((C193="OTW"),2.0,IF((C193="L"),0.0,IF((C193="OTL"),1.0,""))))</f>
        <v/>
      </c>
      <c s="6" r="E193"/>
      <c t="s" s="6" r="F193">
        <v>95</v>
      </c>
      <c t="str" s="17" r="G193">
        <f>IF((C193="W"),"L",IF((C193="OTW"),"OTL",IF((C193="L"),"W",IF((C193="OTL"),"OTW",""))))</f>
        <v/>
      </c>
      <c t="str" s="23" r="H193">
        <f>IF((G193="W"),2.0,IF((G193="OTW"),2.0,IF((G193="L"),0.0,IF((G193="OTL"),1.0,""))))</f>
        <v/>
      </c>
      <c s="34" r="I193"/>
      <c s="34" r="J193"/>
      <c s="34" r="K193"/>
      <c s="34" r="L193"/>
      <c s="34" r="M193"/>
      <c s="53" r="N193"/>
      <c s="34" r="O193"/>
      <c s="34" r="P193"/>
      <c s="34" r="Q193"/>
      <c s="34" r="R193"/>
      <c s="34" r="S193"/>
      <c s="34" r="T193"/>
      <c s="34" r="U193"/>
      <c s="34" r="V193"/>
      <c s="34" r="W193"/>
      <c s="34" r="X193"/>
      <c s="34" r="Y193"/>
    </row>
    <row r="194">
      <c s="3" r="A194"/>
      <c t="s" s="15" r="B194">
        <v>112</v>
      </c>
      <c s="11" r="C194"/>
      <c t="str" s="34" r="D194">
        <f>IF((C194="W"),2.0,IF((C194="OTW"),2.0,IF((C194="L"),0.0,IF((C194="OTL"),1.0,""))))</f>
        <v/>
      </c>
      <c s="34" r="E194"/>
      <c t="s" s="34" r="F194">
        <v>87</v>
      </c>
      <c t="str" s="17" r="G194">
        <f>IF((C194="W"),"L",IF((C194="OTW"),"OTL",IF((C194="L"),"W",IF((C194="OTL"),"OTW",""))))</f>
        <v/>
      </c>
      <c t="str" s="23" r="H194">
        <f>IF((G194="W"),2.0,IF((G194="OTW"),2.0,IF((G194="L"),0.0,IF((G194="OTL"),1.0,""))))</f>
        <v/>
      </c>
      <c s="34" r="I194"/>
      <c s="34" r="J194"/>
      <c s="34" r="K194"/>
      <c s="34" r="L194"/>
      <c s="34" r="M194"/>
      <c s="53" r="N194"/>
      <c s="34" r="O194"/>
      <c s="34" r="P194"/>
      <c s="34" r="Q194"/>
      <c s="34" r="R194"/>
      <c s="34" r="S194"/>
      <c s="34" r="T194"/>
      <c s="34" r="U194"/>
      <c s="34" r="V194"/>
      <c s="34" r="W194"/>
      <c s="34" r="X194"/>
      <c s="34" r="Y194"/>
    </row>
    <row r="195">
      <c s="34" r="A195"/>
      <c s="34" r="B195"/>
      <c s="11" r="C195"/>
      <c s="34" r="D195"/>
      <c s="34" r="E195"/>
      <c s="34" r="F195"/>
      <c s="11" r="G195"/>
      <c s="34" r="H195"/>
      <c s="34" r="I195"/>
      <c s="34" r="J195"/>
      <c s="34" r="K195"/>
      <c s="34" r="L195"/>
      <c s="34" r="M195"/>
      <c s="34" r="N195"/>
      <c s="34" r="O195"/>
      <c s="34" r="P195"/>
      <c s="34" r="Q195"/>
      <c s="34" r="R195"/>
      <c s="34" r="S195"/>
      <c s="34" r="T195"/>
      <c s="34" r="U195"/>
      <c s="34" r="V195"/>
      <c s="34" r="W195"/>
      <c s="34" r="X195"/>
      <c s="34" r="Y195"/>
    </row>
  </sheetData>
  <mergeCells count="11">
    <mergeCell ref="A1:Q1"/>
    <mergeCell ref="A2:Q2"/>
    <mergeCell ref="A3:Q3"/>
    <mergeCell ref="A4:Q4"/>
    <mergeCell ref="A5:Q5"/>
    <mergeCell ref="A6:Q6"/>
    <mergeCell ref="B7:C7"/>
    <mergeCell ref="B8:C8"/>
    <mergeCell ref="M8:N8"/>
    <mergeCell ref="B10:C10"/>
    <mergeCell ref="N10:Q10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68" width="1.43"/>
    <col min="2" customWidth="1" max="2" style="68" width="23.14"/>
    <col min="3" customWidth="1" max="6" style="68" width="9.0"/>
    <col min="7" customWidth="1" max="7" style="68" width="4.71"/>
    <col min="8" customWidth="1" max="10" style="68" width="9.0"/>
    <col min="11" customWidth="1" max="11" style="68" width="7.86"/>
    <col min="12" customWidth="1" max="12" style="68" width="22.0"/>
    <col min="13" customWidth="1" max="13" style="68" width="1.43"/>
  </cols>
  <sheetData>
    <row customHeight="1" r="1" ht="15.0">
      <c s="68" r="A1"/>
      <c s="68" r="B1"/>
      <c s="68" r="C1"/>
      <c s="68" r="D1"/>
      <c s="68" r="E1"/>
      <c s="68" r="F1"/>
      <c s="68" r="G1"/>
      <c s="68" r="H1"/>
      <c s="68" r="I1"/>
      <c s="68" r="J1"/>
      <c s="68" r="K1"/>
      <c s="68" r="L1"/>
      <c s="68" r="M1"/>
      <c s="68" r="N1"/>
    </row>
    <row customHeight="1" r="2" ht="15.0">
      <c s="68" r="A2"/>
      <c s="68" r="B2"/>
      <c s="68" r="C2"/>
      <c s="68" r="D2"/>
      <c s="68" r="E2"/>
      <c s="68" r="F2"/>
      <c s="68" r="G2"/>
      <c s="68" r="H2"/>
      <c s="68" r="I2"/>
      <c s="68" r="J2"/>
      <c s="68" r="K2"/>
      <c s="68" r="L2"/>
      <c s="68" r="M2"/>
      <c s="68" r="N2"/>
    </row>
    <row customHeight="1" r="3" ht="15.0">
      <c s="68" r="A3"/>
      <c s="68" r="B3"/>
      <c s="68" r="C3"/>
      <c s="68" r="D3"/>
      <c s="68" r="E3"/>
      <c s="68" r="F3"/>
      <c s="68" r="G3"/>
      <c s="68" r="H3"/>
      <c s="68" r="I3"/>
      <c s="68" r="J3"/>
      <c s="68" r="K3"/>
      <c s="68" r="L3"/>
      <c s="68" r="M3"/>
      <c s="68" r="N3"/>
    </row>
    <row customHeight="1" s="34" customFormat="1" r="4" ht="15.0">
      <c t="s" s="68" r="A4">
        <v>113</v>
      </c>
      <c s="49" r="B4"/>
      <c s="34" r="C4"/>
      <c s="34" r="D4"/>
      <c s="34" r="E4"/>
      <c s="34" r="F4"/>
      <c s="34" r="G4"/>
      <c s="34" r="H4"/>
      <c s="34" r="I4"/>
      <c s="34" r="J4"/>
      <c s="34" r="K4"/>
      <c s="49" r="L4"/>
      <c t="s" s="68" r="M4">
        <v>113</v>
      </c>
      <c s="34" r="N4"/>
    </row>
    <row customHeight="1" r="5" ht="15.0">
      <c s="68" r="A5"/>
      <c s="66" r="B5"/>
      <c s="68" r="C5"/>
      <c s="68" r="D5"/>
      <c s="68" r="E5"/>
      <c s="68" r="F5"/>
      <c s="68" r="G5"/>
      <c s="68" r="H5"/>
      <c s="68" r="I5"/>
      <c s="68" r="J5"/>
      <c s="68" r="K5"/>
      <c s="66" r="L5"/>
      <c s="68" r="M5"/>
      <c s="68" r="N5"/>
    </row>
    <row customHeight="1" s="34" customFormat="1" r="6" ht="15.0">
      <c s="34" r="A6"/>
      <c s="34" r="B6"/>
      <c s="37" r="C6"/>
      <c s="32" r="D6"/>
      <c s="34" r="E6"/>
      <c s="34" r="F6"/>
      <c s="34" r="G6"/>
      <c s="34" r="H6"/>
      <c s="34" r="I6"/>
      <c s="37" r="J6"/>
      <c s="32" r="K6"/>
      <c s="34" r="L6"/>
      <c s="34" r="M6"/>
      <c s="34" r="N6"/>
    </row>
    <row customHeight="1" s="34" customFormat="1" r="7" ht="15.0">
      <c t="s" s="68" r="A7">
        <v>114</v>
      </c>
      <c s="49" r="B7"/>
      <c s="48" r="C7"/>
      <c s="48" r="D7"/>
      <c s="34" r="E7"/>
      <c s="34" r="F7"/>
      <c s="34" r="G7"/>
      <c s="34" r="H7"/>
      <c s="34" r="I7"/>
      <c s="48" r="J7"/>
      <c s="48" r="K7"/>
      <c s="49" r="L7"/>
      <c t="s" s="68" r="M7">
        <v>114</v>
      </c>
      <c s="34" r="N7"/>
    </row>
    <row customHeight="1" r="8" ht="15.0">
      <c s="68" r="A8"/>
      <c s="66" r="B8"/>
      <c s="68" r="C8"/>
      <c s="68" r="D8"/>
      <c s="68" r="E8"/>
      <c s="68" r="F8"/>
      <c s="68" r="G8"/>
      <c s="68" r="H8"/>
      <c s="68" r="I8"/>
      <c s="68" r="J8"/>
      <c s="68" r="K8"/>
      <c s="66" r="L8"/>
      <c s="68" r="M8"/>
      <c s="68" r="N8"/>
    </row>
    <row customHeight="1" s="34" customFormat="1" r="9" ht="15.0">
      <c s="34" r="A9"/>
      <c s="34" r="B9"/>
      <c s="34" r="C9"/>
      <c s="34" r="D9"/>
      <c s="37" r="E9"/>
      <c s="32" r="F9"/>
      <c s="34" r="G9"/>
      <c s="37" r="H9"/>
      <c s="32" r="I9"/>
      <c s="34" r="J9"/>
      <c s="34" r="K9"/>
      <c s="34" r="L9"/>
      <c s="34" r="M9"/>
      <c s="34" r="N9"/>
    </row>
    <row customHeight="1" s="34" customFormat="1" r="10" ht="15.0">
      <c t="s" s="68" r="A10">
        <v>115</v>
      </c>
      <c s="49" r="B10"/>
      <c s="68" r="C10"/>
      <c s="68" r="D10"/>
      <c s="48" r="E10"/>
      <c s="48" r="F10"/>
      <c s="34" r="G10"/>
      <c s="48" r="H10"/>
      <c s="48" r="I10"/>
      <c s="34" r="J10"/>
      <c s="34" r="K10"/>
      <c s="49" r="L10"/>
      <c t="s" s="68" r="M10">
        <v>115</v>
      </c>
      <c s="34" r="N10"/>
    </row>
    <row customHeight="1" r="11" ht="15.0">
      <c s="68" r="A11"/>
      <c s="66" r="B11"/>
      <c s="68" r="C11"/>
      <c s="68" r="D11"/>
      <c s="68" r="E11"/>
      <c s="68" r="F11"/>
      <c s="68" r="G11"/>
      <c s="68" r="H11"/>
      <c s="68" r="I11"/>
      <c s="68" r="J11"/>
      <c s="68" r="K11"/>
      <c s="66" r="L11"/>
      <c s="68" r="M11"/>
      <c s="68" r="N11"/>
    </row>
    <row customHeight="1" s="34" customFormat="1" r="12" ht="15.0">
      <c s="34" r="A12"/>
      <c s="34" r="B12"/>
      <c s="37" r="C12"/>
      <c s="32" r="D12"/>
      <c s="34" r="E12"/>
      <c s="37" r="F12"/>
      <c s="32" r="G12"/>
      <c s="32" r="H12"/>
      <c s="34" r="I12"/>
      <c s="37" r="J12"/>
      <c s="32" r="K12"/>
      <c s="34" r="L12"/>
      <c s="34" r="M12"/>
      <c s="34" r="N12"/>
    </row>
    <row customHeight="1" s="34" customFormat="1" r="13" ht="15.0">
      <c t="s" s="68" r="A13">
        <v>116</v>
      </c>
      <c s="49" r="B13"/>
      <c s="48" r="C13"/>
      <c s="48" r="D13"/>
      <c t="s" s="70" r="E13">
        <v>117</v>
      </c>
      <c s="48" r="J13"/>
      <c s="48" r="K13"/>
      <c s="49" r="L13"/>
      <c t="s" s="68" r="M13">
        <v>116</v>
      </c>
      <c s="34" r="N13"/>
    </row>
    <row customHeight="1" r="14" ht="15.0">
      <c s="68" r="A14"/>
      <c s="66" r="B14"/>
      <c s="68" r="C14"/>
      <c s="68" r="D14"/>
      <c s="68" r="E14"/>
      <c s="68" r="F14"/>
      <c s="68" r="G14"/>
      <c s="68" r="H14"/>
      <c s="68" r="I14"/>
      <c s="68" r="J14"/>
      <c s="68" r="K14"/>
      <c s="66" r="L14"/>
      <c s="68" r="M14"/>
      <c s="68" r="N14"/>
    </row>
    <row customHeight="1" s="34" customFormat="1" r="15" ht="15.0">
      <c s="34" r="A15"/>
      <c s="34" r="B15"/>
      <c s="34" r="C15"/>
      <c s="34" r="D15"/>
      <c s="63" r="E15"/>
      <c s="63" r="F15"/>
      <c s="63" r="G15"/>
      <c s="63" r="H15"/>
      <c s="63" r="I15"/>
      <c s="34" r="J15"/>
      <c s="34" r="K15"/>
      <c s="34" r="L15"/>
      <c s="34" r="M15"/>
      <c s="34" r="N15"/>
    </row>
    <row customHeight="1" s="34" customFormat="1" r="16" ht="15.0">
      <c t="s" s="68" r="A16">
        <v>118</v>
      </c>
      <c s="49" r="B16"/>
      <c s="34" r="C16"/>
      <c s="18" r="D16"/>
      <c s="4" r="E16"/>
      <c s="21" r="F16"/>
      <c s="21" r="G16"/>
      <c s="21" r="H16"/>
      <c s="52" r="I16"/>
      <c s="23" r="J16"/>
      <c s="34" r="K16"/>
      <c s="49" r="L16"/>
      <c t="s" s="68" r="M16">
        <v>118</v>
      </c>
      <c s="34" r="N16"/>
    </row>
    <row customHeight="1" s="34" customFormat="1" r="17" ht="15.0">
      <c s="34" r="A17"/>
      <c s="48" r="B17"/>
      <c s="34" r="C17"/>
      <c s="34" r="D17"/>
      <c t="s" s="65" r="E17">
        <v>119</v>
      </c>
      <c s="16" r="F17"/>
      <c s="16" r="G17"/>
      <c s="16" r="H17"/>
      <c s="16" r="I17"/>
      <c s="34" r="J17"/>
      <c s="34" r="K17"/>
      <c s="48" r="L17"/>
      <c s="34" r="M17"/>
      <c s="34" r="N17"/>
    </row>
    <row customHeight="1" s="34" customFormat="1" r="18" ht="15.0">
      <c s="34" r="A18"/>
      <c s="34" r="B18"/>
      <c s="37" r="C18"/>
      <c s="32" r="D18"/>
      <c s="34" r="E18"/>
      <c s="34" r="F18"/>
      <c s="34" r="G18"/>
      <c s="34" r="H18"/>
      <c s="34" r="I18"/>
      <c s="37" r="J18"/>
      <c s="32" r="K18"/>
      <c s="34" r="L18"/>
      <c s="34" r="M18"/>
      <c s="34" r="N18"/>
    </row>
    <row customHeight="1" s="34" customFormat="1" r="19" ht="15.0">
      <c t="s" s="68" r="A19">
        <v>120</v>
      </c>
      <c s="49" r="B19"/>
      <c s="48" r="C19"/>
      <c s="48" r="D19"/>
      <c s="34" r="E19"/>
      <c s="37" r="F19"/>
      <c s="32" r="G19"/>
      <c s="32" r="H19"/>
      <c s="34" r="I19"/>
      <c s="48" r="J19"/>
      <c s="48" r="K19"/>
      <c s="49" r="L19"/>
      <c t="s" s="68" r="M19">
        <v>120</v>
      </c>
      <c s="34" r="N19"/>
    </row>
    <row customHeight="1" s="34" customFormat="1" r="20" ht="15.0">
      <c s="34" r="A20"/>
      <c s="48" r="B20"/>
      <c s="34" r="C20"/>
      <c s="34" r="D20"/>
      <c t="s" s="70" r="E20">
        <v>121</v>
      </c>
      <c s="34" r="J20"/>
      <c s="34" r="K20"/>
      <c s="48" r="L20"/>
      <c s="34" r="M20"/>
      <c s="34" r="N20"/>
    </row>
    <row customHeight="1" s="34" customFormat="1" r="21" ht="15.0">
      <c s="34" r="A21"/>
      <c s="34" r="B21"/>
      <c s="68" r="C21"/>
      <c s="68" r="D21"/>
      <c s="34" r="E21"/>
      <c s="34" r="F21"/>
      <c s="34" r="G21"/>
      <c s="68" r="H21"/>
      <c s="68" r="I21"/>
      <c s="34" r="J21"/>
      <c s="34" r="K21"/>
      <c s="34" r="L21"/>
      <c s="34" r="M21"/>
      <c s="34" r="N21"/>
    </row>
    <row customHeight="1" s="34" customFormat="1" r="22" ht="15.0">
      <c t="s" s="68" r="A22">
        <v>122</v>
      </c>
      <c s="49" r="B22"/>
      <c s="34" r="C22"/>
      <c s="34" r="D22"/>
      <c s="37" r="E22"/>
      <c s="32" r="F22"/>
      <c s="34" r="G22"/>
      <c s="37" r="H22"/>
      <c s="32" r="I22"/>
      <c s="34" r="J22"/>
      <c s="34" r="K22"/>
      <c s="49" r="L22"/>
      <c t="s" s="68" r="M22">
        <v>122</v>
      </c>
      <c s="34" r="N22"/>
    </row>
    <row customHeight="1" r="23" ht="15.0">
      <c s="68" r="A23"/>
      <c s="66" r="B23"/>
      <c s="68" r="C23"/>
      <c s="68" r="D23"/>
      <c s="66" r="E23"/>
      <c s="66" r="F23"/>
      <c s="68" r="G23"/>
      <c s="66" r="H23"/>
      <c s="66" r="I23"/>
      <c s="68" r="J23"/>
      <c s="68" r="K23"/>
      <c s="66" r="L23"/>
      <c s="68" r="M23"/>
      <c s="68" r="N23"/>
    </row>
    <row customHeight="1" s="34" customFormat="1" r="24" ht="15.0">
      <c s="34" r="A24"/>
      <c s="34" r="B24"/>
      <c s="37" r="C24"/>
      <c s="32" r="D24"/>
      <c s="34" r="E24"/>
      <c s="34" r="F24"/>
      <c s="34" r="G24"/>
      <c s="34" r="H24"/>
      <c s="34" r="I24"/>
      <c s="37" r="J24"/>
      <c s="32" r="K24"/>
      <c s="34" r="L24"/>
      <c s="34" r="M24"/>
      <c s="34" r="N24"/>
    </row>
    <row customHeight="1" s="34" customFormat="1" r="25" ht="15.0">
      <c t="s" s="68" r="A25">
        <v>123</v>
      </c>
      <c s="49" r="B25"/>
      <c s="48" r="C25"/>
      <c s="48" r="D25"/>
      <c s="34" r="E25"/>
      <c s="34" r="F25"/>
      <c s="34" r="G25"/>
      <c s="34" r="H25"/>
      <c s="34" r="I25"/>
      <c s="48" r="J25"/>
      <c s="48" r="K25"/>
      <c s="49" r="L25"/>
      <c t="s" s="68" r="M25">
        <v>123</v>
      </c>
      <c s="34" r="N25"/>
    </row>
    <row customHeight="1" s="34" customFormat="1" r="26" ht="15.0">
      <c s="34" r="A26"/>
      <c s="66" r="B26"/>
      <c s="68" r="C26"/>
      <c s="34" r="D26"/>
      <c s="34" r="E26"/>
      <c s="34" r="F26"/>
      <c s="34" r="G26"/>
      <c s="34" r="H26"/>
      <c s="34" r="I26"/>
      <c s="34" r="J26"/>
      <c s="34" r="K26"/>
      <c s="48" r="L26"/>
      <c s="34" r="M26"/>
      <c s="34" r="N26"/>
    </row>
    <row r="27">
      <c s="68" r="A27"/>
      <c s="68" r="B27"/>
      <c s="68" r="C27"/>
      <c s="68" r="D27"/>
      <c s="68" r="E27"/>
      <c s="68" r="F27"/>
      <c s="68" r="G27"/>
      <c s="68" r="H27"/>
      <c s="68" r="I27"/>
      <c s="68" r="J27"/>
      <c s="68" r="K27"/>
      <c s="68" r="L27"/>
      <c s="68" r="M27"/>
      <c s="68" r="N27"/>
    </row>
  </sheetData>
  <mergeCells count="18">
    <mergeCell ref="C6:D6"/>
    <mergeCell ref="J6:K6"/>
    <mergeCell ref="E9:F9"/>
    <mergeCell ref="H9:I9"/>
    <mergeCell ref="C12:D12"/>
    <mergeCell ref="F12:H12"/>
    <mergeCell ref="J12:K12"/>
    <mergeCell ref="E13:I13"/>
    <mergeCell ref="E16:I16"/>
    <mergeCell ref="E17:I17"/>
    <mergeCell ref="C18:D18"/>
    <mergeCell ref="J18:K18"/>
    <mergeCell ref="F19:H19"/>
    <mergeCell ref="E20:I20"/>
    <mergeCell ref="E22:F22"/>
    <mergeCell ref="H22:I22"/>
    <mergeCell ref="C24:D24"/>
    <mergeCell ref="J24:K24"/>
  </mergeCells>
</worksheet>
</file>