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3660" yWindow="765" windowWidth="19440" windowHeight="14355"/>
  </bookViews>
  <sheets>
    <sheet name="Market Effects 1" sheetId="1" r:id="rId1"/>
    <sheet name="MarketEffects 2" sheetId="4" r:id="rId2"/>
    <sheet name="Sheet1" sheetId="5" r:id="rId3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35" i="1" l="1"/>
  <c r="U37" i="1" s="1"/>
  <c r="U34" i="1"/>
  <c r="U36" i="1" s="1"/>
  <c r="U30" i="1"/>
  <c r="U33" i="1" s="1"/>
  <c r="U29" i="1"/>
  <c r="U32" i="1" s="1"/>
  <c r="U28" i="1"/>
  <c r="U31" i="1" s="1"/>
  <c r="Y18" i="1"/>
  <c r="Z18" i="1"/>
  <c r="AA17" i="1"/>
  <c r="AB17" i="1"/>
  <c r="V20" i="1"/>
  <c r="V19" i="1"/>
  <c r="V17" i="1"/>
  <c r="V16" i="1"/>
  <c r="X17" i="1" s="1"/>
  <c r="V15" i="1"/>
  <c r="H23" i="1"/>
  <c r="I23" i="1" s="1"/>
  <c r="D19" i="1"/>
  <c r="B21" i="1" s="1"/>
  <c r="F18" i="1"/>
  <c r="G17" i="1"/>
  <c r="Q18" i="1"/>
  <c r="G18" i="1"/>
  <c r="B20" i="1"/>
  <c r="D20" i="1" s="1"/>
  <c r="C22" i="1"/>
  <c r="B23" i="1" s="1"/>
  <c r="C23" i="1"/>
  <c r="R18" i="1"/>
  <c r="S18" i="1"/>
  <c r="G18" i="4" a="1"/>
  <c r="G18" i="4" s="1"/>
  <c r="G19" i="4"/>
  <c r="I20" i="4"/>
  <c r="I19" i="4"/>
  <c r="H19" i="4"/>
  <c r="W19" i="1" l="1"/>
  <c r="C21" i="1"/>
  <c r="D21" i="1" s="1"/>
  <c r="B28" i="1" s="1" a="1"/>
  <c r="I18" i="4"/>
  <c r="H18" i="4"/>
  <c r="G20" i="4"/>
  <c r="V18" i="1"/>
  <c r="AA15" i="1"/>
  <c r="AB16" i="1"/>
  <c r="H20" i="4"/>
  <c r="V21" i="1"/>
  <c r="W20" i="1" s="1"/>
  <c r="X16" i="1"/>
  <c r="X18" i="1" s="1"/>
  <c r="AB15" i="1"/>
  <c r="AA16" i="1"/>
  <c r="B28" i="1" l="1"/>
  <c r="I28" i="1"/>
  <c r="G29" i="1"/>
  <c r="E30" i="1"/>
  <c r="C31" i="1"/>
  <c r="I32" i="1"/>
  <c r="E34" i="1"/>
  <c r="K35" i="1"/>
  <c r="G37" i="1"/>
  <c r="F37" i="1"/>
  <c r="J35" i="1"/>
  <c r="D34" i="1"/>
  <c r="H32" i="1"/>
  <c r="I37" i="1"/>
  <c r="C36" i="1"/>
  <c r="G34" i="1"/>
  <c r="K32" i="1"/>
  <c r="E31" i="1"/>
  <c r="I29" i="1"/>
  <c r="C28" i="1"/>
  <c r="F36" i="1"/>
  <c r="J34" i="1"/>
  <c r="D33" i="1"/>
  <c r="H31" i="1"/>
  <c r="B30" i="1"/>
  <c r="F28" i="1"/>
  <c r="D28" i="1"/>
  <c r="B29" i="1"/>
  <c r="J29" i="1"/>
  <c r="H30" i="1"/>
  <c r="G31" i="1"/>
  <c r="C33" i="1"/>
  <c r="I34" i="1"/>
  <c r="E36" i="1"/>
  <c r="K37" i="1"/>
  <c r="B37" i="1"/>
  <c r="F35" i="1"/>
  <c r="J33" i="1"/>
  <c r="D32" i="1"/>
  <c r="E37" i="1"/>
  <c r="I35" i="1"/>
  <c r="C34" i="1"/>
  <c r="G32" i="1"/>
  <c r="K30" i="1"/>
  <c r="E29" i="1"/>
  <c r="H37" i="1"/>
  <c r="B36" i="1"/>
  <c r="F34" i="1"/>
  <c r="J32" i="1"/>
  <c r="D31" i="1"/>
  <c r="H29" i="1"/>
  <c r="E28" i="1"/>
  <c r="C29" i="1"/>
  <c r="K29" i="1"/>
  <c r="I30" i="1"/>
  <c r="K31" i="1"/>
  <c r="G33" i="1"/>
  <c r="C35" i="1"/>
  <c r="I36" i="1"/>
  <c r="H36" i="1"/>
  <c r="B35" i="1"/>
  <c r="F33" i="1"/>
  <c r="J31" i="1"/>
  <c r="K36" i="1"/>
  <c r="E35" i="1"/>
  <c r="I33" i="1"/>
  <c r="C32" i="1"/>
  <c r="G30" i="1"/>
  <c r="K28" i="1"/>
  <c r="D37" i="1"/>
  <c r="H35" i="1"/>
  <c r="B34" i="1"/>
  <c r="F32" i="1"/>
  <c r="J30" i="1"/>
  <c r="D29" i="1"/>
  <c r="H28" i="1"/>
  <c r="F29" i="1"/>
  <c r="D30" i="1"/>
  <c r="B31" i="1"/>
  <c r="E32" i="1"/>
  <c r="K33" i="1"/>
  <c r="G35" i="1"/>
  <c r="C37" i="1"/>
  <c r="J37" i="1"/>
  <c r="D36" i="1"/>
  <c r="H34" i="1"/>
  <c r="B33" i="1"/>
  <c r="F31" i="1"/>
  <c r="G36" i="1"/>
  <c r="K34" i="1"/>
  <c r="E33" i="1"/>
  <c r="I31" i="1"/>
  <c r="C30" i="1"/>
  <c r="H33" i="1"/>
  <c r="G28" i="1"/>
  <c r="B32" i="1"/>
  <c r="J28" i="1"/>
  <c r="J36" i="1"/>
  <c r="F30" i="1"/>
  <c r="D35" i="1"/>
  <c r="AB18" i="1"/>
  <c r="W17" i="1"/>
  <c r="D31" i="4" a="1"/>
  <c r="AA18" i="1"/>
  <c r="W16" i="1"/>
  <c r="W21" i="1"/>
  <c r="W15" i="1"/>
  <c r="W18" i="1" l="1"/>
  <c r="J40" i="4"/>
  <c r="D39" i="4"/>
  <c r="H37" i="4"/>
  <c r="L35" i="4"/>
  <c r="F34" i="4"/>
  <c r="J32" i="4"/>
  <c r="D31" i="4"/>
  <c r="H36" i="4"/>
  <c r="J33" i="4"/>
  <c r="K40" i="4"/>
  <c r="E37" i="4"/>
  <c r="M33" i="4"/>
  <c r="M40" i="4"/>
  <c r="G39" i="4"/>
  <c r="K37" i="4"/>
  <c r="E36" i="4"/>
  <c r="I34" i="4"/>
  <c r="M32" i="4"/>
  <c r="G31" i="4"/>
  <c r="J39" i="4"/>
  <c r="L36" i="4"/>
  <c r="F33" i="4"/>
  <c r="I39" i="4"/>
  <c r="K36" i="4"/>
  <c r="I33" i="4"/>
  <c r="L39" i="4"/>
  <c r="F38" i="4"/>
  <c r="J36" i="4"/>
  <c r="D35" i="4"/>
  <c r="H33" i="4"/>
  <c r="L31" i="4"/>
  <c r="D38" i="4"/>
  <c r="F35" i="4"/>
  <c r="D32" i="4"/>
  <c r="E39" i="4"/>
  <c r="I35" i="4"/>
  <c r="G32" i="4"/>
  <c r="E40" i="4"/>
  <c r="I38" i="4"/>
  <c r="M36" i="4"/>
  <c r="G35" i="4"/>
  <c r="K33" i="4"/>
  <c r="E32" i="4"/>
  <c r="H40" i="4"/>
  <c r="H38" i="4"/>
  <c r="L34" i="4"/>
  <c r="J31" i="4"/>
  <c r="M37" i="4"/>
  <c r="E35" i="4"/>
  <c r="M31" i="4"/>
  <c r="J38" i="4"/>
  <c r="H35" i="4"/>
  <c r="F32" i="4"/>
  <c r="J35" i="4"/>
  <c r="M39" i="4"/>
  <c r="E33" i="4"/>
  <c r="M38" i="4"/>
  <c r="K35" i="4"/>
  <c r="I32" i="4"/>
  <c r="F39" i="4"/>
  <c r="H32" i="4"/>
  <c r="M35" i="4"/>
  <c r="L37" i="4"/>
  <c r="J34" i="4"/>
  <c r="H31" i="4"/>
  <c r="H34" i="4"/>
  <c r="G38" i="4"/>
  <c r="I31" i="4"/>
  <c r="E38" i="4"/>
  <c r="M34" i="4"/>
  <c r="K31" i="4"/>
  <c r="J37" i="4"/>
  <c r="G40" i="4"/>
  <c r="G34" i="4"/>
  <c r="L38" i="4"/>
  <c r="L32" i="4"/>
  <c r="G36" i="4"/>
  <c r="I40" i="4"/>
  <c r="G37" i="4"/>
  <c r="L40" i="4"/>
  <c r="D36" i="4"/>
  <c r="K38" i="4"/>
  <c r="K32" i="4"/>
  <c r="H39" i="4"/>
  <c r="D33" i="4"/>
  <c r="F31" i="4"/>
  <c r="K39" i="4"/>
  <c r="G33" i="4"/>
  <c r="D40" i="4"/>
  <c r="I37" i="4"/>
  <c r="E31" i="4"/>
  <c r="F40" i="4"/>
  <c r="D37" i="4"/>
  <c r="L33" i="4"/>
  <c r="E34" i="4"/>
  <c r="F36" i="4"/>
  <c r="F37" i="4"/>
  <c r="K34" i="4"/>
  <c r="I36" i="4"/>
  <c r="D34" i="4"/>
  <c r="P28" i="1" a="1"/>
  <c r="Q31" i="4" l="1" a="1"/>
  <c r="P37" i="1"/>
  <c r="S37" i="1" s="1"/>
  <c r="P35" i="1"/>
  <c r="P33" i="1"/>
  <c r="P31" i="1"/>
  <c r="P29" i="1"/>
  <c r="S29" i="1" s="1"/>
  <c r="P28" i="1"/>
  <c r="C41" i="1" s="1"/>
  <c r="P30" i="1"/>
  <c r="S30" i="1" s="1"/>
  <c r="P32" i="1"/>
  <c r="P34" i="1"/>
  <c r="P36" i="1"/>
  <c r="S36" i="1" s="1"/>
  <c r="C43" i="1" l="1"/>
  <c r="C42" i="1"/>
  <c r="S28" i="1"/>
  <c r="C45" i="1"/>
  <c r="S35" i="1"/>
  <c r="V35" i="1"/>
  <c r="S32" i="1"/>
  <c r="V32" i="1"/>
  <c r="S31" i="1"/>
  <c r="V31" i="1"/>
  <c r="S33" i="1"/>
  <c r="V33" i="1"/>
  <c r="C44" i="1"/>
  <c r="S34" i="1"/>
  <c r="V34" i="1"/>
  <c r="Q34" i="4"/>
  <c r="Q37" i="4"/>
  <c r="Q35" i="4"/>
  <c r="Q38" i="4"/>
  <c r="Q33" i="4"/>
  <c r="Q36" i="4"/>
  <c r="Q40" i="4"/>
  <c r="Q39" i="4"/>
  <c r="Q32" i="4"/>
  <c r="Q31" i="4"/>
  <c r="V38" i="1" l="1"/>
</calcChain>
</file>

<file path=xl/sharedStrings.xml><?xml version="1.0" encoding="utf-8"?>
<sst xmlns="http://schemas.openxmlformats.org/spreadsheetml/2006/main" count="310" uniqueCount="198">
  <si>
    <r>
      <t>dlnP</t>
    </r>
    <r>
      <rPr>
        <vertAlign val="superscript"/>
        <sz val="9"/>
        <color theme="1"/>
        <rFont val="Calibri"/>
        <family val="2"/>
        <scheme val="minor"/>
      </rPr>
      <t>Qf</t>
    </r>
  </si>
  <si>
    <r>
      <t>dlnP</t>
    </r>
    <r>
      <rPr>
        <vertAlign val="superscript"/>
        <sz val="9"/>
        <color theme="1"/>
        <rFont val="Calibri"/>
        <family val="2"/>
        <scheme val="minor"/>
      </rPr>
      <t>Qb</t>
    </r>
  </si>
  <si>
    <r>
      <t>dlnP</t>
    </r>
    <r>
      <rPr>
        <vertAlign val="superscript"/>
        <sz val="9"/>
        <color theme="1"/>
        <rFont val="Calibri"/>
        <family val="2"/>
        <scheme val="minor"/>
      </rPr>
      <t>S</t>
    </r>
  </si>
  <si>
    <r>
      <t>dlnQ</t>
    </r>
    <r>
      <rPr>
        <vertAlign val="superscript"/>
        <sz val="9"/>
        <color theme="1"/>
        <rFont val="Calibri"/>
        <family val="2"/>
        <scheme val="minor"/>
      </rPr>
      <t>f</t>
    </r>
  </si>
  <si>
    <r>
      <t>dlnQ</t>
    </r>
    <r>
      <rPr>
        <vertAlign val="superscript"/>
        <sz val="9"/>
        <color theme="1"/>
        <rFont val="Calibri"/>
        <family val="2"/>
        <scheme val="minor"/>
      </rPr>
      <t>b</t>
    </r>
  </si>
  <si>
    <t>dlnS</t>
  </si>
  <si>
    <r>
      <t>dlnW</t>
    </r>
    <r>
      <rPr>
        <vertAlign val="superscript"/>
        <sz val="9"/>
        <color theme="1"/>
        <rFont val="Calibri"/>
        <family val="2"/>
        <scheme val="minor"/>
      </rPr>
      <t>L</t>
    </r>
  </si>
  <si>
    <r>
      <t>dlnW</t>
    </r>
    <r>
      <rPr>
        <vertAlign val="superscript"/>
        <sz val="9"/>
        <color theme="1"/>
        <rFont val="Calibri"/>
        <family val="2"/>
        <scheme val="minor"/>
      </rPr>
      <t>o</t>
    </r>
  </si>
  <si>
    <t>dlnL</t>
  </si>
  <si>
    <t>dlnO</t>
  </si>
  <si>
    <r>
      <t>-H</t>
    </r>
    <r>
      <rPr>
        <b/>
        <vertAlign val="subscript"/>
        <sz val="8"/>
        <color theme="1"/>
        <rFont val="Calibri"/>
        <family val="2"/>
        <scheme val="minor"/>
      </rPr>
      <t>Qb/P</t>
    </r>
    <r>
      <rPr>
        <b/>
        <vertAlign val="superscript"/>
        <sz val="8"/>
        <color theme="1"/>
        <rFont val="Calibri"/>
        <family val="2"/>
        <scheme val="minor"/>
      </rPr>
      <t>Qf</t>
    </r>
  </si>
  <si>
    <r>
      <t>-H</t>
    </r>
    <r>
      <rPr>
        <b/>
        <vertAlign val="subscript"/>
        <sz val="8"/>
        <color theme="1"/>
        <rFont val="Calibri"/>
        <family val="2"/>
        <scheme val="minor"/>
      </rPr>
      <t>Qb/p</t>
    </r>
    <r>
      <rPr>
        <b/>
        <vertAlign val="superscript"/>
        <sz val="8"/>
        <color theme="1"/>
        <rFont val="Calibri"/>
        <family val="2"/>
        <scheme val="minor"/>
      </rPr>
      <t>Qb</t>
    </r>
  </si>
  <si>
    <r>
      <t>-H</t>
    </r>
    <r>
      <rPr>
        <b/>
        <vertAlign val="subscript"/>
        <sz val="8"/>
        <color theme="1"/>
        <rFont val="Calibri"/>
        <family val="2"/>
        <scheme val="minor"/>
      </rPr>
      <t>Qb/P</t>
    </r>
    <r>
      <rPr>
        <b/>
        <vertAlign val="superscript"/>
        <sz val="8"/>
        <color theme="1"/>
        <rFont val="Calibri"/>
        <family val="2"/>
        <scheme val="minor"/>
      </rPr>
      <t>S</t>
    </r>
  </si>
  <si>
    <r>
      <t>-H</t>
    </r>
    <r>
      <rPr>
        <b/>
        <vertAlign val="subscript"/>
        <sz val="8"/>
        <color theme="1"/>
        <rFont val="Calibri"/>
        <family val="2"/>
        <scheme val="minor"/>
      </rPr>
      <t>Qf/P</t>
    </r>
    <r>
      <rPr>
        <b/>
        <vertAlign val="superscript"/>
        <sz val="8"/>
        <color theme="1"/>
        <rFont val="Calibri"/>
        <family val="2"/>
        <scheme val="minor"/>
      </rPr>
      <t>Qf</t>
    </r>
  </si>
  <si>
    <r>
      <t>-H</t>
    </r>
    <r>
      <rPr>
        <b/>
        <vertAlign val="subscript"/>
        <sz val="8"/>
        <color theme="1"/>
        <rFont val="Calibri"/>
        <family val="2"/>
        <scheme val="minor"/>
      </rPr>
      <t>Qf/P</t>
    </r>
    <r>
      <rPr>
        <b/>
        <vertAlign val="superscript"/>
        <sz val="8"/>
        <color theme="1"/>
        <rFont val="Calibri"/>
        <family val="2"/>
        <scheme val="minor"/>
      </rPr>
      <t>Qb</t>
    </r>
  </si>
  <si>
    <r>
      <t>-H</t>
    </r>
    <r>
      <rPr>
        <b/>
        <vertAlign val="subscript"/>
        <sz val="8"/>
        <color theme="1"/>
        <rFont val="Calibri"/>
        <family val="2"/>
        <scheme val="minor"/>
      </rPr>
      <t>Qf/P</t>
    </r>
    <r>
      <rPr>
        <b/>
        <vertAlign val="superscript"/>
        <sz val="8"/>
        <color theme="1"/>
        <rFont val="Calibri"/>
        <family val="2"/>
        <scheme val="minor"/>
      </rPr>
      <t>S</t>
    </r>
  </si>
  <si>
    <r>
      <t>-H</t>
    </r>
    <r>
      <rPr>
        <b/>
        <vertAlign val="subscript"/>
        <sz val="8"/>
        <color theme="1"/>
        <rFont val="Calibri"/>
        <family val="2"/>
        <scheme val="minor"/>
      </rPr>
      <t>S/P</t>
    </r>
    <r>
      <rPr>
        <b/>
        <vertAlign val="superscript"/>
        <sz val="8"/>
        <color theme="1"/>
        <rFont val="Calibri"/>
        <family val="2"/>
        <scheme val="minor"/>
      </rPr>
      <t>Qf</t>
    </r>
  </si>
  <si>
    <r>
      <t>-H</t>
    </r>
    <r>
      <rPr>
        <b/>
        <vertAlign val="subscript"/>
        <sz val="8"/>
        <color theme="1"/>
        <rFont val="Calibri"/>
        <family val="2"/>
        <scheme val="minor"/>
      </rPr>
      <t>S/P</t>
    </r>
    <r>
      <rPr>
        <b/>
        <vertAlign val="superscript"/>
        <sz val="8"/>
        <color theme="1"/>
        <rFont val="Calibri"/>
        <family val="2"/>
        <scheme val="minor"/>
      </rPr>
      <t>Qb</t>
    </r>
  </si>
  <si>
    <r>
      <t>-H</t>
    </r>
    <r>
      <rPr>
        <b/>
        <vertAlign val="subscript"/>
        <sz val="8"/>
        <color theme="1"/>
        <rFont val="Calibri"/>
        <family val="2"/>
        <scheme val="minor"/>
      </rPr>
      <t>S/P</t>
    </r>
    <r>
      <rPr>
        <b/>
        <vertAlign val="superscript"/>
        <sz val="8"/>
        <color theme="1"/>
        <rFont val="Calibri"/>
        <family val="2"/>
        <scheme val="minor"/>
      </rPr>
      <t>S</t>
    </r>
  </si>
  <si>
    <r>
      <t xml:space="preserve"> (∑</t>
    </r>
    <r>
      <rPr>
        <b/>
        <vertAlign val="subscript"/>
        <sz val="8"/>
        <color theme="1"/>
        <rFont val="Calibri"/>
        <family val="2"/>
        <scheme val="minor"/>
      </rPr>
      <t>Qf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Qb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</si>
  <si>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Qb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Qb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</si>
  <si>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 xml:space="preserve"> (∑</t>
    </r>
    <r>
      <rPr>
        <b/>
        <vertAlign val="subscript"/>
        <sz val="8"/>
        <color theme="1"/>
        <rFont val="Calibri"/>
        <family val="2"/>
        <scheme val="minor"/>
      </rPr>
      <t>S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Qb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</si>
  <si>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 xml:space="preserve"> (∑</t>
    </r>
    <r>
      <rPr>
        <b/>
        <vertAlign val="subscript"/>
        <sz val="8"/>
        <color theme="1"/>
        <rFont val="Calibri"/>
        <family val="2"/>
        <scheme val="minor"/>
      </rPr>
      <t>W</t>
    </r>
    <r>
      <rPr>
        <b/>
        <vertAlign val="superscript"/>
        <sz val="8"/>
        <color theme="1"/>
        <rFont val="Calibri"/>
        <family val="2"/>
        <scheme val="minor"/>
      </rPr>
      <t>L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Qb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</si>
  <si>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W</t>
    </r>
    <r>
      <rPr>
        <b/>
        <vertAlign val="superscript"/>
        <sz val="8"/>
        <color theme="1"/>
        <rFont val="Calibri"/>
        <family val="2"/>
        <scheme val="minor"/>
      </rPr>
      <t>o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Qb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</si>
  <si>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t>=</t>
  </si>
  <si>
    <t>dQf</t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</si>
  <si>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Qf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Qf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</si>
  <si>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Qb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Qf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</si>
  <si>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 xml:space="preserve"> (∑</t>
    </r>
    <r>
      <rPr>
        <b/>
        <vertAlign val="subscript"/>
        <sz val="8"/>
        <color theme="1"/>
        <rFont val="Calibri"/>
        <family val="2"/>
        <scheme val="minor"/>
      </rPr>
      <t>S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Qs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</si>
  <si>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W</t>
    </r>
    <r>
      <rPr>
        <b/>
        <vertAlign val="superscript"/>
        <sz val="8"/>
        <color theme="1"/>
        <rFont val="Calibri"/>
        <family val="2"/>
        <scheme val="minor"/>
      </rPr>
      <t>L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Qf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</si>
  <si>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W</t>
    </r>
    <r>
      <rPr>
        <b/>
        <vertAlign val="superscript"/>
        <sz val="8"/>
        <color theme="1"/>
        <rFont val="Calibri"/>
        <family val="2"/>
        <scheme val="minor"/>
      </rPr>
      <t>o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Qf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</si>
  <si>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t>dQb</t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</si>
  <si>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Qf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</si>
  <si>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Qb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</si>
  <si>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 xml:space="preserve"> (∑</t>
    </r>
    <r>
      <rPr>
        <b/>
        <vertAlign val="subscript"/>
        <sz val="8"/>
        <color theme="1"/>
        <rFont val="Calibri"/>
        <family val="2"/>
        <scheme val="minor"/>
      </rPr>
      <t>S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</si>
  <si>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W</t>
    </r>
    <r>
      <rPr>
        <b/>
        <vertAlign val="superscript"/>
        <sz val="8"/>
        <color theme="1"/>
        <rFont val="Calibri"/>
        <family val="2"/>
        <scheme val="minor"/>
      </rPr>
      <t>L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</si>
  <si>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theme="1"/>
        <rFont val="Calibri"/>
        <family val="2"/>
        <scheme val="minor"/>
      </rPr>
      <t>W</t>
    </r>
    <r>
      <rPr>
        <b/>
        <vertAlign val="superscript"/>
        <sz val="8"/>
        <color theme="1"/>
        <rFont val="Calibri"/>
        <family val="2"/>
        <scheme val="minor"/>
      </rPr>
      <t>o</t>
    </r>
    <r>
      <rPr>
        <b/>
        <vertAlign val="subscript"/>
        <sz val="8"/>
        <color theme="1"/>
        <rFont val="Calibri"/>
        <family val="2"/>
        <scheme val="minor"/>
      </rPr>
      <t>/P</t>
    </r>
    <r>
      <rPr>
        <b/>
        <vertAlign val="superscript"/>
        <sz val="8"/>
        <color theme="1"/>
        <rFont val="Calibri"/>
        <family val="2"/>
        <scheme val="minor"/>
      </rPr>
      <t>S</t>
    </r>
    <r>
      <rPr>
        <b/>
        <sz val="8"/>
        <color theme="1"/>
        <rFont val="Calibri"/>
        <family val="2"/>
        <scheme val="minor"/>
      </rPr>
      <t>)</t>
    </r>
    <r>
      <rPr>
        <b/>
        <vertAlign val="superscript"/>
        <sz val="8"/>
        <color theme="1"/>
        <rFont val="Calibri"/>
        <family val="2"/>
        <scheme val="minor"/>
      </rPr>
      <t>-1</t>
    </r>
  </si>
  <si>
    <r>
      <t xml:space="preserve"> Z</t>
    </r>
    <r>
      <rPr>
        <b/>
        <vertAlign val="subscript"/>
        <sz val="8"/>
        <color rgb="FF000000"/>
        <rFont val="Calibri"/>
        <family val="2"/>
        <scheme val="minor"/>
      </rPr>
      <t>L/Qf</t>
    </r>
    <r>
      <rPr>
        <b/>
        <sz val="8"/>
        <color rgb="FF000000"/>
        <rFont val="Calibri"/>
        <family val="2"/>
        <scheme val="minor"/>
      </rPr>
      <t xml:space="preserve"> </t>
    </r>
  </si>
  <si>
    <r>
      <t>Z</t>
    </r>
    <r>
      <rPr>
        <b/>
        <vertAlign val="subscript"/>
        <sz val="8"/>
        <color rgb="FF000000"/>
        <rFont val="Calibri"/>
        <family val="2"/>
        <scheme val="minor"/>
      </rPr>
      <t>L/Qb</t>
    </r>
    <r>
      <rPr>
        <b/>
        <sz val="8"/>
        <color rgb="FF000000"/>
        <rFont val="Calibri"/>
        <family val="2"/>
        <scheme val="minor"/>
      </rPr>
      <t xml:space="preserve"> </t>
    </r>
  </si>
  <si>
    <r>
      <t xml:space="preserve"> Z</t>
    </r>
    <r>
      <rPr>
        <b/>
        <vertAlign val="subscript"/>
        <sz val="8"/>
        <color rgb="FF000000"/>
        <rFont val="Calibri"/>
        <family val="2"/>
        <scheme val="minor"/>
      </rPr>
      <t>L/S</t>
    </r>
    <r>
      <rPr>
        <b/>
        <sz val="8"/>
        <color rgb="FF000000"/>
        <rFont val="Calibri"/>
        <family val="2"/>
        <scheme val="minor"/>
      </rPr>
      <t xml:space="preserve"> </t>
    </r>
  </si>
  <si>
    <r>
      <t>Z</t>
    </r>
    <r>
      <rPr>
        <b/>
        <vertAlign val="subscript"/>
        <sz val="8"/>
        <rFont val="Calibri"/>
        <family val="2"/>
        <scheme val="minor"/>
      </rPr>
      <t>L/W</t>
    </r>
    <r>
      <rPr>
        <b/>
        <vertAlign val="superscript"/>
        <sz val="8"/>
        <rFont val="Calibri"/>
        <family val="2"/>
        <scheme val="minor"/>
      </rPr>
      <t>L</t>
    </r>
    <r>
      <rPr>
        <b/>
        <sz val="8"/>
        <rFont val="Calibri"/>
        <family val="2"/>
        <scheme val="minor"/>
      </rPr>
      <t xml:space="preserve"> </t>
    </r>
  </si>
  <si>
    <r>
      <t xml:space="preserve"> Z</t>
    </r>
    <r>
      <rPr>
        <b/>
        <vertAlign val="subscript"/>
        <sz val="8"/>
        <rFont val="Calibri"/>
        <family val="2"/>
        <scheme val="minor"/>
      </rPr>
      <t>L/W</t>
    </r>
    <r>
      <rPr>
        <b/>
        <vertAlign val="superscript"/>
        <sz val="8"/>
        <rFont val="Calibri"/>
        <family val="2"/>
        <scheme val="minor"/>
      </rPr>
      <t>o</t>
    </r>
  </si>
  <si>
    <r>
      <t xml:space="preserve"> Z</t>
    </r>
    <r>
      <rPr>
        <b/>
        <vertAlign val="subscript"/>
        <sz val="8"/>
        <color rgb="FF000000"/>
        <rFont val="Calibri"/>
        <family val="2"/>
        <scheme val="minor"/>
      </rPr>
      <t>O/Qf</t>
    </r>
    <r>
      <rPr>
        <b/>
        <sz val="8"/>
        <color rgb="FF000000"/>
        <rFont val="Calibri"/>
        <family val="2"/>
        <scheme val="minor"/>
      </rPr>
      <t xml:space="preserve"> </t>
    </r>
  </si>
  <si>
    <r>
      <t>Z</t>
    </r>
    <r>
      <rPr>
        <b/>
        <vertAlign val="subscript"/>
        <sz val="8"/>
        <color rgb="FF000000"/>
        <rFont val="Calibri"/>
        <family val="2"/>
        <scheme val="minor"/>
      </rPr>
      <t>O/Qb</t>
    </r>
    <r>
      <rPr>
        <b/>
        <sz val="8"/>
        <color rgb="FF000000"/>
        <rFont val="Calibri"/>
        <family val="2"/>
        <scheme val="minor"/>
      </rPr>
      <t xml:space="preserve"> </t>
    </r>
  </si>
  <si>
    <r>
      <t xml:space="preserve"> Z</t>
    </r>
    <r>
      <rPr>
        <b/>
        <vertAlign val="subscript"/>
        <sz val="8"/>
        <color rgb="FF000000"/>
        <rFont val="Calibri"/>
        <family val="2"/>
        <scheme val="minor"/>
      </rPr>
      <t>O/S</t>
    </r>
    <r>
      <rPr>
        <b/>
        <sz val="8"/>
        <color rgb="FF000000"/>
        <rFont val="Calibri"/>
        <family val="2"/>
        <scheme val="minor"/>
      </rPr>
      <t xml:space="preserve"> </t>
    </r>
  </si>
  <si>
    <r>
      <t>Z</t>
    </r>
    <r>
      <rPr>
        <b/>
        <vertAlign val="subscript"/>
        <sz val="8"/>
        <rFont val="Calibri"/>
        <family val="2"/>
        <scheme val="minor"/>
      </rPr>
      <t>O/W</t>
    </r>
    <r>
      <rPr>
        <b/>
        <vertAlign val="superscript"/>
        <sz val="8"/>
        <rFont val="Calibri"/>
        <family val="2"/>
        <scheme val="minor"/>
      </rPr>
      <t>L</t>
    </r>
    <r>
      <rPr>
        <b/>
        <sz val="8"/>
        <rFont val="Calibri"/>
        <family val="2"/>
        <scheme val="minor"/>
      </rPr>
      <t xml:space="preserve"> </t>
    </r>
  </si>
  <si>
    <r>
      <t xml:space="preserve"> Z</t>
    </r>
    <r>
      <rPr>
        <b/>
        <vertAlign val="subscript"/>
        <sz val="8"/>
        <rFont val="Calibri"/>
        <family val="2"/>
        <scheme val="minor"/>
      </rPr>
      <t>O/W</t>
    </r>
    <r>
      <rPr>
        <b/>
        <vertAlign val="superscript"/>
        <sz val="8"/>
        <rFont val="Calibri"/>
        <family val="2"/>
        <scheme val="minor"/>
      </rPr>
      <t>o</t>
    </r>
  </si>
  <si>
    <r>
      <t>-Ω</t>
    </r>
    <r>
      <rPr>
        <vertAlign val="subscript"/>
        <sz val="8"/>
        <color theme="1"/>
        <rFont val="Times New Roman"/>
        <family val="1"/>
      </rPr>
      <t>L/W</t>
    </r>
    <r>
      <rPr>
        <vertAlign val="superscript"/>
        <sz val="8"/>
        <color theme="1"/>
        <rFont val="Times New Roman"/>
        <family val="1"/>
      </rPr>
      <t>L</t>
    </r>
  </si>
  <si>
    <r>
      <t>-</t>
    </r>
    <r>
      <rPr>
        <sz val="8"/>
        <color theme="1"/>
        <rFont val="Times New Roman"/>
        <family val="1"/>
      </rPr>
      <t xml:space="preserve"> Ω</t>
    </r>
    <r>
      <rPr>
        <vertAlign val="subscript"/>
        <sz val="8"/>
        <color theme="1"/>
        <rFont val="Times New Roman"/>
        <family val="1"/>
      </rPr>
      <t>L/W</t>
    </r>
    <r>
      <rPr>
        <vertAlign val="superscript"/>
        <sz val="8"/>
        <color theme="1"/>
        <rFont val="Times New Roman"/>
        <family val="1"/>
      </rPr>
      <t>o</t>
    </r>
  </si>
  <si>
    <r>
      <t>-Ω</t>
    </r>
    <r>
      <rPr>
        <vertAlign val="subscript"/>
        <sz val="8"/>
        <color theme="1"/>
        <rFont val="Times New Roman"/>
        <family val="1"/>
      </rPr>
      <t>O/W</t>
    </r>
    <r>
      <rPr>
        <vertAlign val="superscript"/>
        <sz val="8"/>
        <color theme="1"/>
        <rFont val="Times New Roman"/>
        <family val="1"/>
      </rPr>
      <t>L</t>
    </r>
  </si>
  <si>
    <r>
      <t>-</t>
    </r>
    <r>
      <rPr>
        <sz val="8"/>
        <color theme="1"/>
        <rFont val="Times New Roman"/>
        <family val="1"/>
      </rPr>
      <t xml:space="preserve"> Ω</t>
    </r>
    <r>
      <rPr>
        <vertAlign val="subscript"/>
        <sz val="8"/>
        <color theme="1"/>
        <rFont val="Times New Roman"/>
        <family val="1"/>
      </rPr>
      <t>O/W</t>
    </r>
    <r>
      <rPr>
        <vertAlign val="superscript"/>
        <sz val="8"/>
        <color theme="1"/>
        <rFont val="Times New Roman"/>
        <family val="1"/>
      </rPr>
      <t>o</t>
    </r>
  </si>
  <si>
    <t>Market Effects</t>
  </si>
  <si>
    <t>dlnQf</t>
  </si>
  <si>
    <t>dlnQb</t>
  </si>
  <si>
    <t xml:space="preserve"> </t>
  </si>
  <si>
    <r>
      <t>dlnQ</t>
    </r>
    <r>
      <rPr>
        <vertAlign val="superscript"/>
        <sz val="8"/>
        <color rgb="FF000000"/>
        <rFont val="Calibri"/>
        <family val="2"/>
        <scheme val="minor"/>
      </rPr>
      <t>b</t>
    </r>
  </si>
  <si>
    <r>
      <t>dlnQ</t>
    </r>
    <r>
      <rPr>
        <vertAlign val="superscript"/>
        <sz val="8"/>
        <color rgb="FF000000"/>
        <rFont val="Calibri"/>
        <family val="2"/>
        <scheme val="minor"/>
      </rPr>
      <t>f</t>
    </r>
  </si>
  <si>
    <r>
      <t>dlnP</t>
    </r>
    <r>
      <rPr>
        <vertAlign val="superscript"/>
        <sz val="8"/>
        <color rgb="FF000000"/>
        <rFont val="Calibri"/>
        <family val="2"/>
        <scheme val="minor"/>
      </rPr>
      <t>Qb</t>
    </r>
  </si>
  <si>
    <r>
      <t>dlnP</t>
    </r>
    <r>
      <rPr>
        <vertAlign val="superscript"/>
        <sz val="8"/>
        <color rgb="FF000000"/>
        <rFont val="Calibri"/>
        <family val="2"/>
        <scheme val="minor"/>
      </rPr>
      <t>Qf</t>
    </r>
  </si>
  <si>
    <r>
      <t>dlnP</t>
    </r>
    <r>
      <rPr>
        <vertAlign val="superscript"/>
        <sz val="8"/>
        <color rgb="FF000000"/>
        <rFont val="Calibri"/>
        <family val="2"/>
        <scheme val="minor"/>
      </rPr>
      <t>S</t>
    </r>
  </si>
  <si>
    <r>
      <t>dlnW</t>
    </r>
    <r>
      <rPr>
        <vertAlign val="superscript"/>
        <sz val="8"/>
        <color rgb="FF000000"/>
        <rFont val="Calibri"/>
        <family val="2"/>
        <scheme val="minor"/>
      </rPr>
      <t>L</t>
    </r>
  </si>
  <si>
    <r>
      <t>dlnW</t>
    </r>
    <r>
      <rPr>
        <vertAlign val="superscript"/>
        <sz val="8"/>
        <color rgb="FF000000"/>
        <rFont val="Calibri"/>
        <family val="2"/>
        <scheme val="minor"/>
      </rPr>
      <t>o</t>
    </r>
  </si>
  <si>
    <r>
      <t>-H</t>
    </r>
    <r>
      <rPr>
        <b/>
        <vertAlign val="subscript"/>
        <sz val="8"/>
        <color rgb="FF000000"/>
        <rFont val="Calibri"/>
        <family val="2"/>
        <scheme val="minor"/>
      </rPr>
      <t>Qb/p</t>
    </r>
    <r>
      <rPr>
        <b/>
        <vertAlign val="superscript"/>
        <sz val="8"/>
        <color rgb="FF000000"/>
        <rFont val="Calibri"/>
        <family val="2"/>
        <scheme val="minor"/>
      </rPr>
      <t>Qb</t>
    </r>
  </si>
  <si>
    <r>
      <t>-H</t>
    </r>
    <r>
      <rPr>
        <b/>
        <vertAlign val="subscript"/>
        <sz val="8"/>
        <color rgb="FF000000"/>
        <rFont val="Calibri"/>
        <family val="2"/>
        <scheme val="minor"/>
      </rPr>
      <t>Qb/P</t>
    </r>
    <r>
      <rPr>
        <b/>
        <vertAlign val="superscript"/>
        <sz val="8"/>
        <color rgb="FF000000"/>
        <rFont val="Calibri"/>
        <family val="2"/>
        <scheme val="minor"/>
      </rPr>
      <t>Qf</t>
    </r>
  </si>
  <si>
    <r>
      <t>-H</t>
    </r>
    <r>
      <rPr>
        <b/>
        <vertAlign val="subscript"/>
        <sz val="8"/>
        <color rgb="FF000000"/>
        <rFont val="Calibri"/>
        <family val="2"/>
        <scheme val="minor"/>
      </rPr>
      <t>Qb/P</t>
    </r>
    <r>
      <rPr>
        <b/>
        <vertAlign val="superscript"/>
        <sz val="8"/>
        <color rgb="FF000000"/>
        <rFont val="Calibri"/>
        <family val="2"/>
        <scheme val="minor"/>
      </rPr>
      <t>S</t>
    </r>
  </si>
  <si>
    <r>
      <t>β</t>
    </r>
    <r>
      <rPr>
        <vertAlign val="subscript"/>
        <sz val="8"/>
        <color rgb="FF000000"/>
        <rFont val="Calibri"/>
        <family val="2"/>
        <scheme val="minor"/>
      </rPr>
      <t>1</t>
    </r>
  </si>
  <si>
    <r>
      <t>-H</t>
    </r>
    <r>
      <rPr>
        <b/>
        <vertAlign val="subscript"/>
        <sz val="8"/>
        <color rgb="FF000000"/>
        <rFont val="Calibri"/>
        <family val="2"/>
        <scheme val="minor"/>
      </rPr>
      <t>Qf/P</t>
    </r>
    <r>
      <rPr>
        <b/>
        <vertAlign val="superscript"/>
        <sz val="8"/>
        <color rgb="FF000000"/>
        <rFont val="Calibri"/>
        <family val="2"/>
        <scheme val="minor"/>
      </rPr>
      <t>Qb</t>
    </r>
  </si>
  <si>
    <r>
      <t>-H</t>
    </r>
    <r>
      <rPr>
        <b/>
        <vertAlign val="subscript"/>
        <sz val="8"/>
        <color rgb="FF000000"/>
        <rFont val="Calibri"/>
        <family val="2"/>
        <scheme val="minor"/>
      </rPr>
      <t>Qf/P</t>
    </r>
    <r>
      <rPr>
        <b/>
        <vertAlign val="superscript"/>
        <sz val="8"/>
        <color rgb="FF000000"/>
        <rFont val="Calibri"/>
        <family val="2"/>
        <scheme val="minor"/>
      </rPr>
      <t>Qf</t>
    </r>
  </si>
  <si>
    <r>
      <t>-H</t>
    </r>
    <r>
      <rPr>
        <b/>
        <vertAlign val="subscript"/>
        <sz val="8"/>
        <color rgb="FF000000"/>
        <rFont val="Calibri"/>
        <family val="2"/>
        <scheme val="minor"/>
      </rPr>
      <t>Qf/P</t>
    </r>
    <r>
      <rPr>
        <b/>
        <vertAlign val="superscript"/>
        <sz val="8"/>
        <color rgb="FF000000"/>
        <rFont val="Calibri"/>
        <family val="2"/>
        <scheme val="minor"/>
      </rPr>
      <t>S</t>
    </r>
  </si>
  <si>
    <r>
      <t>-H</t>
    </r>
    <r>
      <rPr>
        <b/>
        <vertAlign val="subscript"/>
        <sz val="8"/>
        <color rgb="FF000000"/>
        <rFont val="Calibri"/>
        <family val="2"/>
        <scheme val="minor"/>
      </rPr>
      <t>S/P</t>
    </r>
    <r>
      <rPr>
        <b/>
        <vertAlign val="superscript"/>
        <sz val="8"/>
        <color rgb="FF000000"/>
        <rFont val="Calibri"/>
        <family val="2"/>
        <scheme val="minor"/>
      </rPr>
      <t>Qb</t>
    </r>
  </si>
  <si>
    <r>
      <t>-H</t>
    </r>
    <r>
      <rPr>
        <b/>
        <vertAlign val="subscript"/>
        <sz val="8"/>
        <color rgb="FF000000"/>
        <rFont val="Calibri"/>
        <family val="2"/>
        <scheme val="minor"/>
      </rPr>
      <t>S/P</t>
    </r>
    <r>
      <rPr>
        <b/>
        <vertAlign val="superscript"/>
        <sz val="8"/>
        <color rgb="FF000000"/>
        <rFont val="Calibri"/>
        <family val="2"/>
        <scheme val="minor"/>
      </rPr>
      <t>Qf</t>
    </r>
  </si>
  <si>
    <r>
      <t>-H</t>
    </r>
    <r>
      <rPr>
        <b/>
        <vertAlign val="subscript"/>
        <sz val="8"/>
        <color rgb="FF000000"/>
        <rFont val="Calibri"/>
        <family val="2"/>
        <scheme val="minor"/>
      </rPr>
      <t>S/P</t>
    </r>
    <r>
      <rPr>
        <b/>
        <vertAlign val="superscript"/>
        <sz val="8"/>
        <color rgb="FF000000"/>
        <rFont val="Calibri"/>
        <family val="2"/>
        <scheme val="minor"/>
      </rPr>
      <t>S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</si>
  <si>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Qb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Qb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</si>
  <si>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 xml:space="preserve"> (∑</t>
    </r>
    <r>
      <rPr>
        <b/>
        <vertAlign val="subscript"/>
        <sz val="8"/>
        <color rgb="FF000000"/>
        <rFont val="Calibri"/>
        <family val="2"/>
        <scheme val="minor"/>
      </rPr>
      <t>Qf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Qb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</si>
  <si>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 xml:space="preserve"> (∑</t>
    </r>
    <r>
      <rPr>
        <b/>
        <vertAlign val="subscript"/>
        <sz val="8"/>
        <color rgb="FF000000"/>
        <rFont val="Calibri"/>
        <family val="2"/>
        <scheme val="minor"/>
      </rPr>
      <t>S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Qb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</si>
  <si>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 xml:space="preserve"> (∑</t>
    </r>
    <r>
      <rPr>
        <b/>
        <vertAlign val="subscript"/>
        <sz val="8"/>
        <color rgb="FF000000"/>
        <rFont val="Calibri"/>
        <family val="2"/>
        <scheme val="minor"/>
      </rPr>
      <t>W</t>
    </r>
    <r>
      <rPr>
        <b/>
        <vertAlign val="superscript"/>
        <sz val="8"/>
        <color rgb="FF000000"/>
        <rFont val="Calibri"/>
        <family val="2"/>
        <scheme val="minor"/>
      </rPr>
      <t>L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Qb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</si>
  <si>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W</t>
    </r>
    <r>
      <rPr>
        <b/>
        <vertAlign val="superscript"/>
        <sz val="8"/>
        <color rgb="FF000000"/>
        <rFont val="Calibri"/>
        <family val="2"/>
        <scheme val="minor"/>
      </rPr>
      <t>o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Qb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</si>
  <si>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Qb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Qf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</si>
  <si>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Qf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Qf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</si>
  <si>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 xml:space="preserve"> (∑</t>
    </r>
    <r>
      <rPr>
        <b/>
        <vertAlign val="subscript"/>
        <sz val="8"/>
        <color rgb="FF000000"/>
        <rFont val="Calibri"/>
        <family val="2"/>
        <scheme val="minor"/>
      </rPr>
      <t>S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Qs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</si>
  <si>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W</t>
    </r>
    <r>
      <rPr>
        <b/>
        <vertAlign val="superscript"/>
        <sz val="8"/>
        <color rgb="FF000000"/>
        <rFont val="Calibri"/>
        <family val="2"/>
        <scheme val="minor"/>
      </rPr>
      <t>L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Qf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</si>
  <si>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W</t>
    </r>
    <r>
      <rPr>
        <b/>
        <vertAlign val="superscript"/>
        <sz val="8"/>
        <color rgb="FF000000"/>
        <rFont val="Calibri"/>
        <family val="2"/>
        <scheme val="minor"/>
      </rPr>
      <t>o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Qf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</si>
  <si>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Qb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</si>
  <si>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Qf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</si>
  <si>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 xml:space="preserve"> (∑</t>
    </r>
    <r>
      <rPr>
        <b/>
        <vertAlign val="subscript"/>
        <sz val="8"/>
        <color rgb="FF000000"/>
        <rFont val="Calibri"/>
        <family val="2"/>
        <scheme val="minor"/>
      </rPr>
      <t>S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</si>
  <si>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W</t>
    </r>
    <r>
      <rPr>
        <b/>
        <vertAlign val="superscript"/>
        <sz val="8"/>
        <color rgb="FF000000"/>
        <rFont val="Calibri"/>
        <family val="2"/>
        <scheme val="minor"/>
      </rPr>
      <t>L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</si>
  <si>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(∑</t>
    </r>
    <r>
      <rPr>
        <b/>
        <vertAlign val="subscript"/>
        <sz val="8"/>
        <color rgb="FF000000"/>
        <rFont val="Calibri"/>
        <family val="2"/>
        <scheme val="minor"/>
      </rPr>
      <t>W</t>
    </r>
    <r>
      <rPr>
        <b/>
        <vertAlign val="superscript"/>
        <sz val="8"/>
        <color rgb="FF000000"/>
        <rFont val="Calibri"/>
        <family val="2"/>
        <scheme val="minor"/>
      </rPr>
      <t>o</t>
    </r>
    <r>
      <rPr>
        <b/>
        <vertAlign val="subscript"/>
        <sz val="8"/>
        <color rgb="FF000000"/>
        <rFont val="Calibri"/>
        <family val="2"/>
        <scheme val="minor"/>
      </rPr>
      <t>/P</t>
    </r>
    <r>
      <rPr>
        <b/>
        <vertAlign val="superscript"/>
        <sz val="8"/>
        <color rgb="FF000000"/>
        <rFont val="Calibri"/>
        <family val="2"/>
        <scheme val="minor"/>
      </rPr>
      <t>S</t>
    </r>
    <r>
      <rPr>
        <b/>
        <sz val="8"/>
        <color rgb="FF000000"/>
        <rFont val="Calibri"/>
        <family val="2"/>
        <scheme val="minor"/>
      </rPr>
      <t>)</t>
    </r>
    <r>
      <rPr>
        <b/>
        <vertAlign val="superscript"/>
        <sz val="8"/>
        <color rgb="FF000000"/>
        <rFont val="Calibri"/>
        <family val="2"/>
        <scheme val="minor"/>
      </rPr>
      <t>-1</t>
    </r>
  </si>
  <si>
    <r>
      <t>Z</t>
    </r>
    <r>
      <rPr>
        <b/>
        <vertAlign val="subscript"/>
        <sz val="8"/>
        <color rgb="FF000000"/>
        <rFont val="Calibri"/>
        <family val="2"/>
        <scheme val="minor"/>
      </rPr>
      <t>L/W</t>
    </r>
    <r>
      <rPr>
        <b/>
        <vertAlign val="superscript"/>
        <sz val="8"/>
        <color rgb="FF000000"/>
        <rFont val="Calibri"/>
        <family val="2"/>
        <scheme val="minor"/>
      </rPr>
      <t>L</t>
    </r>
    <r>
      <rPr>
        <b/>
        <sz val="8"/>
        <color rgb="FF000000"/>
        <rFont val="Calibri"/>
        <family val="2"/>
        <scheme val="minor"/>
      </rPr>
      <t xml:space="preserve"> </t>
    </r>
  </si>
  <si>
    <r>
      <t xml:space="preserve"> Z</t>
    </r>
    <r>
      <rPr>
        <b/>
        <vertAlign val="subscript"/>
        <sz val="8"/>
        <color rgb="FF000000"/>
        <rFont val="Calibri"/>
        <family val="2"/>
        <scheme val="minor"/>
      </rPr>
      <t>L/W</t>
    </r>
    <r>
      <rPr>
        <b/>
        <vertAlign val="superscript"/>
        <sz val="8"/>
        <color rgb="FF000000"/>
        <rFont val="Calibri"/>
        <family val="2"/>
        <scheme val="minor"/>
      </rPr>
      <t>o</t>
    </r>
  </si>
  <si>
    <r>
      <t>Z</t>
    </r>
    <r>
      <rPr>
        <b/>
        <vertAlign val="subscript"/>
        <sz val="8"/>
        <color rgb="FF000000"/>
        <rFont val="Calibri"/>
        <family val="2"/>
        <scheme val="minor"/>
      </rPr>
      <t>O/W</t>
    </r>
    <r>
      <rPr>
        <b/>
        <vertAlign val="superscript"/>
        <sz val="8"/>
        <color rgb="FF000000"/>
        <rFont val="Calibri"/>
        <family val="2"/>
        <scheme val="minor"/>
      </rPr>
      <t>L</t>
    </r>
    <r>
      <rPr>
        <b/>
        <sz val="8"/>
        <color rgb="FF000000"/>
        <rFont val="Calibri"/>
        <family val="2"/>
        <scheme val="minor"/>
      </rPr>
      <t xml:space="preserve"> </t>
    </r>
  </si>
  <si>
    <r>
      <t xml:space="preserve"> Z</t>
    </r>
    <r>
      <rPr>
        <b/>
        <vertAlign val="subscript"/>
        <sz val="8"/>
        <color rgb="FF000000"/>
        <rFont val="Calibri"/>
        <family val="2"/>
        <scheme val="minor"/>
      </rPr>
      <t>O/W</t>
    </r>
    <r>
      <rPr>
        <b/>
        <vertAlign val="superscript"/>
        <sz val="8"/>
        <color rgb="FF000000"/>
        <rFont val="Calibri"/>
        <family val="2"/>
        <scheme val="minor"/>
      </rPr>
      <t>o</t>
    </r>
  </si>
  <si>
    <r>
      <t>-Ω</t>
    </r>
    <r>
      <rPr>
        <vertAlign val="subscript"/>
        <sz val="8"/>
        <color rgb="FF000000"/>
        <rFont val="Times New Roman"/>
        <family val="1"/>
      </rPr>
      <t>L/W</t>
    </r>
    <r>
      <rPr>
        <vertAlign val="superscript"/>
        <sz val="8"/>
        <color rgb="FF000000"/>
        <rFont val="Times New Roman"/>
        <family val="1"/>
      </rPr>
      <t>L</t>
    </r>
  </si>
  <si>
    <r>
      <t>-</t>
    </r>
    <r>
      <rPr>
        <sz val="8"/>
        <color rgb="FF000000"/>
        <rFont val="Times New Roman"/>
        <family val="1"/>
      </rPr>
      <t xml:space="preserve"> Ω</t>
    </r>
    <r>
      <rPr>
        <vertAlign val="subscript"/>
        <sz val="8"/>
        <color rgb="FF000000"/>
        <rFont val="Times New Roman"/>
        <family val="1"/>
      </rPr>
      <t>L/W</t>
    </r>
    <r>
      <rPr>
        <vertAlign val="superscript"/>
        <sz val="8"/>
        <color rgb="FF000000"/>
        <rFont val="Times New Roman"/>
        <family val="1"/>
      </rPr>
      <t>o</t>
    </r>
  </si>
  <si>
    <r>
      <t>-Ω</t>
    </r>
    <r>
      <rPr>
        <vertAlign val="subscript"/>
        <sz val="8"/>
        <color rgb="FF000000"/>
        <rFont val="Times New Roman"/>
        <family val="1"/>
      </rPr>
      <t>O/W</t>
    </r>
    <r>
      <rPr>
        <vertAlign val="superscript"/>
        <sz val="8"/>
        <color rgb="FF000000"/>
        <rFont val="Times New Roman"/>
        <family val="1"/>
      </rPr>
      <t>L</t>
    </r>
  </si>
  <si>
    <r>
      <t>-</t>
    </r>
    <r>
      <rPr>
        <sz val="8"/>
        <color rgb="FF000000"/>
        <rFont val="Times New Roman"/>
        <family val="1"/>
      </rPr>
      <t xml:space="preserve"> Ω</t>
    </r>
    <r>
      <rPr>
        <vertAlign val="subscript"/>
        <sz val="8"/>
        <color rgb="FF000000"/>
        <rFont val="Times New Roman"/>
        <family val="1"/>
      </rPr>
      <t>O/W</t>
    </r>
    <r>
      <rPr>
        <vertAlign val="superscript"/>
        <sz val="8"/>
        <color rgb="FF000000"/>
        <rFont val="Times New Roman"/>
        <family val="1"/>
      </rPr>
      <t>o</t>
    </r>
  </si>
  <si>
    <t>A35=(SHO/SHS)*A26</t>
  </si>
  <si>
    <t>SL/SOT</t>
  </si>
  <si>
    <t>SHO/SHS</t>
  </si>
  <si>
    <t>SOT/SL</t>
  </si>
  <si>
    <t>SS</t>
  </si>
  <si>
    <t>SF</t>
  </si>
  <si>
    <t>SB</t>
  </si>
  <si>
    <t>Variables</t>
  </si>
  <si>
    <r>
      <t>dlnP</t>
    </r>
    <r>
      <rPr>
        <vertAlign val="superscript"/>
        <sz val="11"/>
        <color theme="1"/>
        <rFont val="Calibri"/>
        <family val="2"/>
        <scheme val="minor"/>
      </rPr>
      <t>Qf</t>
    </r>
  </si>
  <si>
    <r>
      <t>dlnP</t>
    </r>
    <r>
      <rPr>
        <vertAlign val="superscript"/>
        <sz val="11"/>
        <color theme="1"/>
        <rFont val="Calibri"/>
        <family val="2"/>
        <scheme val="minor"/>
      </rPr>
      <t>Qb</t>
    </r>
  </si>
  <si>
    <r>
      <t>dlnP</t>
    </r>
    <r>
      <rPr>
        <vertAlign val="superscript"/>
        <sz val="11"/>
        <color theme="1"/>
        <rFont val="Calibri"/>
        <family val="2"/>
        <scheme val="minor"/>
      </rPr>
      <t>S</t>
    </r>
  </si>
  <si>
    <r>
      <t>dlnW</t>
    </r>
    <r>
      <rPr>
        <vertAlign val="superscript"/>
        <sz val="11"/>
        <color theme="1"/>
        <rFont val="Calibri"/>
        <family val="2"/>
        <scheme val="minor"/>
      </rPr>
      <t>L</t>
    </r>
  </si>
  <si>
    <r>
      <t>dlnW</t>
    </r>
    <r>
      <rPr>
        <vertAlign val="superscript"/>
        <sz val="11"/>
        <color theme="1"/>
        <rFont val="Calibri"/>
        <family val="2"/>
        <scheme val="minor"/>
      </rPr>
      <t>o</t>
    </r>
  </si>
  <si>
    <r>
      <t>dlnQ</t>
    </r>
    <r>
      <rPr>
        <vertAlign val="superscript"/>
        <sz val="10"/>
        <color rgb="FF000000"/>
        <rFont val="Calibri"/>
        <family val="2"/>
        <scheme val="minor"/>
      </rPr>
      <t>b</t>
    </r>
  </si>
  <si>
    <r>
      <t>dlnQ</t>
    </r>
    <r>
      <rPr>
        <vertAlign val="superscript"/>
        <sz val="10"/>
        <color rgb="FF000000"/>
        <rFont val="Calibri"/>
        <family val="2"/>
        <scheme val="minor"/>
      </rPr>
      <t>f</t>
    </r>
  </si>
  <si>
    <r>
      <t>dlnP</t>
    </r>
    <r>
      <rPr>
        <vertAlign val="superscript"/>
        <sz val="10"/>
        <color rgb="FF000000"/>
        <rFont val="Calibri"/>
        <family val="2"/>
        <scheme val="minor"/>
      </rPr>
      <t>Qb</t>
    </r>
  </si>
  <si>
    <r>
      <t>dlnP</t>
    </r>
    <r>
      <rPr>
        <vertAlign val="superscript"/>
        <sz val="10"/>
        <color rgb="FF000000"/>
        <rFont val="Calibri"/>
        <family val="2"/>
        <scheme val="minor"/>
      </rPr>
      <t>Qf</t>
    </r>
  </si>
  <si>
    <r>
      <t>dlnP</t>
    </r>
    <r>
      <rPr>
        <vertAlign val="superscript"/>
        <sz val="10"/>
        <color rgb="FF000000"/>
        <rFont val="Calibri"/>
        <family val="2"/>
        <scheme val="minor"/>
      </rPr>
      <t>S</t>
    </r>
  </si>
  <si>
    <r>
      <t>dlnW</t>
    </r>
    <r>
      <rPr>
        <vertAlign val="superscript"/>
        <sz val="10"/>
        <color rgb="FF000000"/>
        <rFont val="Calibri"/>
        <family val="2"/>
        <scheme val="minor"/>
      </rPr>
      <t>L</t>
    </r>
  </si>
  <si>
    <r>
      <t>dlnW</t>
    </r>
    <r>
      <rPr>
        <vertAlign val="superscript"/>
        <sz val="10"/>
        <color rgb="FF000000"/>
        <rFont val="Calibri"/>
        <family val="2"/>
        <scheme val="minor"/>
      </rPr>
      <t>o</t>
    </r>
  </si>
  <si>
    <r>
      <t>dlnQ</t>
    </r>
    <r>
      <rPr>
        <b/>
        <vertAlign val="superscript"/>
        <sz val="10"/>
        <color rgb="FF000000"/>
        <rFont val="Calibri"/>
        <family val="2"/>
        <scheme val="minor"/>
      </rPr>
      <t>b</t>
    </r>
  </si>
  <si>
    <r>
      <t>dlnQ</t>
    </r>
    <r>
      <rPr>
        <b/>
        <vertAlign val="superscript"/>
        <sz val="10"/>
        <color rgb="FF000000"/>
        <rFont val="Calibri"/>
        <family val="2"/>
        <scheme val="minor"/>
      </rPr>
      <t>f</t>
    </r>
  </si>
  <si>
    <r>
      <t>dlnP</t>
    </r>
    <r>
      <rPr>
        <b/>
        <vertAlign val="superscript"/>
        <sz val="10"/>
        <color rgb="FF000000"/>
        <rFont val="Calibri"/>
        <family val="2"/>
        <scheme val="minor"/>
      </rPr>
      <t>Qb</t>
    </r>
  </si>
  <si>
    <r>
      <t>dlnP</t>
    </r>
    <r>
      <rPr>
        <b/>
        <vertAlign val="superscript"/>
        <sz val="10"/>
        <color rgb="FF000000"/>
        <rFont val="Calibri"/>
        <family val="2"/>
        <scheme val="minor"/>
      </rPr>
      <t>Qf</t>
    </r>
  </si>
  <si>
    <r>
      <t>dlnP</t>
    </r>
    <r>
      <rPr>
        <b/>
        <vertAlign val="superscript"/>
        <sz val="10"/>
        <color rgb="FF000000"/>
        <rFont val="Calibri"/>
        <family val="2"/>
        <scheme val="minor"/>
      </rPr>
      <t>S</t>
    </r>
  </si>
  <si>
    <r>
      <t>dlnW</t>
    </r>
    <r>
      <rPr>
        <b/>
        <vertAlign val="superscript"/>
        <sz val="10"/>
        <color rgb="FF000000"/>
        <rFont val="Calibri"/>
        <family val="2"/>
        <scheme val="minor"/>
      </rPr>
      <t>L</t>
    </r>
  </si>
  <si>
    <r>
      <t>dlnW</t>
    </r>
    <r>
      <rPr>
        <b/>
        <vertAlign val="superscript"/>
        <sz val="10"/>
        <color rgb="FF000000"/>
        <rFont val="Calibri"/>
        <family val="2"/>
        <scheme val="minor"/>
      </rPr>
      <t>o</t>
    </r>
  </si>
  <si>
    <r>
      <t>dlnQ</t>
    </r>
    <r>
      <rPr>
        <vertAlign val="superscript"/>
        <sz val="11"/>
        <color theme="1"/>
        <rFont val="Calibri"/>
        <family val="2"/>
        <scheme val="minor"/>
      </rPr>
      <t>f</t>
    </r>
  </si>
  <si>
    <r>
      <t>dlnQ</t>
    </r>
    <r>
      <rPr>
        <vertAlign val="superscript"/>
        <sz val="11"/>
        <color theme="1"/>
        <rFont val="Calibri"/>
        <family val="2"/>
        <scheme val="minor"/>
      </rPr>
      <t>b</t>
    </r>
  </si>
  <si>
    <r>
      <t>dlnQ</t>
    </r>
    <r>
      <rPr>
        <vertAlign val="superscript"/>
        <sz val="11"/>
        <color rgb="FF000000"/>
        <rFont val="Calibri"/>
        <family val="2"/>
        <scheme val="minor"/>
      </rPr>
      <t>b</t>
    </r>
  </si>
  <si>
    <r>
      <t>β</t>
    </r>
    <r>
      <rPr>
        <vertAlign val="subscript"/>
        <sz val="11"/>
        <color rgb="FF000000"/>
        <rFont val="Calibri"/>
        <family val="2"/>
        <scheme val="minor"/>
      </rPr>
      <t>1</t>
    </r>
  </si>
  <si>
    <r>
      <t>dlnQ</t>
    </r>
    <r>
      <rPr>
        <vertAlign val="superscript"/>
        <sz val="11"/>
        <color rgb="FF000000"/>
        <rFont val="Calibri"/>
        <family val="2"/>
        <scheme val="minor"/>
      </rPr>
      <t>f</t>
    </r>
  </si>
  <si>
    <r>
      <t>dlnP</t>
    </r>
    <r>
      <rPr>
        <vertAlign val="superscript"/>
        <sz val="11"/>
        <color rgb="FF000000"/>
        <rFont val="Calibri"/>
        <family val="2"/>
        <scheme val="minor"/>
      </rPr>
      <t>Qb</t>
    </r>
  </si>
  <si>
    <r>
      <t>dlnP</t>
    </r>
    <r>
      <rPr>
        <vertAlign val="superscript"/>
        <sz val="11"/>
        <color rgb="FF000000"/>
        <rFont val="Calibri"/>
        <family val="2"/>
        <scheme val="minor"/>
      </rPr>
      <t>Qf</t>
    </r>
  </si>
  <si>
    <r>
      <t>dlnP</t>
    </r>
    <r>
      <rPr>
        <vertAlign val="superscript"/>
        <sz val="11"/>
        <color rgb="FF000000"/>
        <rFont val="Calibri"/>
        <family val="2"/>
        <scheme val="minor"/>
      </rPr>
      <t>S</t>
    </r>
  </si>
  <si>
    <r>
      <t>dlnW</t>
    </r>
    <r>
      <rPr>
        <vertAlign val="superscript"/>
        <sz val="11"/>
        <color rgb="FF000000"/>
        <rFont val="Calibri"/>
        <family val="2"/>
        <scheme val="minor"/>
      </rPr>
      <t>L</t>
    </r>
  </si>
  <si>
    <r>
      <t>dlnW</t>
    </r>
    <r>
      <rPr>
        <vertAlign val="superscript"/>
        <sz val="11"/>
        <color rgb="FF000000"/>
        <rFont val="Calibri"/>
        <family val="2"/>
        <scheme val="minor"/>
      </rPr>
      <t>o</t>
    </r>
  </si>
  <si>
    <t>relative</t>
  </si>
  <si>
    <t>D B</t>
  </si>
  <si>
    <t>D F</t>
  </si>
  <si>
    <t>D S</t>
  </si>
  <si>
    <t>S B</t>
  </si>
  <si>
    <t>S F</t>
  </si>
  <si>
    <t>S S</t>
  </si>
  <si>
    <t>DD L</t>
  </si>
  <si>
    <t>DD O</t>
  </si>
  <si>
    <t>S L</t>
  </si>
  <si>
    <t>S O</t>
  </si>
  <si>
    <t>SL</t>
  </si>
  <si>
    <t>SO</t>
  </si>
  <si>
    <t>share of ag inputs</t>
  </si>
  <si>
    <t>share of household budget</t>
  </si>
  <si>
    <t>share of ag outputs</t>
  </si>
  <si>
    <t>= my entries</t>
  </si>
  <si>
    <t>S</t>
  </si>
  <si>
    <t>L</t>
  </si>
  <si>
    <t>O</t>
  </si>
  <si>
    <t>Table 15</t>
  </si>
  <si>
    <t>Qb</t>
  </si>
  <si>
    <t>Qf</t>
  </si>
  <si>
    <t>PQb</t>
  </si>
  <si>
    <t>PQf</t>
  </si>
  <si>
    <t>PS</t>
  </si>
  <si>
    <t>WL</t>
  </si>
  <si>
    <t>Wo</t>
  </si>
  <si>
    <t>value</t>
  </si>
  <si>
    <t>B</t>
  </si>
  <si>
    <t>F</t>
  </si>
  <si>
    <t>hshld share</t>
  </si>
  <si>
    <t>Farm share</t>
  </si>
  <si>
    <t>T Rev</t>
  </si>
  <si>
    <t>T factor</t>
  </si>
  <si>
    <t>his base</t>
  </si>
  <si>
    <t>d CS</t>
  </si>
  <si>
    <t>d PS</t>
  </si>
  <si>
    <t>Tables 16,17</t>
  </si>
  <si>
    <t>as fractions of value</t>
  </si>
  <si>
    <t>Pft shr</t>
  </si>
  <si>
    <t>change</t>
  </si>
  <si>
    <t>Welfare effects</t>
  </si>
  <si>
    <t>CS B</t>
  </si>
  <si>
    <t>CS S</t>
  </si>
  <si>
    <t>PS L</t>
  </si>
  <si>
    <t>PS O</t>
  </si>
  <si>
    <t>CS F</t>
  </si>
  <si>
    <t>pct of value</t>
  </si>
  <si>
    <t>% Change</t>
  </si>
  <si>
    <r>
      <t>% ∆</t>
    </r>
    <r>
      <rPr>
        <sz val="9"/>
        <color rgb="FF000000"/>
        <rFont val="Calibri"/>
        <family val="2"/>
        <scheme val="minor"/>
      </rPr>
      <t xml:space="preserve"> PS LAND &gt;</t>
    </r>
  </si>
  <si>
    <r>
      <t>% ∆</t>
    </r>
    <r>
      <rPr>
        <sz val="9"/>
        <color rgb="FF000000"/>
        <rFont val="Calibri"/>
        <family val="2"/>
        <scheme val="minor"/>
      </rPr>
      <t xml:space="preserve"> PS OTHER &gt;</t>
    </r>
  </si>
  <si>
    <r>
      <t xml:space="preserve"> % ∆</t>
    </r>
    <r>
      <rPr>
        <sz val="9"/>
        <color rgb="FF000000"/>
        <rFont val="Calibri"/>
        <family val="2"/>
        <scheme val="minor"/>
      </rPr>
      <t xml:space="preserve"> CS STAPLE &gt;</t>
    </r>
  </si>
  <si>
    <r>
      <t>% ∆</t>
    </r>
    <r>
      <rPr>
        <sz val="9"/>
        <color rgb="FF000000"/>
        <rFont val="Calibri"/>
        <family val="2"/>
        <scheme val="minor"/>
      </rPr>
      <t xml:space="preserve"> CS EDIBLE BIOFUEL &gt;</t>
    </r>
  </si>
  <si>
    <r>
      <t>% ∆</t>
    </r>
    <r>
      <rPr>
        <sz val="9"/>
        <color rgb="FF000000"/>
        <rFont val="Calibri"/>
        <family val="2"/>
        <scheme val="minor"/>
      </rPr>
      <t xml:space="preserve"> CS INEDIBLE BIOFUEL &gt;</t>
    </r>
  </si>
  <si>
    <t>Sensitivity Analysis</t>
  </si>
  <si>
    <t>Variable of Change: Own Price Elasticity of Supply of Land</t>
  </si>
  <si>
    <t>dlnPQb</t>
  </si>
  <si>
    <t>dlnPQf</t>
  </si>
  <si>
    <t>dlnPS</t>
  </si>
  <si>
    <t>dlnWL</t>
  </si>
  <si>
    <t>dlnWo</t>
  </si>
  <si>
    <t>Welfare Effects</t>
  </si>
  <si>
    <t>Elasticities &gt;&gt;</t>
  </si>
  <si>
    <t>Main Results</t>
  </si>
  <si>
    <r>
      <t>β</t>
    </r>
    <r>
      <rPr>
        <vertAlign val="subscript"/>
        <sz val="11"/>
        <color rgb="FF000000"/>
        <rFont val="Calibri"/>
        <family val="2"/>
        <scheme val="minor"/>
      </rPr>
      <t>1 = -0.3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</si>
</sst>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Calibri"/>
      <family val="2"/>
      <scheme val="minor"/>
    </font>
    <font>
      <b/>
      <vertAlign val="subscript"/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color rgb="FF000000"/>
      <name val="Calibri"/>
      <family val="2"/>
      <scheme val="minor"/>
    </font>
    <font>
      <b/>
      <vertAlign val="subscript"/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vertAlign val="subscript"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b/>
      <sz val="8"/>
      <color theme="1"/>
      <name val="Arial"/>
      <family val="2"/>
    </font>
    <font>
      <sz val="8"/>
      <color rgb="FF000000"/>
      <name val="Calibri"/>
      <family val="2"/>
      <scheme val="minor"/>
    </font>
    <font>
      <vertAlign val="superscript"/>
      <sz val="8"/>
      <color rgb="FF000000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Times New Roman"/>
      <family val="1"/>
    </font>
    <font>
      <b/>
      <vertAlign val="superscript"/>
      <sz val="8"/>
      <color rgb="FF000000"/>
      <name val="Calibri"/>
      <family val="2"/>
      <scheme val="minor"/>
    </font>
    <font>
      <vertAlign val="subscript"/>
      <sz val="8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Times New Roman"/>
      <family val="1"/>
    </font>
    <font>
      <vertAlign val="subscript"/>
      <sz val="8"/>
      <color rgb="FF000000"/>
      <name val="Times New Roman"/>
      <family val="1"/>
    </font>
    <font>
      <vertAlign val="superscript"/>
      <sz val="8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vertAlign val="superscript"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vertAlign val="subscript"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Albany AMT"/>
      <family val="2"/>
    </font>
    <font>
      <sz val="9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8">
    <xf numFmtId="0" fontId="0" fillId="0" borderId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9" fontId="49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</cellStyleXfs>
  <cellXfs count="15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justify" vertical="center"/>
    </xf>
    <xf numFmtId="0" fontId="11" fillId="6" borderId="3" xfId="0" applyFont="1" applyFill="1" applyBorder="1" applyAlignment="1">
      <alignment horizontal="justify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9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/>
    </xf>
    <xf numFmtId="0" fontId="19" fillId="0" borderId="1" xfId="0" applyFont="1" applyBorder="1" applyAlignment="1">
      <alignment horizontal="justify" vertical="center"/>
    </xf>
    <xf numFmtId="0" fontId="21" fillId="0" borderId="1" xfId="0" applyFont="1" applyBorder="1" applyAlignment="1">
      <alignment horizontal="justify" vertical="center"/>
    </xf>
    <xf numFmtId="0" fontId="22" fillId="11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9" fillId="0" borderId="0" xfId="0" applyFont="1"/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center"/>
    </xf>
    <xf numFmtId="2" fontId="0" fillId="0" borderId="0" xfId="0" applyNumberFormat="1"/>
    <xf numFmtId="0" fontId="31" fillId="15" borderId="0" xfId="0" applyFont="1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10" borderId="1" xfId="0" applyFont="1" applyFill="1" applyBorder="1"/>
    <xf numFmtId="164" fontId="0" fillId="0" borderId="1" xfId="0" applyNumberFormat="1" applyBorder="1" applyAlignment="1">
      <alignment horizontal="center"/>
    </xf>
    <xf numFmtId="0" fontId="0" fillId="16" borderId="1" xfId="0" applyFill="1" applyBorder="1"/>
    <xf numFmtId="0" fontId="0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8" fillId="0" borderId="1" xfId="0" applyFont="1" applyBorder="1" applyAlignment="1">
      <alignment vertical="center"/>
    </xf>
    <xf numFmtId="0" fontId="34" fillId="0" borderId="1" xfId="0" applyFont="1" applyBorder="1" applyAlignment="1">
      <alignment horizontal="justify" vertical="center"/>
    </xf>
    <xf numFmtId="0" fontId="36" fillId="0" borderId="1" xfId="0" applyFont="1" applyBorder="1" applyAlignment="1">
      <alignment horizontal="justify" vertical="center"/>
    </xf>
    <xf numFmtId="0" fontId="0" fillId="0" borderId="1" xfId="0" applyFont="1" applyBorder="1" applyAlignment="1">
      <alignment vertical="center"/>
    </xf>
    <xf numFmtId="0" fontId="41" fillId="11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9" fillId="0" borderId="1" xfId="0" applyFont="1" applyBorder="1" applyAlignment="1">
      <alignment vertical="center"/>
    </xf>
    <xf numFmtId="0" fontId="44" fillId="0" borderId="1" xfId="0" applyFont="1" applyBorder="1" applyAlignment="1">
      <alignment horizontal="justify" vertical="center"/>
    </xf>
    <xf numFmtId="0" fontId="46" fillId="11" borderId="1" xfId="0" applyFont="1" applyFill="1" applyBorder="1" applyAlignment="1">
      <alignment horizontal="center" vertical="center"/>
    </xf>
    <xf numFmtId="0" fontId="42" fillId="14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29" fillId="0" borderId="1" xfId="0" applyFont="1" applyBorder="1" applyAlignment="1">
      <alignment horizontal="justify" vertical="center"/>
    </xf>
    <xf numFmtId="0" fontId="0" fillId="0" borderId="0" xfId="0" applyFont="1"/>
    <xf numFmtId="0" fontId="0" fillId="5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2" fontId="0" fillId="6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2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2" fontId="0" fillId="8" borderId="1" xfId="0" applyNumberFormat="1" applyFont="1" applyFill="1" applyBorder="1"/>
    <xf numFmtId="2" fontId="0" fillId="9" borderId="1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2" fontId="0" fillId="5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48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0" fillId="0" borderId="1" xfId="0" applyFont="1" applyBorder="1" applyAlignment="1">
      <alignment horizontal="justify" vertical="center"/>
    </xf>
    <xf numFmtId="0" fontId="51" fillId="0" borderId="0" xfId="0" applyFont="1"/>
    <xf numFmtId="9" fontId="0" fillId="0" borderId="0" xfId="13" applyFont="1"/>
    <xf numFmtId="10" fontId="51" fillId="0" borderId="0" xfId="13" applyNumberFormat="1" applyFont="1"/>
    <xf numFmtId="10" fontId="0" fillId="0" borderId="1" xfId="13" applyNumberFormat="1" applyFont="1" applyBorder="1" applyAlignment="1">
      <alignment horizontal="center"/>
    </xf>
    <xf numFmtId="0" fontId="2" fillId="0" borderId="0" xfId="0" applyFont="1"/>
    <xf numFmtId="0" fontId="52" fillId="15" borderId="0" xfId="0" applyFont="1" applyFill="1" applyAlignment="1">
      <alignment horizontal="center"/>
    </xf>
    <xf numFmtId="0" fontId="0" fillId="0" borderId="0" xfId="0" quotePrefix="1"/>
    <xf numFmtId="2" fontId="42" fillId="17" borderId="1" xfId="0" applyNumberFormat="1" applyFont="1" applyFill="1" applyBorder="1" applyAlignment="1">
      <alignment horizontal="center" vertical="center"/>
    </xf>
    <xf numFmtId="0" fontId="0" fillId="17" borderId="0" xfId="0" applyFill="1"/>
    <xf numFmtId="0" fontId="0" fillId="17" borderId="0" xfId="0" applyFill="1" applyAlignment="1">
      <alignment horizontal="center"/>
    </xf>
    <xf numFmtId="0" fontId="29" fillId="0" borderId="0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9" fillId="0" borderId="0" xfId="0" applyFont="1" applyFill="1" applyBorder="1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7" xfId="0" applyBorder="1" applyAlignment="1">
      <alignment vertical="center"/>
    </xf>
    <xf numFmtId="0" fontId="53" fillId="0" borderId="8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0" fontId="0" fillId="0" borderId="0" xfId="0" applyNumberFormat="1"/>
    <xf numFmtId="0" fontId="53" fillId="0" borderId="7" xfId="0" applyFont="1" applyBorder="1" applyAlignment="1">
      <alignment vertical="center"/>
    </xf>
    <xf numFmtId="0" fontId="54" fillId="0" borderId="9" xfId="0" applyFont="1" applyBorder="1" applyAlignment="1">
      <alignment vertical="center"/>
    </xf>
    <xf numFmtId="0" fontId="29" fillId="0" borderId="3" xfId="0" applyFont="1" applyBorder="1" applyAlignment="1">
      <alignment horizontal="right" vertical="center"/>
    </xf>
    <xf numFmtId="0" fontId="0" fillId="0" borderId="0" xfId="0" applyFill="1"/>
    <xf numFmtId="0" fontId="0" fillId="0" borderId="0" xfId="0" applyFill="1" applyBorder="1"/>
    <xf numFmtId="10" fontId="0" fillId="0" borderId="0" xfId="0" applyNumberFormat="1" applyFill="1" applyBorder="1"/>
    <xf numFmtId="0" fontId="0" fillId="0" borderId="0" xfId="0" applyBorder="1"/>
    <xf numFmtId="0" fontId="53" fillId="0" borderId="0" xfId="0" applyFont="1" applyBorder="1" applyAlignment="1">
      <alignment vertical="center"/>
    </xf>
    <xf numFmtId="0" fontId="53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vertical="center"/>
    </xf>
    <xf numFmtId="0" fontId="29" fillId="0" borderId="0" xfId="0" applyFont="1" applyBorder="1" applyAlignment="1">
      <alignment horizontal="right" vertical="center"/>
    </xf>
    <xf numFmtId="0" fontId="56" fillId="0" borderId="0" xfId="0" applyFont="1"/>
    <xf numFmtId="10" fontId="0" fillId="0" borderId="1" xfId="0" applyNumberFormat="1" applyBorder="1"/>
    <xf numFmtId="10" fontId="0" fillId="0" borderId="1" xfId="0" applyNumberFormat="1" applyBorder="1" applyAlignment="1">
      <alignment horizontal="center"/>
    </xf>
    <xf numFmtId="0" fontId="1" fillId="0" borderId="0" xfId="0" applyFont="1" applyAlignment="1"/>
    <xf numFmtId="0" fontId="1" fillId="18" borderId="1" xfId="0" applyFont="1" applyFill="1" applyBorder="1" applyAlignment="1">
      <alignment horizontal="center"/>
    </xf>
    <xf numFmtId="0" fontId="1" fillId="18" borderId="1" xfId="0" applyFont="1" applyFill="1" applyBorder="1"/>
    <xf numFmtId="0" fontId="1" fillId="18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/>
    </xf>
    <xf numFmtId="0" fontId="1" fillId="18" borderId="10" xfId="0" applyFont="1" applyFill="1" applyBorder="1" applyAlignment="1">
      <alignment horizontal="center"/>
    </xf>
    <xf numFmtId="0" fontId="1" fillId="18" borderId="11" xfId="0" applyFont="1" applyFill="1" applyBorder="1" applyAlignment="1">
      <alignment horizontal="center"/>
    </xf>
    <xf numFmtId="0" fontId="29" fillId="0" borderId="0" xfId="0" applyFont="1" applyBorder="1" applyAlignment="1">
      <alignment horizontal="justify" vertical="center"/>
    </xf>
    <xf numFmtId="0" fontId="9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justify" vertical="center"/>
    </xf>
    <xf numFmtId="0" fontId="19" fillId="0" borderId="0" xfId="0" applyFont="1" applyBorder="1" applyAlignment="1">
      <alignment horizontal="justify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0" fontId="0" fillId="0" borderId="1" xfId="13" applyNumberFormat="1" applyFont="1" applyBorder="1"/>
    <xf numFmtId="0" fontId="0" fillId="0" borderId="1" xfId="0" applyBorder="1" applyAlignment="1">
      <alignment horizontal="center"/>
    </xf>
  </cellXfs>
  <cellStyles count="2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Normal" xfId="0" builtinId="0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'Market Effects 1'!$C$51</c:f>
              <c:strCache>
                <c:ptCount val="1"/>
                <c:pt idx="0">
                  <c:v>0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'Market Effects 1'!$B$52:$B$61</c:f>
              <c:strCache>
                <c:ptCount val="10"/>
                <c:pt idx="0">
                  <c:v>dlnQb</c:v>
                </c:pt>
                <c:pt idx="1">
                  <c:v>dlnQf</c:v>
                </c:pt>
                <c:pt idx="2">
                  <c:v>dlnS</c:v>
                </c:pt>
                <c:pt idx="3">
                  <c:v>dlnPQb</c:v>
                </c:pt>
                <c:pt idx="4">
                  <c:v>dlnPQf</c:v>
                </c:pt>
                <c:pt idx="5">
                  <c:v>dlnPS</c:v>
                </c:pt>
                <c:pt idx="6">
                  <c:v>dlnWL</c:v>
                </c:pt>
                <c:pt idx="7">
                  <c:v>dlnWo</c:v>
                </c:pt>
                <c:pt idx="8">
                  <c:v>dlnL</c:v>
                </c:pt>
                <c:pt idx="9">
                  <c:v>dlnO</c:v>
                </c:pt>
              </c:strCache>
            </c:strRef>
          </c:cat>
          <c:val>
            <c:numRef>
              <c:f>'Market Effects 1'!$C$52:$C$61</c:f>
              <c:numCache>
                <c:formatCode>0.00%</c:formatCode>
                <c:ptCount val="10"/>
                <c:pt idx="0">
                  <c:v>8.5170006797606182E-2</c:v>
                </c:pt>
                <c:pt idx="1">
                  <c:v>-2.145126931770696E-3</c:v>
                </c:pt>
                <c:pt idx="2">
                  <c:v>5.3628173294267356E-4</c:v>
                </c:pt>
                <c:pt idx="3">
                  <c:v>0.21482999320239385</c:v>
                </c:pt>
                <c:pt idx="4">
                  <c:v>1.1266385406237317E-2</c:v>
                </c:pt>
                <c:pt idx="5">
                  <c:v>9.8363007850568521E-3</c:v>
                </c:pt>
                <c:pt idx="6">
                  <c:v>6.7734970194809813E-2</c:v>
                </c:pt>
                <c:pt idx="7">
                  <c:v>1.3546994038961958E-2</c:v>
                </c:pt>
                <c:pt idx="8">
                  <c:v>0</c:v>
                </c:pt>
                <c:pt idx="9">
                  <c:v>2.7093988077923917E-2</c:v>
                </c:pt>
              </c:numCache>
            </c:numRef>
          </c:val>
        </c:ser>
        <c:ser>
          <c:idx val="1"/>
          <c:order val="1"/>
          <c:tx>
            <c:strRef>
              <c:f>'Market Effects 1'!$D$51</c:f>
              <c:strCache>
                <c:ptCount val="1"/>
                <c:pt idx="0">
                  <c:v>0.1</c:v>
                </c:pt>
              </c:strCache>
            </c:strRef>
          </c:tx>
          <c:spPr>
            <a:pattFill prst="pct80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'Market Effects 1'!$B$52:$B$61</c:f>
              <c:strCache>
                <c:ptCount val="10"/>
                <c:pt idx="0">
                  <c:v>dlnQb</c:v>
                </c:pt>
                <c:pt idx="1">
                  <c:v>dlnQf</c:v>
                </c:pt>
                <c:pt idx="2">
                  <c:v>dlnS</c:v>
                </c:pt>
                <c:pt idx="3">
                  <c:v>dlnPQb</c:v>
                </c:pt>
                <c:pt idx="4">
                  <c:v>dlnPQf</c:v>
                </c:pt>
                <c:pt idx="5">
                  <c:v>dlnPS</c:v>
                </c:pt>
                <c:pt idx="6">
                  <c:v>dlnWL</c:v>
                </c:pt>
                <c:pt idx="7">
                  <c:v>dlnWo</c:v>
                </c:pt>
                <c:pt idx="8">
                  <c:v>dlnL</c:v>
                </c:pt>
                <c:pt idx="9">
                  <c:v>dlnO</c:v>
                </c:pt>
              </c:strCache>
            </c:strRef>
          </c:cat>
          <c:val>
            <c:numRef>
              <c:f>'Market Effects 1'!$D$52:$D$61</c:f>
              <c:numCache>
                <c:formatCode>0.00%</c:formatCode>
                <c:ptCount val="10"/>
                <c:pt idx="0">
                  <c:v>8.7581523832738942E-2</c:v>
                </c:pt>
                <c:pt idx="1">
                  <c:v>-2.2058643947930959E-3</c:v>
                </c:pt>
                <c:pt idx="2">
                  <c:v>5.5146609869827288E-4</c:v>
                </c:pt>
                <c:pt idx="3">
                  <c:v>0.21241847616726103</c:v>
                </c:pt>
                <c:pt idx="4">
                  <c:v>3.0911362030414478E-3</c:v>
                </c:pt>
                <c:pt idx="5">
                  <c:v>1.6205599398460503E-3</c:v>
                </c:pt>
                <c:pt idx="6">
                  <c:v>5.0965484522668553E-2</c:v>
                </c:pt>
                <c:pt idx="7">
                  <c:v>1.2231716285440453E-2</c:v>
                </c:pt>
                <c:pt idx="8">
                  <c:v>5.0965484522668561E-3</c:v>
                </c:pt>
                <c:pt idx="9">
                  <c:v>2.4463432570880905E-2</c:v>
                </c:pt>
              </c:numCache>
            </c:numRef>
          </c:val>
        </c:ser>
        <c:ser>
          <c:idx val="2"/>
          <c:order val="2"/>
          <c:tx>
            <c:strRef>
              <c:f>'Market Effects 1'!$E$51</c:f>
              <c:strCache>
                <c:ptCount val="1"/>
                <c:pt idx="0">
                  <c:v>1</c:v>
                </c:pt>
              </c:strCache>
            </c:strRef>
          </c:tx>
          <c:spPr>
            <a:pattFill prst="plaid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'Market Effects 1'!$B$52:$B$61</c:f>
              <c:strCache>
                <c:ptCount val="10"/>
                <c:pt idx="0">
                  <c:v>dlnQb</c:v>
                </c:pt>
                <c:pt idx="1">
                  <c:v>dlnQf</c:v>
                </c:pt>
                <c:pt idx="2">
                  <c:v>dlnS</c:v>
                </c:pt>
                <c:pt idx="3">
                  <c:v>dlnPQb</c:v>
                </c:pt>
                <c:pt idx="4">
                  <c:v>dlnPQf</c:v>
                </c:pt>
                <c:pt idx="5">
                  <c:v>dlnPS</c:v>
                </c:pt>
                <c:pt idx="6">
                  <c:v>dlnWL</c:v>
                </c:pt>
                <c:pt idx="7">
                  <c:v>dlnWo</c:v>
                </c:pt>
                <c:pt idx="8">
                  <c:v>dlnL</c:v>
                </c:pt>
                <c:pt idx="9">
                  <c:v>dlnO</c:v>
                </c:pt>
              </c:strCache>
            </c:strRef>
          </c:cat>
          <c:val>
            <c:numRef>
              <c:f>'Market Effects 1'!$E$52:$E$61</c:f>
              <c:numCache>
                <c:formatCode>0.00%</c:formatCode>
                <c:ptCount val="10"/>
                <c:pt idx="0">
                  <c:v>9.2640224468064275E-2</c:v>
                </c:pt>
                <c:pt idx="1">
                  <c:v>-2.3332749161799242E-3</c:v>
                </c:pt>
                <c:pt idx="2">
                  <c:v>5.833187290449674E-4</c:v>
                </c:pt>
                <c:pt idx="3">
                  <c:v>0.20735977553193563</c:v>
                </c:pt>
                <c:pt idx="4">
                  <c:v>-1.4058292034720629E-2</c:v>
                </c:pt>
                <c:pt idx="5">
                  <c:v>-1.5613808645507243E-2</c:v>
                </c:pt>
                <c:pt idx="6">
                  <c:v>1.578770780044432E-2</c:v>
                </c:pt>
                <c:pt idx="7">
                  <c:v>9.472624680266592E-3</c:v>
                </c:pt>
                <c:pt idx="8">
                  <c:v>1.578770780044432E-2</c:v>
                </c:pt>
                <c:pt idx="9">
                  <c:v>1.8945249360533184E-2</c:v>
                </c:pt>
              </c:numCache>
            </c:numRef>
          </c:val>
        </c:ser>
        <c:ser>
          <c:idx val="3"/>
          <c:order val="3"/>
          <c:tx>
            <c:strRef>
              <c:f>'Market Effects 1'!$F$51</c:f>
              <c:strCache>
                <c:ptCount val="1"/>
                <c:pt idx="0">
                  <c:v>2</c:v>
                </c:pt>
              </c:strCache>
            </c:strRef>
          </c:tx>
          <c:spPr>
            <a:pattFill prst="ltHorz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'Market Effects 1'!$B$52:$B$61</c:f>
              <c:strCache>
                <c:ptCount val="10"/>
                <c:pt idx="0">
                  <c:v>dlnQb</c:v>
                </c:pt>
                <c:pt idx="1">
                  <c:v>dlnQf</c:v>
                </c:pt>
                <c:pt idx="2">
                  <c:v>dlnS</c:v>
                </c:pt>
                <c:pt idx="3">
                  <c:v>dlnPQb</c:v>
                </c:pt>
                <c:pt idx="4">
                  <c:v>dlnPQf</c:v>
                </c:pt>
                <c:pt idx="5">
                  <c:v>dlnPS</c:v>
                </c:pt>
                <c:pt idx="6">
                  <c:v>dlnWL</c:v>
                </c:pt>
                <c:pt idx="7">
                  <c:v>dlnWo</c:v>
                </c:pt>
                <c:pt idx="8">
                  <c:v>dlnL</c:v>
                </c:pt>
                <c:pt idx="9">
                  <c:v>dlnO</c:v>
                </c:pt>
              </c:strCache>
            </c:strRef>
          </c:cat>
          <c:val>
            <c:numRef>
              <c:f>'Market Effects 1'!$F$52:$F$61</c:f>
              <c:numCache>
                <c:formatCode>0.00%</c:formatCode>
                <c:ptCount val="10"/>
                <c:pt idx="0">
                  <c:v>9.3625647377008042E-2</c:v>
                </c:pt>
                <c:pt idx="1">
                  <c:v>-2.3580941841433735E-3</c:v>
                </c:pt>
                <c:pt idx="2">
                  <c:v>5.8952354603583927E-4</c:v>
                </c:pt>
                <c:pt idx="3">
                  <c:v>0.20637435262299192</c:v>
                </c:pt>
                <c:pt idx="4">
                  <c:v>-1.7398960059779766E-2</c:v>
                </c:pt>
                <c:pt idx="5">
                  <c:v>-1.8971022849208683E-2</c:v>
                </c:pt>
                <c:pt idx="6">
                  <c:v>8.9351601668248171E-3</c:v>
                </c:pt>
                <c:pt idx="7">
                  <c:v>8.9351601668248189E-3</c:v>
                </c:pt>
                <c:pt idx="8">
                  <c:v>1.7870320333649634E-2</c:v>
                </c:pt>
                <c:pt idx="9">
                  <c:v>1.7870320333649638E-2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6669952"/>
        <c:axId val="92876800"/>
        <c:axId val="0"/>
      </c:bar3DChart>
      <c:catAx>
        <c:axId val="66669952"/>
        <c:scaling>
          <c:orientation val="minMax"/>
        </c:scaling>
        <c:delete val="0"/>
        <c:axPos val="b"/>
        <c:majorTickMark val="out"/>
        <c:minorTickMark val="none"/>
        <c:tickLblPos val="nextTo"/>
        <c:crossAx val="92876800"/>
        <c:crosses val="autoZero"/>
        <c:auto val="1"/>
        <c:lblAlgn val="ctr"/>
        <c:lblOffset val="100"/>
        <c:noMultiLvlLbl val="0"/>
      </c:catAx>
      <c:valAx>
        <c:axId val="928768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66669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Effects 1'!$C$51</c:f>
              <c:strCache>
                <c:ptCount val="1"/>
                <c:pt idx="0">
                  <c:v>0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'Market Effects 1'!$B$62:$B$66</c:f>
              <c:strCache>
                <c:ptCount val="5"/>
                <c:pt idx="0">
                  <c:v>CS B</c:v>
                </c:pt>
                <c:pt idx="1">
                  <c:v>CS F</c:v>
                </c:pt>
                <c:pt idx="2">
                  <c:v>CS S</c:v>
                </c:pt>
                <c:pt idx="3">
                  <c:v>PS L</c:v>
                </c:pt>
                <c:pt idx="4">
                  <c:v>PS O</c:v>
                </c:pt>
              </c:strCache>
            </c:strRef>
          </c:cat>
          <c:val>
            <c:numRef>
              <c:f>'Market Effects 1'!$C$62:$C$66</c:f>
              <c:numCache>
                <c:formatCode>0.00%</c:formatCode>
                <c:ptCount val="5"/>
                <c:pt idx="0">
                  <c:v>8.8796971826558324E-2</c:v>
                </c:pt>
                <c:pt idx="1">
                  <c:v>-1.1254301492858002E-2</c:v>
                </c:pt>
                <c:pt idx="2">
                  <c:v>-9.8389382992722305E-3</c:v>
                </c:pt>
                <c:pt idx="3">
                  <c:v>6.7734970194809813E-2</c:v>
                </c:pt>
                <c:pt idx="4">
                  <c:v>1.3730515086453628E-2</c:v>
                </c:pt>
              </c:numCache>
            </c:numRef>
          </c:val>
        </c:ser>
        <c:ser>
          <c:idx val="1"/>
          <c:order val="1"/>
          <c:tx>
            <c:strRef>
              <c:f>'Market Effects 1'!$D$51</c:f>
              <c:strCache>
                <c:ptCount val="1"/>
                <c:pt idx="0">
                  <c:v>0.1</c:v>
                </c:pt>
              </c:strCache>
            </c:strRef>
          </c:tx>
          <c:spPr>
            <a:pattFill prst="pct75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'Market Effects 1'!$B$62:$B$66</c:f>
              <c:strCache>
                <c:ptCount val="5"/>
                <c:pt idx="0">
                  <c:v>CS B</c:v>
                </c:pt>
                <c:pt idx="1">
                  <c:v>CS F</c:v>
                </c:pt>
                <c:pt idx="2">
                  <c:v>CS S</c:v>
                </c:pt>
                <c:pt idx="3">
                  <c:v>PS L</c:v>
                </c:pt>
                <c:pt idx="4">
                  <c:v>PS O</c:v>
                </c:pt>
              </c:strCache>
            </c:strRef>
          </c:cat>
          <c:val>
            <c:numRef>
              <c:f>'Market Effects 1'!$D$62:$D$66</c:f>
              <c:numCache>
                <c:formatCode>0.00%</c:formatCode>
                <c:ptCount val="5"/>
                <c:pt idx="0">
                  <c:v>9.1416785491171257E-2</c:v>
                </c:pt>
                <c:pt idx="1">
                  <c:v>-3.0877268893965753E-3</c:v>
                </c:pt>
                <c:pt idx="2">
                  <c:v>-1.6210067817799172E-3</c:v>
                </c:pt>
                <c:pt idx="3">
                  <c:v>5.1095358553300066E-2</c:v>
                </c:pt>
                <c:pt idx="4">
                  <c:v>1.2381331168727961E-2</c:v>
                </c:pt>
              </c:numCache>
            </c:numRef>
          </c:val>
        </c:ser>
        <c:ser>
          <c:idx val="2"/>
          <c:order val="2"/>
          <c:tx>
            <c:strRef>
              <c:f>'Market Effects 1'!$E$51</c:f>
              <c:strCache>
                <c:ptCount val="1"/>
                <c:pt idx="0">
                  <c:v>1</c:v>
                </c:pt>
              </c:strCache>
            </c:strRef>
          </c:tx>
          <c:spPr>
            <a:pattFill prst="weave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'Market Effects 1'!$B$62:$B$66</c:f>
              <c:strCache>
                <c:ptCount val="5"/>
                <c:pt idx="0">
                  <c:v>CS B</c:v>
                </c:pt>
                <c:pt idx="1">
                  <c:v>CS F</c:v>
                </c:pt>
                <c:pt idx="2">
                  <c:v>CS S</c:v>
                </c:pt>
                <c:pt idx="3">
                  <c:v>PS L</c:v>
                </c:pt>
                <c:pt idx="4">
                  <c:v>PS O</c:v>
                </c:pt>
              </c:strCache>
            </c:strRef>
          </c:cat>
          <c:val>
            <c:numRef>
              <c:f>'Market Effects 1'!$E$62:$E$66</c:f>
              <c:numCache>
                <c:formatCode>0.00%</c:formatCode>
                <c:ptCount val="5"/>
                <c:pt idx="0">
                  <c:v>9.6931330062810947E-2</c:v>
                </c:pt>
                <c:pt idx="1">
                  <c:v>1.4041891104636156E-2</c:v>
                </c:pt>
                <c:pt idx="2">
                  <c:v>1.5618362559014569E-2</c:v>
                </c:pt>
                <c:pt idx="3">
                  <c:v>1.5912333659240427E-2</c:v>
                </c:pt>
                <c:pt idx="4">
                  <c:v>9.5623552985997871E-3</c:v>
                </c:pt>
              </c:numCache>
            </c:numRef>
          </c:val>
        </c:ser>
        <c:ser>
          <c:idx val="3"/>
          <c:order val="3"/>
          <c:tx>
            <c:strRef>
              <c:f>'Market Effects 1'!$F$51</c:f>
              <c:strCache>
                <c:ptCount val="1"/>
                <c:pt idx="0">
                  <c:v>2</c:v>
                </c:pt>
              </c:strCache>
            </c:strRef>
          </c:tx>
          <c:spPr>
            <a:pattFill prst="narHorz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cat>
            <c:strRef>
              <c:f>'Market Effects 1'!$B$62:$B$66</c:f>
              <c:strCache>
                <c:ptCount val="5"/>
                <c:pt idx="0">
                  <c:v>CS B</c:v>
                </c:pt>
                <c:pt idx="1">
                  <c:v>CS F</c:v>
                </c:pt>
                <c:pt idx="2">
                  <c:v>CS S</c:v>
                </c:pt>
                <c:pt idx="3">
                  <c:v>PS L</c:v>
                </c:pt>
                <c:pt idx="4">
                  <c:v>PS O</c:v>
                </c:pt>
              </c:strCache>
            </c:strRef>
          </c:cat>
          <c:val>
            <c:numRef>
              <c:f>'Market Effects 1'!$F$62:$F$66</c:f>
              <c:numCache>
                <c:formatCode>0.00%</c:formatCode>
                <c:ptCount val="5"/>
                <c:pt idx="0">
                  <c:v>9.800852830038996E-2</c:v>
                </c:pt>
                <c:pt idx="1">
                  <c:v>1.7378445866516209E-2</c:v>
                </c:pt>
                <c:pt idx="2">
                  <c:v>1.8976614781539679E-2</c:v>
                </c:pt>
                <c:pt idx="3">
                  <c:v>9.0149972540316294E-3</c:v>
                </c:pt>
                <c:pt idx="4">
                  <c:v>9.0149972540316311E-3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29600"/>
        <c:axId val="95131136"/>
      </c:barChart>
      <c:catAx>
        <c:axId val="95129600"/>
        <c:scaling>
          <c:orientation val="minMax"/>
        </c:scaling>
        <c:delete val="0"/>
        <c:axPos val="b"/>
        <c:majorTickMark val="out"/>
        <c:minorTickMark val="none"/>
        <c:tickLblPos val="nextTo"/>
        <c:crossAx val="95131136"/>
        <c:crosses val="autoZero"/>
        <c:auto val="1"/>
        <c:lblAlgn val="ctr"/>
        <c:lblOffset val="100"/>
        <c:noMultiLvlLbl val="0"/>
      </c:catAx>
      <c:valAx>
        <c:axId val="951311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5129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Sheet1!$G$11</c:f>
              <c:strCache>
                <c:ptCount val="1"/>
                <c:pt idx="0">
                  <c:v>% Change</c:v>
                </c:pt>
              </c:strCache>
            </c:strRef>
          </c:tx>
          <c:spPr>
            <a:pattFill prst="pct30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dLbls>
            <c:dLbl>
              <c:idx val="0"/>
              <c:layout>
                <c:manualLayout>
                  <c:x val="8.3333333333333332E-3"/>
                  <c:y val="0.125000364537766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0"/>
                  <c:y val="0.115740740740740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Sheet1!$F$12:$F$14</c:f>
              <c:strCache>
                <c:ptCount val="3"/>
                <c:pt idx="0">
                  <c:v> % ∆ CS STAPLE &gt;</c:v>
                </c:pt>
                <c:pt idx="1">
                  <c:v>% ∆ CS EDIBLE BIOFUEL &gt;</c:v>
                </c:pt>
                <c:pt idx="2">
                  <c:v>% ∆ CS INEDIBLE BIOFUEL &gt;</c:v>
                </c:pt>
              </c:strCache>
            </c:strRef>
          </c:cat>
          <c:val>
            <c:numRef>
              <c:f>Sheet1!$G$12:$G$14</c:f>
              <c:numCache>
                <c:formatCode>General</c:formatCode>
                <c:ptCount val="3"/>
                <c:pt idx="0">
                  <c:v>-0.16</c:v>
                </c:pt>
                <c:pt idx="1">
                  <c:v>-0.31</c:v>
                </c:pt>
                <c:pt idx="2">
                  <c:v>9.14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73536"/>
        <c:axId val="99875072"/>
      </c:barChart>
      <c:catAx>
        <c:axId val="99873536"/>
        <c:scaling>
          <c:orientation val="minMax"/>
        </c:scaling>
        <c:delete val="0"/>
        <c:axPos val="b"/>
        <c:majorTickMark val="out"/>
        <c:minorTickMark val="none"/>
        <c:tickLblPos val="nextTo"/>
        <c:crossAx val="99875072"/>
        <c:crosses val="autoZero"/>
        <c:auto val="1"/>
        <c:lblAlgn val="ctr"/>
        <c:lblOffset val="100"/>
        <c:noMultiLvlLbl val="0"/>
      </c:catAx>
      <c:valAx>
        <c:axId val="9987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8735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Sheet1!$G$33</c:f>
              <c:strCache>
                <c:ptCount val="1"/>
                <c:pt idx="0">
                  <c:v>% Change</c:v>
                </c:pt>
              </c:strCache>
            </c:strRef>
          </c:tx>
          <c:spPr>
            <a:pattFill prst="smCheck">
              <a:fgClr>
                <a:schemeClr val="tx1"/>
              </a:fgClr>
              <a:bgClr>
                <a:schemeClr val="bg1"/>
              </a:bgClr>
            </a:pattFill>
          </c:spPr>
          <c:invertIfNegative val="0"/>
          <c:dLbls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Sheet1!$F$34:$F$35</c:f>
              <c:strCache>
                <c:ptCount val="2"/>
                <c:pt idx="0">
                  <c:v>% ∆ PS LAND &gt;</c:v>
                </c:pt>
                <c:pt idx="1">
                  <c:v>% ∆ PS OTHER &gt;</c:v>
                </c:pt>
              </c:strCache>
            </c:strRef>
          </c:cat>
          <c:val>
            <c:numRef>
              <c:f>Sheet1!$G$34:$G$35</c:f>
              <c:numCache>
                <c:formatCode>General</c:formatCode>
                <c:ptCount val="2"/>
                <c:pt idx="0">
                  <c:v>5.1100000000000003</c:v>
                </c:pt>
                <c:pt idx="1">
                  <c:v>1.24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323904"/>
        <c:axId val="105358464"/>
      </c:barChart>
      <c:catAx>
        <c:axId val="10532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105358464"/>
        <c:crosses val="autoZero"/>
        <c:auto val="1"/>
        <c:lblAlgn val="ctr"/>
        <c:lblOffset val="100"/>
        <c:noMultiLvlLbl val="0"/>
      </c:catAx>
      <c:valAx>
        <c:axId val="105358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32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133349</xdr:colOff>
      <xdr:row>49</xdr:row>
      <xdr:rowOff>119062</xdr:rowOff>
    </xdr:from>
    <xdr:to>
      <xdr:col>21</xdr:col>
      <xdr:colOff>85725</xdr:colOff>
      <xdr:row>64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219074</xdr:colOff>
      <xdr:row>64</xdr:row>
      <xdr:rowOff>42862</xdr:rowOff>
    </xdr:from>
    <xdr:to>
      <xdr:col>21</xdr:col>
      <xdr:colOff>85724</xdr:colOff>
      <xdr:row>78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10</xdr:row>
      <xdr:rowOff>157162</xdr:rowOff>
    </xdr:from>
    <xdr:to>
      <xdr:col>15</xdr:col>
      <xdr:colOff>285750</xdr:colOff>
      <xdr:row>25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26</xdr:row>
      <xdr:rowOff>52387</xdr:rowOff>
    </xdr:from>
    <xdr:to>
      <xdr:col>15</xdr:col>
      <xdr:colOff>276225</xdr:colOff>
      <xdr:row>40</xdr:row>
      <xdr:rowOff>90487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66"/>
  <sheetViews>
    <sheetView tabSelected="1" topLeftCell="A13" workbookViewId="0">
      <selection activeCell="F36" sqref="F36"/>
    </sheetView>
  </sheetViews>
  <sheetFormatPr defaultColWidth="8.85546875" defaultRowHeight="15"/>
  <cols>
    <col min="1" max="1" width="10.7109375" customWidth="1"/>
    <col min="6" max="6" width="11" customWidth="1"/>
    <col min="12" max="12" width="3.140625" customWidth="1"/>
    <col min="13" max="13" width="6.7109375" bestFit="1" customWidth="1"/>
    <col min="14" max="14" width="3.140625" customWidth="1"/>
    <col min="15" max="15" width="4.42578125" customWidth="1"/>
    <col min="16" max="16" width="9.7109375" customWidth="1"/>
    <col min="17" max="17" width="9.140625" customWidth="1"/>
    <col min="18" max="18" width="8.7109375" customWidth="1"/>
    <col min="21" max="21" width="4.85546875" customWidth="1"/>
    <col min="22" max="22" width="9.42578125" customWidth="1"/>
    <col min="23" max="23" width="10.7109375" bestFit="1" customWidth="1"/>
    <col min="24" max="24" width="7.140625" customWidth="1"/>
  </cols>
  <sheetData>
    <row r="2" spans="1:28">
      <c r="B2" s="62" t="s">
        <v>108</v>
      </c>
      <c r="C2" s="62" t="s">
        <v>109</v>
      </c>
      <c r="D2" s="63" t="s">
        <v>5</v>
      </c>
      <c r="E2" s="62" t="s">
        <v>110</v>
      </c>
      <c r="F2" s="62" t="s">
        <v>111</v>
      </c>
      <c r="G2" s="62" t="s">
        <v>112</v>
      </c>
      <c r="H2" s="62" t="s">
        <v>113</v>
      </c>
      <c r="I2" s="62" t="s">
        <v>114</v>
      </c>
      <c r="J2" s="62" t="s">
        <v>8</v>
      </c>
      <c r="K2" s="62" t="s">
        <v>9</v>
      </c>
      <c r="L2" s="29"/>
      <c r="M2" s="30"/>
      <c r="N2" s="30"/>
      <c r="O2" s="30"/>
      <c r="P2" s="31"/>
      <c r="U2" s="113" t="s">
        <v>152</v>
      </c>
    </row>
    <row r="3" spans="1:28">
      <c r="B3" s="142" t="s">
        <v>54</v>
      </c>
      <c r="C3" s="142"/>
      <c r="D3" s="142"/>
      <c r="E3" s="142"/>
      <c r="F3" s="142"/>
      <c r="G3" s="142"/>
      <c r="H3" s="142"/>
      <c r="I3" s="142"/>
      <c r="J3" s="142"/>
      <c r="K3" s="142"/>
      <c r="L3" s="32"/>
      <c r="M3" s="32"/>
      <c r="N3" s="32"/>
      <c r="O3" s="32"/>
      <c r="P3" s="32"/>
      <c r="Q3" s="106"/>
      <c r="R3" s="104" t="s">
        <v>148</v>
      </c>
      <c r="U3" s="108" t="s">
        <v>153</v>
      </c>
      <c r="V3" s="108">
        <v>2</v>
      </c>
    </row>
    <row r="4" spans="1:28">
      <c r="B4" s="35">
        <v>1</v>
      </c>
      <c r="C4" s="35">
        <v>0</v>
      </c>
      <c r="D4" s="35">
        <v>0</v>
      </c>
      <c r="E4" s="36" t="s">
        <v>62</v>
      </c>
      <c r="F4" s="36" t="s">
        <v>63</v>
      </c>
      <c r="G4" s="36" t="s">
        <v>64</v>
      </c>
      <c r="H4" s="37">
        <v>0</v>
      </c>
      <c r="I4" s="37">
        <v>0</v>
      </c>
      <c r="J4" s="37">
        <v>0</v>
      </c>
      <c r="K4" s="37">
        <v>0</v>
      </c>
      <c r="L4" s="143"/>
      <c r="M4" s="44" t="s">
        <v>55</v>
      </c>
      <c r="N4" s="144" t="s">
        <v>24</v>
      </c>
      <c r="O4" s="34" t="s">
        <v>65</v>
      </c>
      <c r="P4" s="31"/>
      <c r="Q4" s="122"/>
      <c r="R4" s="104"/>
      <c r="U4" s="108" t="s">
        <v>154</v>
      </c>
      <c r="V4" s="108">
        <v>2</v>
      </c>
    </row>
    <row r="5" spans="1:28">
      <c r="B5" s="35">
        <v>0</v>
      </c>
      <c r="C5" s="35">
        <v>1</v>
      </c>
      <c r="D5" s="38">
        <v>0</v>
      </c>
      <c r="E5" s="36" t="s">
        <v>66</v>
      </c>
      <c r="F5" s="36" t="s">
        <v>67</v>
      </c>
      <c r="G5" s="36" t="s">
        <v>68</v>
      </c>
      <c r="H5" s="37">
        <v>0</v>
      </c>
      <c r="I5" s="37">
        <v>0</v>
      </c>
      <c r="J5" s="37">
        <v>0</v>
      </c>
      <c r="K5" s="37">
        <v>0</v>
      </c>
      <c r="L5" s="143"/>
      <c r="M5" s="44" t="s">
        <v>56</v>
      </c>
      <c r="N5" s="144"/>
      <c r="O5" s="34">
        <v>0</v>
      </c>
      <c r="P5" s="31"/>
      <c r="U5" s="109" t="s">
        <v>149</v>
      </c>
      <c r="V5" s="108">
        <v>1</v>
      </c>
    </row>
    <row r="6" spans="1:28">
      <c r="B6" s="35">
        <v>0</v>
      </c>
      <c r="C6" s="35">
        <v>0</v>
      </c>
      <c r="D6" s="35">
        <v>1</v>
      </c>
      <c r="E6" s="36" t="s">
        <v>69</v>
      </c>
      <c r="F6" s="36" t="s">
        <v>70</v>
      </c>
      <c r="G6" s="36" t="s">
        <v>71</v>
      </c>
      <c r="H6" s="37">
        <v>0</v>
      </c>
      <c r="I6" s="37">
        <v>0</v>
      </c>
      <c r="J6" s="37">
        <v>0</v>
      </c>
      <c r="K6" s="37">
        <v>0</v>
      </c>
      <c r="L6" s="143"/>
      <c r="M6" s="45" t="s">
        <v>5</v>
      </c>
      <c r="N6" s="144"/>
      <c r="O6" s="33">
        <v>0</v>
      </c>
      <c r="P6" s="31"/>
      <c r="U6" s="108" t="s">
        <v>155</v>
      </c>
      <c r="V6" s="110">
        <v>200000</v>
      </c>
    </row>
    <row r="7" spans="1:28">
      <c r="B7" s="39" t="s">
        <v>72</v>
      </c>
      <c r="C7" s="39" t="s">
        <v>73</v>
      </c>
      <c r="D7" s="39" t="s">
        <v>74</v>
      </c>
      <c r="E7" s="37">
        <v>-1</v>
      </c>
      <c r="F7" s="37">
        <v>0</v>
      </c>
      <c r="G7" s="37">
        <v>0</v>
      </c>
      <c r="H7" s="40" t="s">
        <v>75</v>
      </c>
      <c r="I7" s="40" t="s">
        <v>76</v>
      </c>
      <c r="J7" s="37">
        <v>0</v>
      </c>
      <c r="K7" s="37">
        <v>0</v>
      </c>
      <c r="L7" s="143"/>
      <c r="M7" s="44" t="s">
        <v>57</v>
      </c>
      <c r="N7" s="144"/>
      <c r="O7" s="33">
        <v>0</v>
      </c>
      <c r="P7" s="31"/>
      <c r="R7" s="46" t="s">
        <v>95</v>
      </c>
      <c r="U7" s="108" t="s">
        <v>156</v>
      </c>
      <c r="V7" s="110">
        <v>150000</v>
      </c>
    </row>
    <row r="8" spans="1:28">
      <c r="B8" s="39" t="s">
        <v>77</v>
      </c>
      <c r="C8" s="39" t="s">
        <v>78</v>
      </c>
      <c r="D8" s="39" t="s">
        <v>79</v>
      </c>
      <c r="E8" s="37">
        <v>0</v>
      </c>
      <c r="F8" s="37">
        <v>-1</v>
      </c>
      <c r="G8" s="37">
        <v>0</v>
      </c>
      <c r="H8" s="40" t="s">
        <v>80</v>
      </c>
      <c r="I8" s="40" t="s">
        <v>81</v>
      </c>
      <c r="J8" s="37">
        <v>0</v>
      </c>
      <c r="K8" s="37">
        <v>0</v>
      </c>
      <c r="L8" s="143"/>
      <c r="M8" s="44" t="s">
        <v>58</v>
      </c>
      <c r="N8" s="144"/>
      <c r="O8" s="33">
        <v>0</v>
      </c>
      <c r="P8" s="31"/>
      <c r="U8" s="108" t="s">
        <v>157</v>
      </c>
      <c r="V8" s="110">
        <v>250000</v>
      </c>
    </row>
    <row r="9" spans="1:28">
      <c r="B9" s="39" t="s">
        <v>82</v>
      </c>
      <c r="C9" s="39" t="s">
        <v>83</v>
      </c>
      <c r="D9" s="39" t="s">
        <v>84</v>
      </c>
      <c r="E9" s="37">
        <v>0</v>
      </c>
      <c r="F9" s="37">
        <v>0</v>
      </c>
      <c r="G9" s="37">
        <v>-1</v>
      </c>
      <c r="H9" s="40" t="s">
        <v>85</v>
      </c>
      <c r="I9" s="40" t="s">
        <v>86</v>
      </c>
      <c r="J9" s="37">
        <v>0</v>
      </c>
      <c r="K9" s="37">
        <v>0</v>
      </c>
      <c r="L9" s="143"/>
      <c r="M9" s="44" t="s">
        <v>59</v>
      </c>
      <c r="N9" s="144"/>
      <c r="O9" s="33">
        <v>0</v>
      </c>
      <c r="P9" s="31"/>
      <c r="Q9" t="s">
        <v>145</v>
      </c>
      <c r="U9" s="108" t="s">
        <v>158</v>
      </c>
      <c r="V9" s="108">
        <v>6000000</v>
      </c>
    </row>
    <row r="10" spans="1:28">
      <c r="B10" s="40" t="s">
        <v>38</v>
      </c>
      <c r="C10" s="40" t="s">
        <v>37</v>
      </c>
      <c r="D10" s="40" t="s">
        <v>39</v>
      </c>
      <c r="E10" s="37">
        <v>0</v>
      </c>
      <c r="F10" s="37">
        <v>0</v>
      </c>
      <c r="G10" s="37">
        <v>0</v>
      </c>
      <c r="H10" s="36" t="s">
        <v>87</v>
      </c>
      <c r="I10" s="36" t="s">
        <v>88</v>
      </c>
      <c r="J10" s="41">
        <v>-1</v>
      </c>
      <c r="K10" s="42">
        <v>0</v>
      </c>
      <c r="L10" s="143"/>
      <c r="M10" s="44" t="s">
        <v>60</v>
      </c>
      <c r="N10" s="144"/>
      <c r="O10" s="33">
        <v>0</v>
      </c>
      <c r="P10" s="31"/>
      <c r="Q10" s="96" t="s">
        <v>143</v>
      </c>
      <c r="R10" s="96" t="s">
        <v>144</v>
      </c>
      <c r="U10" s="108" t="s">
        <v>159</v>
      </c>
      <c r="V10" s="108">
        <v>150000</v>
      </c>
    </row>
    <row r="11" spans="1:28">
      <c r="B11" s="40" t="s">
        <v>43</v>
      </c>
      <c r="C11" s="40" t="s">
        <v>42</v>
      </c>
      <c r="D11" s="40" t="s">
        <v>44</v>
      </c>
      <c r="E11" s="37">
        <v>0</v>
      </c>
      <c r="F11" s="37">
        <v>0</v>
      </c>
      <c r="G11" s="37">
        <v>0</v>
      </c>
      <c r="H11" s="36" t="s">
        <v>89</v>
      </c>
      <c r="I11" s="36" t="s">
        <v>90</v>
      </c>
      <c r="J11" s="41">
        <v>0</v>
      </c>
      <c r="K11" s="41">
        <v>-1</v>
      </c>
      <c r="L11" s="143"/>
      <c r="M11" s="44" t="s">
        <v>61</v>
      </c>
      <c r="N11" s="144"/>
      <c r="O11" s="33">
        <v>0</v>
      </c>
      <c r="P11" s="31"/>
      <c r="Q11" s="96">
        <v>0.4</v>
      </c>
      <c r="R11" s="96">
        <v>0.6</v>
      </c>
      <c r="U11" s="108" t="s">
        <v>150</v>
      </c>
      <c r="V11" s="108">
        <v>2</v>
      </c>
    </row>
    <row r="12" spans="1:28">
      <c r="B12" s="42">
        <v>0</v>
      </c>
      <c r="C12" s="42">
        <v>0</v>
      </c>
      <c r="D12" s="42">
        <v>0</v>
      </c>
      <c r="E12" s="37">
        <v>0</v>
      </c>
      <c r="F12" s="37">
        <v>0</v>
      </c>
      <c r="G12" s="37">
        <v>0</v>
      </c>
      <c r="H12" s="43" t="s">
        <v>91</v>
      </c>
      <c r="I12" s="39" t="s">
        <v>92</v>
      </c>
      <c r="J12" s="41">
        <v>1</v>
      </c>
      <c r="K12" s="41">
        <v>0</v>
      </c>
      <c r="L12" s="143"/>
      <c r="M12" s="44" t="s">
        <v>8</v>
      </c>
      <c r="N12" s="144"/>
      <c r="O12" s="33">
        <v>0</v>
      </c>
      <c r="P12" s="31"/>
      <c r="U12" s="108" t="s">
        <v>151</v>
      </c>
      <c r="V12" s="108">
        <v>10</v>
      </c>
    </row>
    <row r="13" spans="1:28">
      <c r="B13" s="42">
        <v>0</v>
      </c>
      <c r="C13" s="42">
        <v>0</v>
      </c>
      <c r="D13" s="42">
        <v>0</v>
      </c>
      <c r="E13" s="37">
        <v>0</v>
      </c>
      <c r="F13" s="37">
        <v>0</v>
      </c>
      <c r="G13" s="37">
        <v>0</v>
      </c>
      <c r="H13" s="43" t="s">
        <v>93</v>
      </c>
      <c r="I13" s="39" t="s">
        <v>94</v>
      </c>
      <c r="J13" s="41">
        <v>0</v>
      </c>
      <c r="K13" s="41">
        <v>1</v>
      </c>
      <c r="L13" s="143"/>
      <c r="M13" s="44" t="s">
        <v>9</v>
      </c>
      <c r="N13" s="144"/>
      <c r="O13" s="33">
        <v>0</v>
      </c>
      <c r="P13" s="31"/>
      <c r="Q13" t="s">
        <v>146</v>
      </c>
      <c r="Y13" t="s">
        <v>170</v>
      </c>
      <c r="AA13" t="s">
        <v>171</v>
      </c>
    </row>
    <row r="14" spans="1:28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Q14" s="107" t="s">
        <v>100</v>
      </c>
      <c r="R14" s="107" t="s">
        <v>99</v>
      </c>
      <c r="V14" t="s">
        <v>160</v>
      </c>
      <c r="W14" t="s">
        <v>164</v>
      </c>
      <c r="X14" t="s">
        <v>163</v>
      </c>
      <c r="Y14" s="96" t="s">
        <v>168</v>
      </c>
      <c r="Z14" s="96" t="s">
        <v>169</v>
      </c>
      <c r="AA14" s="96" t="s">
        <v>168</v>
      </c>
      <c r="AB14" s="96" t="s">
        <v>169</v>
      </c>
    </row>
    <row r="15" spans="1:28">
      <c r="B15" s="62" t="s">
        <v>108</v>
      </c>
      <c r="C15" s="62" t="s">
        <v>109</v>
      </c>
      <c r="D15" s="63" t="s">
        <v>5</v>
      </c>
      <c r="E15" s="62" t="s">
        <v>110</v>
      </c>
      <c r="F15" s="62" t="s">
        <v>111</v>
      </c>
      <c r="G15" s="62" t="s">
        <v>112</v>
      </c>
      <c r="H15" s="62" t="s">
        <v>113</v>
      </c>
      <c r="I15" s="62" t="s">
        <v>114</v>
      </c>
      <c r="J15" s="62" t="s">
        <v>8</v>
      </c>
      <c r="K15" s="62" t="s">
        <v>9</v>
      </c>
      <c r="Q15" s="107">
        <v>0.2</v>
      </c>
      <c r="R15" s="107">
        <v>0.8</v>
      </c>
      <c r="U15" s="111" t="s">
        <v>161</v>
      </c>
      <c r="V15">
        <f>V3*V6</f>
        <v>400000</v>
      </c>
      <c r="W15" s="112">
        <f>V15/V18</f>
        <v>0.42105263157894735</v>
      </c>
      <c r="X15" s="112"/>
      <c r="Y15">
        <v>88811</v>
      </c>
      <c r="Z15">
        <v>36425</v>
      </c>
      <c r="AA15" s="112">
        <f>Y15/V15</f>
        <v>0.22202749999999999</v>
      </c>
      <c r="AB15" s="112">
        <f>Z15/V15</f>
        <v>9.1062500000000005E-2</v>
      </c>
    </row>
    <row r="16" spans="1:28" ht="18">
      <c r="A16" s="102" t="s">
        <v>133</v>
      </c>
      <c r="B16" s="65">
        <v>-1</v>
      </c>
      <c r="C16" s="65">
        <v>0</v>
      </c>
      <c r="D16" s="65">
        <v>0</v>
      </c>
      <c r="E16" s="66">
        <v>-1</v>
      </c>
      <c r="F16" s="66">
        <v>0</v>
      </c>
      <c r="G16" s="66">
        <v>0</v>
      </c>
      <c r="H16" s="67">
        <v>0</v>
      </c>
      <c r="I16" s="67">
        <v>0</v>
      </c>
      <c r="J16" s="67">
        <v>0</v>
      </c>
      <c r="K16" s="67">
        <v>0</v>
      </c>
      <c r="L16" s="68" t="s">
        <v>54</v>
      </c>
      <c r="M16" s="69" t="s">
        <v>124</v>
      </c>
      <c r="N16" s="141" t="s">
        <v>24</v>
      </c>
      <c r="O16" s="70" t="s">
        <v>125</v>
      </c>
      <c r="U16" s="111" t="s">
        <v>162</v>
      </c>
      <c r="V16">
        <f>V4*V7</f>
        <v>300000</v>
      </c>
      <c r="W16" s="112">
        <f>V16/V18</f>
        <v>0.31578947368421051</v>
      </c>
      <c r="X16" s="112">
        <f>V16/(V16+V17)</f>
        <v>0.54545454545454541</v>
      </c>
      <c r="Y16">
        <v>5555</v>
      </c>
      <c r="Z16">
        <v>4863</v>
      </c>
      <c r="AA16" s="112">
        <f t="shared" ref="AA16:AA17" si="0">Y16/V16</f>
        <v>1.8516666666666667E-2</v>
      </c>
      <c r="AB16" s="112">
        <f t="shared" ref="AB16:AB17" si="1">Z16/V16</f>
        <v>1.6209999999999999E-2</v>
      </c>
    </row>
    <row r="17" spans="1:28" ht="17.25">
      <c r="A17" s="102" t="s">
        <v>134</v>
      </c>
      <c r="B17" s="65">
        <v>0</v>
      </c>
      <c r="C17" s="65">
        <v>-1</v>
      </c>
      <c r="D17" s="71">
        <v>0</v>
      </c>
      <c r="E17" s="66">
        <v>0</v>
      </c>
      <c r="F17" s="72">
        <v>-1.5</v>
      </c>
      <c r="G17" s="72">
        <f>-F17</f>
        <v>1.5</v>
      </c>
      <c r="H17" s="67">
        <v>0</v>
      </c>
      <c r="I17" s="67">
        <v>0</v>
      </c>
      <c r="J17" s="67">
        <v>0</v>
      </c>
      <c r="K17" s="67">
        <v>0</v>
      </c>
      <c r="L17" s="68" t="s">
        <v>54</v>
      </c>
      <c r="M17" s="69" t="s">
        <v>126</v>
      </c>
      <c r="N17" s="141"/>
      <c r="O17" s="70">
        <v>0</v>
      </c>
      <c r="Q17" s="103" t="s">
        <v>97</v>
      </c>
      <c r="R17" s="103" t="s">
        <v>96</v>
      </c>
      <c r="S17" s="103" t="s">
        <v>98</v>
      </c>
      <c r="U17" s="111" t="s">
        <v>149</v>
      </c>
      <c r="V17">
        <f>V5*V8</f>
        <v>250000</v>
      </c>
      <c r="W17" s="112">
        <f>V17/V18</f>
        <v>0.26315789473684209</v>
      </c>
      <c r="X17" s="112">
        <f>V17/(V16+V17)</f>
        <v>0.45454545454545453</v>
      </c>
      <c r="Y17">
        <v>4422</v>
      </c>
      <c r="Z17">
        <v>-70557</v>
      </c>
      <c r="AA17" s="112">
        <f t="shared" si="0"/>
        <v>1.7687999999999999E-2</v>
      </c>
      <c r="AB17" s="112">
        <f t="shared" si="1"/>
        <v>-0.28222799999999998</v>
      </c>
    </row>
    <row r="18" spans="1:28">
      <c r="A18" s="102" t="s">
        <v>135</v>
      </c>
      <c r="B18" s="65">
        <v>0</v>
      </c>
      <c r="C18" s="65">
        <v>0</v>
      </c>
      <c r="D18" s="65">
        <v>-1</v>
      </c>
      <c r="E18" s="66">
        <v>0</v>
      </c>
      <c r="F18" s="72">
        <f>G17*Q15/R15</f>
        <v>0.37500000000000006</v>
      </c>
      <c r="G18" s="72">
        <f>-F18</f>
        <v>-0.37500000000000006</v>
      </c>
      <c r="H18" s="67">
        <v>0</v>
      </c>
      <c r="I18" s="67">
        <v>0</v>
      </c>
      <c r="J18" s="67">
        <v>0</v>
      </c>
      <c r="K18" s="67">
        <v>0</v>
      </c>
      <c r="L18" s="68" t="s">
        <v>54</v>
      </c>
      <c r="M18" s="73" t="s">
        <v>5</v>
      </c>
      <c r="N18" s="141"/>
      <c r="O18" s="74">
        <v>0</v>
      </c>
      <c r="Q18" s="11">
        <f>0.2/0.8</f>
        <v>0.25</v>
      </c>
      <c r="R18" s="47">
        <f>0.4/0.6</f>
        <v>0.66666666666666674</v>
      </c>
      <c r="S18" s="47">
        <f>0.6/0.4</f>
        <v>1.4999999999999998</v>
      </c>
      <c r="U18" s="111" t="s">
        <v>165</v>
      </c>
      <c r="V18">
        <f>SUM(V15:V17)</f>
        <v>950000</v>
      </c>
      <c r="W18" s="112">
        <f t="shared" ref="W18:X18" si="2">SUM(W15:W17)</f>
        <v>1</v>
      </c>
      <c r="X18" s="112">
        <f t="shared" si="2"/>
        <v>1</v>
      </c>
      <c r="Y18">
        <f>SUM(Y15:Y17)</f>
        <v>98788</v>
      </c>
      <c r="Z18">
        <f>SUM(Z15:Z17)</f>
        <v>-29269</v>
      </c>
      <c r="AA18" s="112">
        <f t="shared" ref="AA18" si="3">Y18/V18</f>
        <v>0.10398736842105263</v>
      </c>
      <c r="AB18" s="112">
        <f t="shared" ref="AB18" si="4">Z18/V18</f>
        <v>-3.0809473684210525E-2</v>
      </c>
    </row>
    <row r="19" spans="1:28" ht="17.25">
      <c r="A19" s="102" t="s">
        <v>136</v>
      </c>
      <c r="B19" s="105">
        <v>2.1</v>
      </c>
      <c r="C19" s="105">
        <v>-0.5</v>
      </c>
      <c r="D19" s="105">
        <f>1-B19-C19</f>
        <v>-0.60000000000000009</v>
      </c>
      <c r="E19" s="67">
        <v>-1</v>
      </c>
      <c r="F19" s="67">
        <v>0</v>
      </c>
      <c r="G19" s="67">
        <v>0</v>
      </c>
      <c r="H19" s="48">
        <v>0.4</v>
      </c>
      <c r="I19" s="48">
        <v>0.6</v>
      </c>
      <c r="J19" s="67">
        <v>0</v>
      </c>
      <c r="K19" s="67">
        <v>0</v>
      </c>
      <c r="L19" s="75"/>
      <c r="M19" s="69" t="s">
        <v>127</v>
      </c>
      <c r="N19" s="141"/>
      <c r="O19" s="74">
        <v>0</v>
      </c>
      <c r="Q19" t="s">
        <v>147</v>
      </c>
      <c r="U19" s="111" t="s">
        <v>150</v>
      </c>
      <c r="V19">
        <f>V9*V11</f>
        <v>12000000</v>
      </c>
      <c r="W19" s="112">
        <f>V19/V21</f>
        <v>0.88888888888888884</v>
      </c>
      <c r="X19" s="112"/>
    </row>
    <row r="20" spans="1:28" ht="17.25">
      <c r="A20" s="102" t="s">
        <v>137</v>
      </c>
      <c r="B20" s="105">
        <f>(Q21/R21)*C19</f>
        <v>-0.22222222222222224</v>
      </c>
      <c r="C20" s="105">
        <v>2.12</v>
      </c>
      <c r="D20" s="105">
        <f t="shared" ref="D20:D21" si="5">1-B20-C20</f>
        <v>-0.89777777777777779</v>
      </c>
      <c r="E20" s="67">
        <v>0</v>
      </c>
      <c r="F20" s="67">
        <v>-1</v>
      </c>
      <c r="G20" s="67">
        <v>0</v>
      </c>
      <c r="H20" s="48">
        <v>0.4</v>
      </c>
      <c r="I20" s="48">
        <v>0.6</v>
      </c>
      <c r="J20" s="67">
        <v>0</v>
      </c>
      <c r="K20" s="67">
        <v>0</v>
      </c>
      <c r="L20" s="75"/>
      <c r="M20" s="69" t="s">
        <v>128</v>
      </c>
      <c r="N20" s="141"/>
      <c r="O20" s="74">
        <v>0</v>
      </c>
      <c r="Q20" s="50" t="s">
        <v>101</v>
      </c>
      <c r="R20" s="50" t="s">
        <v>100</v>
      </c>
      <c r="S20" s="50" t="s">
        <v>99</v>
      </c>
      <c r="U20" s="111" t="s">
        <v>151</v>
      </c>
      <c r="V20">
        <f>V10*V12</f>
        <v>1500000</v>
      </c>
      <c r="W20" s="112">
        <f>V20/V21</f>
        <v>0.1111111111111111</v>
      </c>
      <c r="X20" s="112"/>
    </row>
    <row r="21" spans="1:28" ht="17.25">
      <c r="A21" s="102" t="s">
        <v>138</v>
      </c>
      <c r="B21" s="105">
        <f>D19*Q21/S21</f>
        <v>-0.34285714285714297</v>
      </c>
      <c r="C21" s="105">
        <f>D20*R21/S21</f>
        <v>-1.1542857142857144</v>
      </c>
      <c r="D21" s="105">
        <f t="shared" si="5"/>
        <v>2.4971428571428573</v>
      </c>
      <c r="E21" s="67">
        <v>0</v>
      </c>
      <c r="F21" s="67">
        <v>0</v>
      </c>
      <c r="G21" s="67">
        <v>-1</v>
      </c>
      <c r="H21" s="48">
        <v>0.4</v>
      </c>
      <c r="I21" s="48">
        <v>0.6</v>
      </c>
      <c r="J21" s="67">
        <v>0</v>
      </c>
      <c r="K21" s="67">
        <v>0</v>
      </c>
      <c r="L21" s="75"/>
      <c r="M21" s="69" t="s">
        <v>129</v>
      </c>
      <c r="N21" s="141"/>
      <c r="O21" s="74">
        <v>0</v>
      </c>
      <c r="Q21" s="51">
        <v>0.2</v>
      </c>
      <c r="R21" s="51">
        <v>0.45</v>
      </c>
      <c r="S21" s="51">
        <v>0.35</v>
      </c>
      <c r="U21" s="111" t="s">
        <v>166</v>
      </c>
      <c r="V21">
        <f>SUM(V19:V20)</f>
        <v>13500000</v>
      </c>
      <c r="W21" s="112">
        <f>SUM(W19:W20)</f>
        <v>1</v>
      </c>
      <c r="X21" s="112"/>
    </row>
    <row r="22" spans="1:28" ht="17.25">
      <c r="A22" s="102" t="s">
        <v>139</v>
      </c>
      <c r="B22" s="76">
        <v>0.2</v>
      </c>
      <c r="C22" s="76">
        <f>R21</f>
        <v>0.45</v>
      </c>
      <c r="D22" s="76">
        <v>0.35</v>
      </c>
      <c r="E22" s="67">
        <v>0</v>
      </c>
      <c r="F22" s="67">
        <v>0</v>
      </c>
      <c r="G22" s="67">
        <v>0</v>
      </c>
      <c r="H22" s="77">
        <v>-0.3</v>
      </c>
      <c r="I22" s="77">
        <v>0.3</v>
      </c>
      <c r="J22" s="78">
        <v>-1</v>
      </c>
      <c r="K22" s="79">
        <v>0</v>
      </c>
      <c r="L22" s="75"/>
      <c r="M22" s="69" t="s">
        <v>130</v>
      </c>
      <c r="N22" s="141"/>
      <c r="O22" s="74">
        <v>0</v>
      </c>
    </row>
    <row r="23" spans="1:28" ht="17.25">
      <c r="A23" s="102" t="s">
        <v>140</v>
      </c>
      <c r="B23" s="76">
        <f>(Q21/R21)*C22</f>
        <v>0.2</v>
      </c>
      <c r="C23" s="76">
        <f>(R21/S21)*D22</f>
        <v>0.45</v>
      </c>
      <c r="D23" s="76">
        <v>0.35</v>
      </c>
      <c r="E23" s="67">
        <v>0</v>
      </c>
      <c r="F23" s="67">
        <v>0</v>
      </c>
      <c r="G23" s="67">
        <v>0</v>
      </c>
      <c r="H23" s="80">
        <f>I22*Q11/R11</f>
        <v>0.2</v>
      </c>
      <c r="I23" s="80">
        <f>-H23</f>
        <v>-0.2</v>
      </c>
      <c r="J23" s="78">
        <v>0</v>
      </c>
      <c r="K23" s="78">
        <v>-1</v>
      </c>
      <c r="L23" s="75"/>
      <c r="M23" s="69" t="s">
        <v>131</v>
      </c>
      <c r="N23" s="141"/>
      <c r="O23" s="74">
        <v>0</v>
      </c>
    </row>
    <row r="24" spans="1:28">
      <c r="A24" s="102" t="s">
        <v>141</v>
      </c>
      <c r="B24" s="79">
        <v>0</v>
      </c>
      <c r="C24" s="79">
        <v>0</v>
      </c>
      <c r="D24" s="79">
        <v>0</v>
      </c>
      <c r="E24" s="67">
        <v>0</v>
      </c>
      <c r="F24" s="67">
        <v>0</v>
      </c>
      <c r="G24" s="67">
        <v>0</v>
      </c>
      <c r="H24" s="81">
        <v>0.1</v>
      </c>
      <c r="I24" s="81">
        <v>0</v>
      </c>
      <c r="J24" s="78">
        <v>-1</v>
      </c>
      <c r="K24" s="78">
        <v>0</v>
      </c>
      <c r="L24" s="75"/>
      <c r="M24" s="69" t="s">
        <v>8</v>
      </c>
      <c r="N24" s="141"/>
      <c r="O24" s="74">
        <v>0</v>
      </c>
    </row>
    <row r="25" spans="1:28">
      <c r="A25" s="102" t="s">
        <v>142</v>
      </c>
      <c r="B25" s="79">
        <v>0</v>
      </c>
      <c r="C25" s="79">
        <v>0</v>
      </c>
      <c r="D25" s="79">
        <v>0</v>
      </c>
      <c r="E25" s="67">
        <v>0</v>
      </c>
      <c r="F25" s="67">
        <v>0</v>
      </c>
      <c r="G25" s="67">
        <v>0</v>
      </c>
      <c r="H25" s="81">
        <v>0</v>
      </c>
      <c r="I25" s="81">
        <v>2</v>
      </c>
      <c r="J25" s="78">
        <v>0</v>
      </c>
      <c r="K25" s="78">
        <v>-1</v>
      </c>
      <c r="L25" s="75"/>
      <c r="M25" s="69" t="s">
        <v>9</v>
      </c>
      <c r="N25" s="141"/>
      <c r="O25" s="74">
        <v>0</v>
      </c>
    </row>
    <row r="26" spans="1:28" ht="28.5">
      <c r="P26" s="70" t="s">
        <v>197</v>
      </c>
      <c r="R26" s="97" t="s">
        <v>167</v>
      </c>
      <c r="S26" t="s">
        <v>132</v>
      </c>
      <c r="U26" t="s">
        <v>172</v>
      </c>
      <c r="V26" t="s">
        <v>173</v>
      </c>
    </row>
    <row r="27" spans="1:28">
      <c r="A27" s="49" t="s">
        <v>54</v>
      </c>
      <c r="P27" s="55" t="s">
        <v>51</v>
      </c>
      <c r="Q27" s="55" t="s">
        <v>102</v>
      </c>
      <c r="R27" s="98"/>
    </row>
    <row r="28" spans="1:28">
      <c r="B28">
        <f t="array" ref="B28:K37">MINVERSE(B16:K25)</f>
        <v>-0.29193841277579646</v>
      </c>
      <c r="C28">
        <v>2.1779984848250673E-2</v>
      </c>
      <c r="D28">
        <v>4.6287378965638885E-2</v>
      </c>
      <c r="E28">
        <v>0.29193841277579652</v>
      </c>
      <c r="F28">
        <v>-1.5312210160261432E-2</v>
      </c>
      <c r="G28">
        <v>1.5312210160261432E-2</v>
      </c>
      <c r="H28">
        <v>0.35602245460462989</v>
      </c>
      <c r="I28">
        <v>0.12816808365766669</v>
      </c>
      <c r="J28">
        <v>-0.35602245460462989</v>
      </c>
      <c r="K28">
        <v>-0.12816808365766671</v>
      </c>
      <c r="M28" s="58" t="s">
        <v>108</v>
      </c>
      <c r="O28" s="52">
        <v>-0.3</v>
      </c>
      <c r="P28" s="101">
        <f t="array" ref="P28:P37">MMULT(B28:K37,O28:O37)</f>
        <v>8.7581523832738942E-2</v>
      </c>
      <c r="Q28" s="60" t="s">
        <v>115</v>
      </c>
      <c r="R28" s="100">
        <v>8.725512259423826E-2</v>
      </c>
      <c r="S28" s="99">
        <f>P28/R28</f>
        <v>1.0037407687800584</v>
      </c>
      <c r="U28">
        <f>Q21</f>
        <v>0.2</v>
      </c>
    </row>
    <row r="29" spans="1:28">
      <c r="B29">
        <v>7.3528813159769871E-3</v>
      </c>
      <c r="C29">
        <v>-0.31693629787853095</v>
      </c>
      <c r="D29">
        <v>-0.70996448742382412</v>
      </c>
      <c r="E29">
        <v>-7.3528813159769967E-3</v>
      </c>
      <c r="F29">
        <v>0.20916776403386245</v>
      </c>
      <c r="G29">
        <v>-0.20916776403386245</v>
      </c>
      <c r="H29">
        <v>-8.9669284341183687E-3</v>
      </c>
      <c r="I29">
        <v>-3.2280942362826331E-3</v>
      </c>
      <c r="J29">
        <v>8.9669284341183687E-3</v>
      </c>
      <c r="K29">
        <v>3.2280942362826063E-3</v>
      </c>
      <c r="M29" s="58" t="s">
        <v>109</v>
      </c>
      <c r="O29" s="52">
        <v>0</v>
      </c>
      <c r="P29" s="101">
        <v>-2.2058643947930959E-3</v>
      </c>
      <c r="Q29" s="60" t="s">
        <v>116</v>
      </c>
      <c r="R29" s="100">
        <v>2.2528399020072874E-3</v>
      </c>
      <c r="S29" s="99">
        <f t="shared" ref="S29:S37" si="6">P29/R29</f>
        <v>-0.97914831534529545</v>
      </c>
      <c r="U29">
        <f>R21</f>
        <v>0.45</v>
      </c>
    </row>
    <row r="30" spans="1:28">
      <c r="B30">
        <v>-1.8382203289942429E-3</v>
      </c>
      <c r="C30">
        <v>-0.17076592553036729</v>
      </c>
      <c r="D30">
        <v>-0.82250887814404428</v>
      </c>
      <c r="E30">
        <v>1.8382203289942277E-3</v>
      </c>
      <c r="F30">
        <v>-5.2291941008465577E-2</v>
      </c>
      <c r="G30">
        <v>5.2291941008465605E-2</v>
      </c>
      <c r="H30">
        <v>2.2417321085295614E-3</v>
      </c>
      <c r="I30">
        <v>8.0702355907058369E-4</v>
      </c>
      <c r="J30">
        <v>-2.2417321085295614E-3</v>
      </c>
      <c r="K30">
        <v>-8.0702355907058369E-4</v>
      </c>
      <c r="M30" s="59" t="s">
        <v>5</v>
      </c>
      <c r="O30" s="52">
        <v>0</v>
      </c>
      <c r="P30" s="101">
        <v>5.5146609869827288E-4</v>
      </c>
      <c r="Q30" s="61" t="s">
        <v>5</v>
      </c>
      <c r="R30" s="100">
        <v>-5.6320997550183139E-4</v>
      </c>
      <c r="S30" s="99">
        <f t="shared" si="6"/>
        <v>-0.97914831534527691</v>
      </c>
      <c r="U30">
        <f>S21</f>
        <v>0.35</v>
      </c>
    </row>
    <row r="31" spans="1:28">
      <c r="B31">
        <v>-0.70806158722420343</v>
      </c>
      <c r="C31">
        <v>-2.177998484825068E-2</v>
      </c>
      <c r="D31">
        <v>-4.6287378965638885E-2</v>
      </c>
      <c r="E31">
        <v>-0.29193841277579646</v>
      </c>
      <c r="F31">
        <v>1.5312210160261444E-2</v>
      </c>
      <c r="G31">
        <v>-1.5312210160261444E-2</v>
      </c>
      <c r="H31">
        <v>-0.35602245460462989</v>
      </c>
      <c r="I31">
        <v>-0.12816808365766671</v>
      </c>
      <c r="J31">
        <v>0.35602245460462989</v>
      </c>
      <c r="K31">
        <v>0.12816808365766674</v>
      </c>
      <c r="M31" s="58" t="s">
        <v>110</v>
      </c>
      <c r="O31" s="52">
        <v>0</v>
      </c>
      <c r="P31" s="101">
        <v>0.21241847616726103</v>
      </c>
      <c r="Q31" s="60" t="s">
        <v>117</v>
      </c>
      <c r="R31" s="100">
        <v>0.21274487740576173</v>
      </c>
      <c r="S31" s="99">
        <f t="shared" si="6"/>
        <v>0.99846576217260374</v>
      </c>
      <c r="U31">
        <f>U28</f>
        <v>0.2</v>
      </c>
      <c r="V31">
        <f t="shared" ref="V31:V35" si="7">U31*P31</f>
        <v>4.2483695233452211E-2</v>
      </c>
    </row>
    <row r="32" spans="1:28">
      <c r="B32">
        <v>-1.0303787343471493E-2</v>
      </c>
      <c r="C32">
        <v>-0.85188075227967441</v>
      </c>
      <c r="D32">
        <v>-1.7689590501222596</v>
      </c>
      <c r="E32">
        <v>1.0303787343471503E-2</v>
      </c>
      <c r="F32">
        <v>-0.38553851537633543</v>
      </c>
      <c r="G32">
        <v>-0.61446148462366457</v>
      </c>
      <c r="H32">
        <v>-1.2069466008006449</v>
      </c>
      <c r="I32">
        <v>-0.43450077628823203</v>
      </c>
      <c r="J32">
        <v>1.2069466008006449</v>
      </c>
      <c r="K32">
        <v>0.43450077628823203</v>
      </c>
      <c r="M32" s="58" t="s">
        <v>111</v>
      </c>
      <c r="N32" s="11" t="s">
        <v>24</v>
      </c>
      <c r="O32" s="52">
        <v>0</v>
      </c>
      <c r="P32" s="101">
        <v>3.0911362030414478E-3</v>
      </c>
      <c r="Q32" s="60" t="s">
        <v>118</v>
      </c>
      <c r="R32" s="100">
        <v>1.6190496250606933E-2</v>
      </c>
      <c r="S32" s="99">
        <f t="shared" si="6"/>
        <v>0.19092288186815584</v>
      </c>
      <c r="U32">
        <f t="shared" ref="U32:U33" si="8">U29</f>
        <v>0.45</v>
      </c>
      <c r="V32">
        <f t="shared" si="7"/>
        <v>1.3910112913686516E-3</v>
      </c>
    </row>
    <row r="33" spans="2:22">
      <c r="B33">
        <v>-5.4018664661535012E-3</v>
      </c>
      <c r="C33">
        <v>-0.39650495086536186</v>
      </c>
      <c r="D33">
        <v>-2.2422687084048092</v>
      </c>
      <c r="E33">
        <v>5.401866466153509E-3</v>
      </c>
      <c r="F33">
        <v>-0.24609333935376049</v>
      </c>
      <c r="G33">
        <v>-0.75390666064623946</v>
      </c>
      <c r="H33">
        <v>-1.212924553090057</v>
      </c>
      <c r="I33">
        <v>-0.43665283911242048</v>
      </c>
      <c r="J33">
        <v>1.212924553090057</v>
      </c>
      <c r="K33">
        <v>0.43665283911242048</v>
      </c>
      <c r="M33" s="58" t="s">
        <v>112</v>
      </c>
      <c r="O33" s="52">
        <v>0</v>
      </c>
      <c r="P33" s="101">
        <v>1.6205599398460503E-3</v>
      </c>
      <c r="Q33" s="60" t="s">
        <v>119</v>
      </c>
      <c r="R33" s="100">
        <v>1.7692389518611792E-2</v>
      </c>
      <c r="S33" s="99">
        <f t="shared" si="6"/>
        <v>9.1596442534869385E-2</v>
      </c>
      <c r="U33">
        <f t="shared" si="8"/>
        <v>0.35</v>
      </c>
      <c r="V33">
        <f t="shared" si="7"/>
        <v>5.6719597894611758E-4</v>
      </c>
    </row>
    <row r="34" spans="2:22">
      <c r="B34">
        <v>-0.16988494840889518</v>
      </c>
      <c r="C34">
        <v>-0.60376039942474802</v>
      </c>
      <c r="D34">
        <v>-1.8234897893231969</v>
      </c>
      <c r="E34">
        <v>0.16988494840889523</v>
      </c>
      <c r="F34">
        <v>0.2218319281409234</v>
      </c>
      <c r="G34">
        <v>-0.2218319281409234</v>
      </c>
      <c r="H34">
        <v>-2.4757500629159819</v>
      </c>
      <c r="I34">
        <v>-0.29127002264975332</v>
      </c>
      <c r="J34">
        <v>2.4757500629159819</v>
      </c>
      <c r="K34">
        <v>0.29127002264975338</v>
      </c>
      <c r="M34" s="58" t="s">
        <v>113</v>
      </c>
      <c r="O34" s="52">
        <v>0</v>
      </c>
      <c r="P34" s="101">
        <v>5.0965484522668553E-2</v>
      </c>
      <c r="Q34" s="60" t="s">
        <v>120</v>
      </c>
      <c r="R34" s="100">
        <v>5.5694143241845399E-2</v>
      </c>
      <c r="S34" s="99">
        <f t="shared" si="6"/>
        <v>0.91509594287781404</v>
      </c>
      <c r="U34">
        <f>Q11</f>
        <v>0.4</v>
      </c>
      <c r="V34">
        <f t="shared" si="7"/>
        <v>2.0386193809067421E-2</v>
      </c>
    </row>
    <row r="35" spans="2:22">
      <c r="B35">
        <v>-4.0772387618134842E-2</v>
      </c>
      <c r="C35">
        <v>-0.14490249586193951</v>
      </c>
      <c r="D35">
        <v>-0.43763754943756722</v>
      </c>
      <c r="E35">
        <v>4.0772387618134856E-2</v>
      </c>
      <c r="F35">
        <v>5.3239662753821609E-2</v>
      </c>
      <c r="G35">
        <v>-5.3239662753821609E-2</v>
      </c>
      <c r="H35">
        <v>-0.19418001509983557</v>
      </c>
      <c r="I35">
        <v>-0.46990480543594076</v>
      </c>
      <c r="J35">
        <v>0.19418001509983557</v>
      </c>
      <c r="K35">
        <v>0.46990480543594082</v>
      </c>
      <c r="M35" s="58" t="s">
        <v>114</v>
      </c>
      <c r="O35" s="52">
        <v>0</v>
      </c>
      <c r="P35" s="101">
        <v>1.2231716285440453E-2</v>
      </c>
      <c r="Q35" s="60" t="s">
        <v>121</v>
      </c>
      <c r="R35" s="100">
        <v>1.33665943780429E-2</v>
      </c>
      <c r="S35" s="99">
        <f t="shared" si="6"/>
        <v>0.91509594287781382</v>
      </c>
      <c r="U35">
        <f>R11</f>
        <v>0.6</v>
      </c>
      <c r="V35">
        <f t="shared" si="7"/>
        <v>7.3390297712642716E-3</v>
      </c>
    </row>
    <row r="36" spans="2:22">
      <c r="B36">
        <v>-1.6988494840889521E-2</v>
      </c>
      <c r="C36">
        <v>-6.0376039942474806E-2</v>
      </c>
      <c r="D36">
        <v>-0.18234897893231972</v>
      </c>
      <c r="E36">
        <v>1.6988494840889528E-2</v>
      </c>
      <c r="F36">
        <v>2.218319281409234E-2</v>
      </c>
      <c r="G36">
        <v>-2.218319281409234E-2</v>
      </c>
      <c r="H36">
        <v>-0.2475750062915982</v>
      </c>
      <c r="I36">
        <v>-2.9127002264975339E-2</v>
      </c>
      <c r="J36">
        <v>-0.75242499370840188</v>
      </c>
      <c r="K36">
        <v>2.9127002264975346E-2</v>
      </c>
      <c r="M36" s="58" t="s">
        <v>8</v>
      </c>
      <c r="O36" s="52">
        <v>0</v>
      </c>
      <c r="P36" s="101">
        <v>5.0965484522668561E-3</v>
      </c>
      <c r="Q36" s="60" t="s">
        <v>8</v>
      </c>
      <c r="R36" s="100">
        <v>5.5694143241845403E-3</v>
      </c>
      <c r="S36" s="99">
        <f t="shared" si="6"/>
        <v>0.91509594287781415</v>
      </c>
      <c r="U36">
        <f>U34</f>
        <v>0.4</v>
      </c>
    </row>
    <row r="37" spans="2:22">
      <c r="B37">
        <v>-8.1544775236269684E-2</v>
      </c>
      <c r="C37">
        <v>-0.28980499172387902</v>
      </c>
      <c r="D37">
        <v>-0.87527509887513444</v>
      </c>
      <c r="E37">
        <v>8.1544775236269712E-2</v>
      </c>
      <c r="F37">
        <v>0.10647932550764322</v>
      </c>
      <c r="G37">
        <v>-0.10647932550764322</v>
      </c>
      <c r="H37">
        <v>-0.38836003019967114</v>
      </c>
      <c r="I37">
        <v>-0.93980961087188153</v>
      </c>
      <c r="J37">
        <v>0.38836003019967114</v>
      </c>
      <c r="K37">
        <v>-6.0190389128118374E-2</v>
      </c>
      <c r="M37" s="58" t="s">
        <v>9</v>
      </c>
      <c r="O37" s="52">
        <v>0</v>
      </c>
      <c r="P37" s="101">
        <v>2.4463432570880905E-2</v>
      </c>
      <c r="Q37" s="60" t="s">
        <v>9</v>
      </c>
      <c r="R37" s="100">
        <v>2.67331887560858E-2</v>
      </c>
      <c r="S37" s="99">
        <f t="shared" si="6"/>
        <v>0.91509594287781382</v>
      </c>
      <c r="U37">
        <f>U35</f>
        <v>0.6</v>
      </c>
    </row>
    <row r="38" spans="2:22">
      <c r="V38">
        <f>SUM(V28:V37)</f>
        <v>7.2167126084098671E-2</v>
      </c>
    </row>
    <row r="39" spans="2:22">
      <c r="B39" s="149" t="s">
        <v>196</v>
      </c>
      <c r="C39" s="149"/>
    </row>
    <row r="40" spans="2:22">
      <c r="B40" s="5" t="s">
        <v>174</v>
      </c>
      <c r="C40" s="5" t="s">
        <v>180</v>
      </c>
      <c r="F40" s="123"/>
      <c r="G40" s="123"/>
    </row>
    <row r="41" spans="2:22">
      <c r="B41" s="5" t="s">
        <v>175</v>
      </c>
      <c r="C41" s="148">
        <f>-E16*P28*(1+P28/2)</f>
        <v>9.1416785491171257E-2</v>
      </c>
      <c r="F41" s="123"/>
      <c r="G41" s="124"/>
    </row>
    <row r="42" spans="2:22">
      <c r="B42" s="5" t="s">
        <v>179</v>
      </c>
      <c r="C42" s="148">
        <f>-P32*(1+P29/2)</f>
        <v>-3.0877268893965753E-3</v>
      </c>
      <c r="D42" s="118"/>
      <c r="F42" s="123"/>
      <c r="G42" s="124"/>
    </row>
    <row r="43" spans="2:22">
      <c r="B43" s="5" t="s">
        <v>176</v>
      </c>
      <c r="C43" s="148">
        <f>-P33*(1+P30/2)</f>
        <v>-1.6210067817799172E-3</v>
      </c>
      <c r="D43" s="118"/>
      <c r="F43" s="123"/>
      <c r="G43" s="124"/>
    </row>
    <row r="44" spans="2:22">
      <c r="B44" s="5" t="s">
        <v>177</v>
      </c>
      <c r="C44" s="148">
        <f>P34*(1+P36/2)</f>
        <v>5.1095358553300066E-2</v>
      </c>
      <c r="F44" s="123"/>
      <c r="G44" s="124"/>
    </row>
    <row r="45" spans="2:22">
      <c r="B45" s="5" t="s">
        <v>178</v>
      </c>
      <c r="C45" s="148">
        <f>P35*(1+P37/2)</f>
        <v>1.2381331168727961E-2</v>
      </c>
      <c r="F45" s="123"/>
      <c r="G45" s="124"/>
    </row>
    <row r="46" spans="2:22">
      <c r="F46" s="125"/>
      <c r="G46" s="125"/>
    </row>
    <row r="47" spans="2:22">
      <c r="F47" s="125"/>
      <c r="G47" s="125"/>
    </row>
    <row r="49" spans="1:16">
      <c r="A49" s="145" t="s">
        <v>187</v>
      </c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</row>
    <row r="50" spans="1:16">
      <c r="A50" s="138" t="s">
        <v>188</v>
      </c>
      <c r="B50" s="138"/>
      <c r="C50" s="138"/>
      <c r="D50" s="138"/>
      <c r="E50" s="138"/>
      <c r="F50" s="138"/>
      <c r="G50" s="133"/>
    </row>
    <row r="51" spans="1:16">
      <c r="A51" s="139" t="s">
        <v>195</v>
      </c>
      <c r="B51" s="140"/>
      <c r="C51" s="134">
        <v>0</v>
      </c>
      <c r="D51" s="134">
        <v>0.1</v>
      </c>
      <c r="E51" s="134">
        <v>1</v>
      </c>
      <c r="F51" s="134">
        <v>2</v>
      </c>
      <c r="I51" s="130"/>
    </row>
    <row r="52" spans="1:16">
      <c r="A52" s="137" t="s">
        <v>51</v>
      </c>
      <c r="B52" s="135" t="s">
        <v>53</v>
      </c>
      <c r="C52" s="131">
        <v>8.5170006797606182E-2</v>
      </c>
      <c r="D52" s="131">
        <v>8.7581523832738942E-2</v>
      </c>
      <c r="E52" s="101">
        <v>9.2640224468064275E-2</v>
      </c>
      <c r="F52" s="131">
        <v>9.3625647377008042E-2</v>
      </c>
    </row>
    <row r="53" spans="1:16">
      <c r="A53" s="137"/>
      <c r="B53" s="135" t="s">
        <v>52</v>
      </c>
      <c r="C53" s="131">
        <v>-2.145126931770696E-3</v>
      </c>
      <c r="D53" s="131">
        <v>-2.2058643947930959E-3</v>
      </c>
      <c r="E53" s="101">
        <v>-2.3332749161799242E-3</v>
      </c>
      <c r="F53" s="131">
        <v>-2.3580941841433735E-3</v>
      </c>
    </row>
    <row r="54" spans="1:16">
      <c r="A54" s="137"/>
      <c r="B54" s="135" t="s">
        <v>5</v>
      </c>
      <c r="C54" s="131">
        <v>5.3628173294267356E-4</v>
      </c>
      <c r="D54" s="131">
        <v>5.5146609869827288E-4</v>
      </c>
      <c r="E54" s="101">
        <v>5.833187290449674E-4</v>
      </c>
      <c r="F54" s="131">
        <v>5.8952354603583927E-4</v>
      </c>
    </row>
    <row r="55" spans="1:16">
      <c r="A55" s="137"/>
      <c r="B55" s="135" t="s">
        <v>189</v>
      </c>
      <c r="C55" s="131">
        <v>0.21482999320239385</v>
      </c>
      <c r="D55" s="131">
        <v>0.21241847616726103</v>
      </c>
      <c r="E55" s="101">
        <v>0.20735977553193563</v>
      </c>
      <c r="F55" s="131">
        <v>0.20637435262299192</v>
      </c>
    </row>
    <row r="56" spans="1:16">
      <c r="A56" s="137"/>
      <c r="B56" s="135" t="s">
        <v>190</v>
      </c>
      <c r="C56" s="131">
        <v>1.1266385406237317E-2</v>
      </c>
      <c r="D56" s="131">
        <v>3.0911362030414478E-3</v>
      </c>
      <c r="E56" s="101">
        <v>-1.4058292034720629E-2</v>
      </c>
      <c r="F56" s="131">
        <v>-1.7398960059779766E-2</v>
      </c>
    </row>
    <row r="57" spans="1:16">
      <c r="A57" s="137"/>
      <c r="B57" s="135" t="s">
        <v>191</v>
      </c>
      <c r="C57" s="131">
        <v>9.8363007850568521E-3</v>
      </c>
      <c r="D57" s="131">
        <v>1.6205599398460503E-3</v>
      </c>
      <c r="E57" s="101">
        <v>-1.5613808645507243E-2</v>
      </c>
      <c r="F57" s="131">
        <v>-1.8971022849208683E-2</v>
      </c>
    </row>
    <row r="58" spans="1:16">
      <c r="A58" s="137"/>
      <c r="B58" s="135" t="s">
        <v>192</v>
      </c>
      <c r="C58" s="131">
        <v>6.7734970194809813E-2</v>
      </c>
      <c r="D58" s="131">
        <v>5.0965484522668553E-2</v>
      </c>
      <c r="E58" s="101">
        <v>1.578770780044432E-2</v>
      </c>
      <c r="F58" s="131">
        <v>8.9351601668248171E-3</v>
      </c>
    </row>
    <row r="59" spans="1:16">
      <c r="A59" s="137"/>
      <c r="B59" s="135" t="s">
        <v>193</v>
      </c>
      <c r="C59" s="131">
        <v>1.3546994038961958E-2</v>
      </c>
      <c r="D59" s="131">
        <v>1.2231716285440453E-2</v>
      </c>
      <c r="E59" s="101">
        <v>9.472624680266592E-3</v>
      </c>
      <c r="F59" s="131">
        <v>8.9351601668248189E-3</v>
      </c>
    </row>
    <row r="60" spans="1:16">
      <c r="A60" s="137"/>
      <c r="B60" s="135" t="s">
        <v>8</v>
      </c>
      <c r="C60" s="131">
        <v>0</v>
      </c>
      <c r="D60" s="131">
        <v>5.0965484522668561E-3</v>
      </c>
      <c r="E60" s="101">
        <v>1.578770780044432E-2</v>
      </c>
      <c r="F60" s="131">
        <v>1.7870320333649634E-2</v>
      </c>
    </row>
    <row r="61" spans="1:16">
      <c r="A61" s="137"/>
      <c r="B61" s="135" t="s">
        <v>9</v>
      </c>
      <c r="C61" s="131">
        <v>2.7093988077923917E-2</v>
      </c>
      <c r="D61" s="131">
        <v>2.4463432570880905E-2</v>
      </c>
      <c r="E61" s="101">
        <v>1.8945249360533184E-2</v>
      </c>
      <c r="F61" s="131">
        <v>1.7870320333649638E-2</v>
      </c>
    </row>
    <row r="62" spans="1:16">
      <c r="A62" s="137" t="s">
        <v>194</v>
      </c>
      <c r="B62" s="136" t="s">
        <v>175</v>
      </c>
      <c r="C62" s="131">
        <v>8.8796971826558324E-2</v>
      </c>
      <c r="D62" s="131">
        <v>9.1416785491171257E-2</v>
      </c>
      <c r="E62" s="132">
        <v>9.6931330062810947E-2</v>
      </c>
      <c r="F62" s="131">
        <v>9.800852830038996E-2</v>
      </c>
    </row>
    <row r="63" spans="1:16">
      <c r="A63" s="137"/>
      <c r="B63" s="136" t="s">
        <v>179</v>
      </c>
      <c r="C63" s="131">
        <v>-1.1254301492858002E-2</v>
      </c>
      <c r="D63" s="131">
        <v>-3.0877268893965753E-3</v>
      </c>
      <c r="E63" s="132">
        <v>1.4041891104636156E-2</v>
      </c>
      <c r="F63" s="131">
        <v>1.7378445866516209E-2</v>
      </c>
    </row>
    <row r="64" spans="1:16">
      <c r="A64" s="137"/>
      <c r="B64" s="136" t="s">
        <v>176</v>
      </c>
      <c r="C64" s="131">
        <v>-9.8389382992722305E-3</v>
      </c>
      <c r="D64" s="131">
        <v>-1.6210067817799172E-3</v>
      </c>
      <c r="E64" s="132">
        <v>1.5618362559014569E-2</v>
      </c>
      <c r="F64" s="131">
        <v>1.8976614781539679E-2</v>
      </c>
    </row>
    <row r="65" spans="1:6">
      <c r="A65" s="137"/>
      <c r="B65" s="136" t="s">
        <v>177</v>
      </c>
      <c r="C65" s="131">
        <v>6.7734970194809813E-2</v>
      </c>
      <c r="D65" s="131">
        <v>5.1095358553300066E-2</v>
      </c>
      <c r="E65" s="132">
        <v>1.5912333659240427E-2</v>
      </c>
      <c r="F65" s="131">
        <v>9.0149972540316294E-3</v>
      </c>
    </row>
    <row r="66" spans="1:6">
      <c r="A66" s="137"/>
      <c r="B66" s="136" t="s">
        <v>178</v>
      </c>
      <c r="C66" s="131">
        <v>1.3730515086453628E-2</v>
      </c>
      <c r="D66" s="131">
        <v>1.2381331168727961E-2</v>
      </c>
      <c r="E66" s="132">
        <v>9.5623552985997871E-3</v>
      </c>
      <c r="F66" s="131">
        <v>9.0149972540316311E-3</v>
      </c>
    </row>
  </sheetData>
  <mergeCells count="10">
    <mergeCell ref="B3:K3"/>
    <mergeCell ref="L4:L13"/>
    <mergeCell ref="N4:N13"/>
    <mergeCell ref="A49:P49"/>
    <mergeCell ref="B39:C39"/>
    <mergeCell ref="A52:A61"/>
    <mergeCell ref="A62:A66"/>
    <mergeCell ref="A50:F50"/>
    <mergeCell ref="A51:B51"/>
    <mergeCell ref="N16:N25"/>
  </mergeCells>
  <pageMargins left="0.7" right="0.7" top="0.75" bottom="0.75" header="0.3" footer="0.3"/>
  <pageSetup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42"/>
  <sheetViews>
    <sheetView topLeftCell="A24" zoomScale="125" zoomScaleNormal="125" zoomScalePageLayoutView="125" workbookViewId="0">
      <selection activeCell="D14" sqref="D14:P25"/>
    </sheetView>
  </sheetViews>
  <sheetFormatPr defaultColWidth="8.85546875" defaultRowHeight="15"/>
  <cols>
    <col min="1" max="1" width="2" customWidth="1"/>
    <col min="2" max="2" width="3.140625" customWidth="1"/>
    <col min="3" max="3" width="1.7109375" customWidth="1"/>
    <col min="9" max="9" width="9.140625" customWidth="1"/>
    <col min="11" max="11" width="7.140625" customWidth="1"/>
    <col min="13" max="13" width="7.140625" customWidth="1"/>
    <col min="14" max="14" width="5.7109375" bestFit="1" customWidth="1"/>
    <col min="15" max="15" width="5.140625" customWidth="1"/>
    <col min="16" max="16" width="4.140625" bestFit="1" customWidth="1"/>
    <col min="17" max="17" width="13.85546875" customWidth="1"/>
  </cols>
  <sheetData>
    <row r="2" spans="3:16" ht="17.25">
      <c r="D2" s="64" t="s">
        <v>103</v>
      </c>
      <c r="E2" s="64" t="s">
        <v>104</v>
      </c>
      <c r="F2" s="64" t="s">
        <v>105</v>
      </c>
      <c r="G2" s="64" t="s">
        <v>122</v>
      </c>
      <c r="H2" s="64" t="s">
        <v>123</v>
      </c>
      <c r="I2" s="57" t="s">
        <v>5</v>
      </c>
      <c r="J2" s="64" t="s">
        <v>106</v>
      </c>
      <c r="K2" s="56" t="s">
        <v>107</v>
      </c>
      <c r="L2" s="64" t="s">
        <v>8</v>
      </c>
      <c r="M2" s="64" t="s">
        <v>9</v>
      </c>
    </row>
    <row r="3" spans="3:16"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</row>
    <row r="4" spans="3:16">
      <c r="C4" s="147"/>
      <c r="D4" s="3" t="s">
        <v>10</v>
      </c>
      <c r="E4" s="3" t="s">
        <v>11</v>
      </c>
      <c r="F4" s="4" t="s">
        <v>12</v>
      </c>
      <c r="G4" s="5">
        <v>1</v>
      </c>
      <c r="H4" s="5">
        <v>0</v>
      </c>
      <c r="I4" s="5">
        <v>0</v>
      </c>
      <c r="J4" s="6">
        <v>0</v>
      </c>
      <c r="K4" s="6">
        <v>0</v>
      </c>
      <c r="L4" s="6">
        <v>0</v>
      </c>
      <c r="M4" s="6">
        <v>0</v>
      </c>
      <c r="N4" s="2" t="s">
        <v>0</v>
      </c>
      <c r="P4" s="7">
        <v>0</v>
      </c>
    </row>
    <row r="5" spans="3:16">
      <c r="C5" s="147"/>
      <c r="D5" s="3" t="s">
        <v>13</v>
      </c>
      <c r="E5" s="3" t="s">
        <v>14</v>
      </c>
      <c r="F5" s="4" t="s">
        <v>15</v>
      </c>
      <c r="G5" s="5">
        <v>0</v>
      </c>
      <c r="H5" s="5">
        <v>1</v>
      </c>
      <c r="I5" s="5">
        <v>0</v>
      </c>
      <c r="J5" s="6">
        <v>0</v>
      </c>
      <c r="K5" s="6">
        <v>0</v>
      </c>
      <c r="L5" s="6">
        <v>0</v>
      </c>
      <c r="M5" s="6">
        <v>0</v>
      </c>
      <c r="N5" s="2" t="s">
        <v>1</v>
      </c>
      <c r="P5" s="7">
        <v>0</v>
      </c>
    </row>
    <row r="6" spans="3:16">
      <c r="C6" s="147"/>
      <c r="D6" s="3" t="s">
        <v>16</v>
      </c>
      <c r="E6" s="4" t="s">
        <v>17</v>
      </c>
      <c r="F6" s="4" t="s">
        <v>18</v>
      </c>
      <c r="G6" s="5">
        <v>0</v>
      </c>
      <c r="H6" s="5">
        <v>0</v>
      </c>
      <c r="I6" s="5">
        <v>1</v>
      </c>
      <c r="J6" s="6">
        <v>0</v>
      </c>
      <c r="K6" s="6">
        <v>0</v>
      </c>
      <c r="L6" s="6">
        <v>0</v>
      </c>
      <c r="M6" s="6">
        <v>0</v>
      </c>
      <c r="N6" s="2" t="s">
        <v>2</v>
      </c>
      <c r="P6" s="7">
        <v>0</v>
      </c>
    </row>
    <row r="7" spans="3:16">
      <c r="C7" s="147"/>
      <c r="D7" s="8">
        <v>-1</v>
      </c>
      <c r="E7" s="8">
        <v>0</v>
      </c>
      <c r="F7" s="8">
        <v>0</v>
      </c>
      <c r="G7" s="9" t="s">
        <v>19</v>
      </c>
      <c r="H7" s="9" t="s">
        <v>20</v>
      </c>
      <c r="I7" s="9" t="s">
        <v>21</v>
      </c>
      <c r="J7" s="10" t="s">
        <v>22</v>
      </c>
      <c r="K7" s="10" t="s">
        <v>23</v>
      </c>
      <c r="L7" s="6">
        <v>0</v>
      </c>
      <c r="M7" s="6">
        <v>0</v>
      </c>
      <c r="N7" s="2" t="s">
        <v>3</v>
      </c>
      <c r="O7" s="11" t="s">
        <v>24</v>
      </c>
      <c r="P7" s="12" t="s">
        <v>25</v>
      </c>
    </row>
    <row r="8" spans="3:16">
      <c r="C8" s="147"/>
      <c r="D8" s="8">
        <v>0</v>
      </c>
      <c r="E8" s="8">
        <v>-1</v>
      </c>
      <c r="F8" s="8">
        <v>0</v>
      </c>
      <c r="G8" s="9" t="s">
        <v>26</v>
      </c>
      <c r="H8" s="9" t="s">
        <v>27</v>
      </c>
      <c r="I8" s="9" t="s">
        <v>28</v>
      </c>
      <c r="J8" s="10" t="s">
        <v>29</v>
      </c>
      <c r="K8" s="10" t="s">
        <v>30</v>
      </c>
      <c r="L8" s="6">
        <v>0</v>
      </c>
      <c r="M8" s="6">
        <v>0</v>
      </c>
      <c r="N8" s="2" t="s">
        <v>4</v>
      </c>
      <c r="P8" s="12" t="s">
        <v>31</v>
      </c>
    </row>
    <row r="9" spans="3:16">
      <c r="C9" s="147"/>
      <c r="D9" s="8">
        <v>0</v>
      </c>
      <c r="E9" s="8">
        <v>0</v>
      </c>
      <c r="F9" s="8">
        <v>-1</v>
      </c>
      <c r="G9" s="9" t="s">
        <v>32</v>
      </c>
      <c r="H9" s="9" t="s">
        <v>33</v>
      </c>
      <c r="I9" s="9" t="s">
        <v>34</v>
      </c>
      <c r="J9" s="10" t="s">
        <v>35</v>
      </c>
      <c r="K9" s="10" t="s">
        <v>36</v>
      </c>
      <c r="L9" s="6">
        <v>0</v>
      </c>
      <c r="M9" s="6">
        <v>0</v>
      </c>
      <c r="N9" s="1" t="s">
        <v>5</v>
      </c>
      <c r="P9" s="13">
        <v>0</v>
      </c>
    </row>
    <row r="10" spans="3:16" ht="15.75" thickBot="1">
      <c r="C10" s="147"/>
      <c r="D10" s="8">
        <v>0</v>
      </c>
      <c r="E10" s="8">
        <v>0</v>
      </c>
      <c r="F10" s="8">
        <v>0</v>
      </c>
      <c r="G10" s="14" t="s">
        <v>37</v>
      </c>
      <c r="H10" s="14" t="s">
        <v>38</v>
      </c>
      <c r="I10" s="14" t="s">
        <v>39</v>
      </c>
      <c r="J10" s="15" t="s">
        <v>40</v>
      </c>
      <c r="K10" s="15" t="s">
        <v>41</v>
      </c>
      <c r="L10" s="8">
        <v>-1</v>
      </c>
      <c r="M10" s="16">
        <v>0</v>
      </c>
      <c r="N10" s="2" t="s">
        <v>6</v>
      </c>
      <c r="P10" s="17">
        <v>0</v>
      </c>
    </row>
    <row r="11" spans="3:16" ht="15.75" thickBot="1">
      <c r="C11" s="147"/>
      <c r="D11" s="8">
        <v>0</v>
      </c>
      <c r="E11" s="8">
        <v>0</v>
      </c>
      <c r="F11" s="8">
        <v>0</v>
      </c>
      <c r="G11" s="14" t="s">
        <v>42</v>
      </c>
      <c r="H11" s="14" t="s">
        <v>43</v>
      </c>
      <c r="I11" s="14" t="s">
        <v>44</v>
      </c>
      <c r="J11" s="15" t="s">
        <v>45</v>
      </c>
      <c r="K11" s="15" t="s">
        <v>46</v>
      </c>
      <c r="L11" s="18">
        <v>0</v>
      </c>
      <c r="M11" s="8">
        <v>-1</v>
      </c>
      <c r="N11" s="2" t="s">
        <v>7</v>
      </c>
      <c r="P11" s="17">
        <v>0</v>
      </c>
    </row>
    <row r="12" spans="3:16">
      <c r="C12" s="147"/>
      <c r="D12" s="19">
        <v>0</v>
      </c>
      <c r="E12" s="19">
        <v>0</v>
      </c>
      <c r="F12" s="19">
        <v>0</v>
      </c>
      <c r="G12" s="20">
        <v>0</v>
      </c>
      <c r="H12" s="20">
        <v>0</v>
      </c>
      <c r="I12" s="20">
        <v>0</v>
      </c>
      <c r="J12" s="21" t="s">
        <v>47</v>
      </c>
      <c r="K12" s="22" t="s">
        <v>48</v>
      </c>
      <c r="L12" s="23">
        <v>1</v>
      </c>
      <c r="M12" s="23">
        <v>0</v>
      </c>
      <c r="N12" s="2" t="s">
        <v>8</v>
      </c>
      <c r="P12" s="17">
        <v>0</v>
      </c>
    </row>
    <row r="13" spans="3:16">
      <c r="C13" s="147"/>
      <c r="D13" s="19">
        <v>0</v>
      </c>
      <c r="E13" s="19">
        <v>0</v>
      </c>
      <c r="F13" s="19">
        <v>0</v>
      </c>
      <c r="G13" s="6">
        <v>0</v>
      </c>
      <c r="H13" s="6">
        <v>0</v>
      </c>
      <c r="I13" s="6">
        <v>0</v>
      </c>
      <c r="J13" s="21" t="s">
        <v>49</v>
      </c>
      <c r="K13" s="22" t="s">
        <v>50</v>
      </c>
      <c r="L13" s="23">
        <v>0</v>
      </c>
      <c r="M13" s="23">
        <v>1</v>
      </c>
      <c r="N13" s="2" t="s">
        <v>9</v>
      </c>
      <c r="P13" s="17">
        <v>0</v>
      </c>
    </row>
    <row r="14" spans="3:16" ht="17.25">
      <c r="D14" s="64" t="s">
        <v>103</v>
      </c>
      <c r="E14" s="64" t="s">
        <v>104</v>
      </c>
      <c r="F14" s="64" t="s">
        <v>105</v>
      </c>
      <c r="G14" s="64" t="s">
        <v>122</v>
      </c>
      <c r="H14" s="64" t="s">
        <v>123</v>
      </c>
      <c r="I14" s="57" t="s">
        <v>5</v>
      </c>
      <c r="J14" s="64" t="s">
        <v>106</v>
      </c>
      <c r="K14" s="56" t="s">
        <v>107</v>
      </c>
      <c r="L14" s="64" t="s">
        <v>8</v>
      </c>
      <c r="M14" s="64" t="s">
        <v>9</v>
      </c>
      <c r="N14" s="75"/>
      <c r="O14" s="75"/>
      <c r="P14" s="75"/>
    </row>
    <row r="15" spans="3:16" ht="17.25">
      <c r="D15" s="82">
        <v>-1</v>
      </c>
      <c r="E15" s="82">
        <v>0.8</v>
      </c>
      <c r="F15" s="82">
        <v>-0.1</v>
      </c>
      <c r="G15" s="83">
        <v>1</v>
      </c>
      <c r="H15" s="83">
        <v>0</v>
      </c>
      <c r="I15" s="83">
        <v>0</v>
      </c>
      <c r="J15" s="84">
        <v>0</v>
      </c>
      <c r="K15" s="84">
        <v>0</v>
      </c>
      <c r="L15" s="84">
        <v>0</v>
      </c>
      <c r="M15" s="84">
        <v>0</v>
      </c>
      <c r="N15" s="56" t="s">
        <v>103</v>
      </c>
      <c r="O15" s="75"/>
      <c r="P15" s="85">
        <v>0</v>
      </c>
    </row>
    <row r="16" spans="3:16" ht="17.25">
      <c r="D16" s="82">
        <v>0.8</v>
      </c>
      <c r="E16" s="82">
        <v>-1.5</v>
      </c>
      <c r="F16" s="82">
        <v>0</v>
      </c>
      <c r="G16" s="83">
        <v>0</v>
      </c>
      <c r="H16" s="83">
        <v>1</v>
      </c>
      <c r="I16" s="83">
        <v>0</v>
      </c>
      <c r="J16" s="84">
        <v>0</v>
      </c>
      <c r="K16" s="84">
        <v>0</v>
      </c>
      <c r="L16" s="84">
        <v>0</v>
      </c>
      <c r="M16" s="84">
        <v>0</v>
      </c>
      <c r="N16" s="56" t="s">
        <v>104</v>
      </c>
      <c r="O16" s="75"/>
      <c r="P16" s="85">
        <v>0</v>
      </c>
    </row>
    <row r="17" spans="4:18" ht="17.25">
      <c r="D17" s="82">
        <v>-0.5</v>
      </c>
      <c r="E17" s="82">
        <v>0</v>
      </c>
      <c r="F17" s="82">
        <v>-1.82</v>
      </c>
      <c r="G17" s="83">
        <v>0</v>
      </c>
      <c r="H17" s="83">
        <v>0</v>
      </c>
      <c r="I17" s="83">
        <v>1</v>
      </c>
      <c r="J17" s="84">
        <v>0</v>
      </c>
      <c r="K17" s="84">
        <v>0</v>
      </c>
      <c r="L17" s="84">
        <v>0</v>
      </c>
      <c r="M17" s="84">
        <v>0</v>
      </c>
      <c r="N17" s="56" t="s">
        <v>105</v>
      </c>
      <c r="O17" s="75"/>
      <c r="P17" s="85">
        <v>0</v>
      </c>
    </row>
    <row r="18" spans="4:18" ht="17.25">
      <c r="D18" s="86">
        <v>-1</v>
      </c>
      <c r="E18" s="86">
        <v>0</v>
      </c>
      <c r="F18" s="86">
        <v>0</v>
      </c>
      <c r="G18" s="87">
        <f t="array" ref="G18:I20">MINVERSE(G27:I29)</f>
        <v>0.5136528128084219</v>
      </c>
      <c r="H18" s="87">
        <v>0.25030156815440285</v>
      </c>
      <c r="I18" s="87">
        <v>0.23604561903717508</v>
      </c>
      <c r="J18" s="88">
        <v>0.4</v>
      </c>
      <c r="K18" s="88">
        <v>0.6</v>
      </c>
      <c r="L18" s="84">
        <v>0</v>
      </c>
      <c r="M18" s="84">
        <v>0</v>
      </c>
      <c r="N18" s="56" t="s">
        <v>122</v>
      </c>
      <c r="O18" s="11" t="s">
        <v>24</v>
      </c>
      <c r="P18" s="89" t="s">
        <v>25</v>
      </c>
    </row>
    <row r="19" spans="4:18" ht="17.25">
      <c r="D19" s="86">
        <v>0</v>
      </c>
      <c r="E19" s="86">
        <v>-1</v>
      </c>
      <c r="F19" s="86">
        <v>0</v>
      </c>
      <c r="G19" s="87">
        <v>8.0491281938809056E-2</v>
      </c>
      <c r="H19" s="87">
        <v>0.64234016887816636</v>
      </c>
      <c r="I19" s="87">
        <v>0.27716854918302442</v>
      </c>
      <c r="J19" s="88">
        <v>0.4</v>
      </c>
      <c r="K19" s="88">
        <v>0.6</v>
      </c>
      <c r="L19" s="84">
        <v>0</v>
      </c>
      <c r="M19" s="84">
        <v>0</v>
      </c>
      <c r="N19" s="56" t="s">
        <v>123</v>
      </c>
      <c r="O19" s="75"/>
      <c r="P19" s="89" t="s">
        <v>31</v>
      </c>
    </row>
    <row r="20" spans="4:18">
      <c r="D20" s="86">
        <v>0</v>
      </c>
      <c r="E20" s="86">
        <v>0</v>
      </c>
      <c r="F20" s="86">
        <v>-1</v>
      </c>
      <c r="G20" s="87">
        <v>6.4042109880469336E-2</v>
      </c>
      <c r="H20" s="87">
        <v>0.34077201447527128</v>
      </c>
      <c r="I20" s="87">
        <v>0.59518587564425918</v>
      </c>
      <c r="J20" s="88">
        <v>0.4</v>
      </c>
      <c r="K20" s="88">
        <v>0.6</v>
      </c>
      <c r="L20" s="84">
        <v>0</v>
      </c>
      <c r="M20" s="84">
        <v>0</v>
      </c>
      <c r="N20" s="57" t="s">
        <v>5</v>
      </c>
      <c r="O20" s="75"/>
      <c r="P20" s="90">
        <v>0</v>
      </c>
    </row>
    <row r="21" spans="4:18" ht="17.25">
      <c r="D21" s="86">
        <v>0</v>
      </c>
      <c r="E21" s="86">
        <v>0</v>
      </c>
      <c r="F21" s="86">
        <v>0</v>
      </c>
      <c r="G21" s="91">
        <v>0.45</v>
      </c>
      <c r="H21" s="91">
        <v>0.2</v>
      </c>
      <c r="I21" s="91">
        <v>0.35</v>
      </c>
      <c r="J21" s="80">
        <v>-0.3</v>
      </c>
      <c r="K21" s="80">
        <v>0.3</v>
      </c>
      <c r="L21" s="86">
        <v>-1</v>
      </c>
      <c r="M21" s="92">
        <v>0</v>
      </c>
      <c r="N21" s="56" t="s">
        <v>106</v>
      </c>
      <c r="O21" s="75"/>
      <c r="P21" s="93">
        <v>0</v>
      </c>
    </row>
    <row r="22" spans="4:18" ht="17.25">
      <c r="D22" s="86">
        <v>0</v>
      </c>
      <c r="E22" s="86">
        <v>0</v>
      </c>
      <c r="F22" s="86">
        <v>0</v>
      </c>
      <c r="G22" s="91">
        <v>0.45</v>
      </c>
      <c r="H22" s="91">
        <v>0.2</v>
      </c>
      <c r="I22" s="91">
        <v>0.35</v>
      </c>
      <c r="J22" s="80">
        <v>0.2</v>
      </c>
      <c r="K22" s="80">
        <v>-0.2</v>
      </c>
      <c r="L22" s="94">
        <v>0</v>
      </c>
      <c r="M22" s="86">
        <v>-1</v>
      </c>
      <c r="N22" s="56" t="s">
        <v>107</v>
      </c>
      <c r="O22" s="75"/>
      <c r="P22" s="93">
        <v>0</v>
      </c>
    </row>
    <row r="23" spans="4:18">
      <c r="D23" s="95">
        <v>0</v>
      </c>
      <c r="E23" s="95">
        <v>0</v>
      </c>
      <c r="F23" s="95">
        <v>0</v>
      </c>
      <c r="G23" s="95">
        <v>0</v>
      </c>
      <c r="H23" s="95">
        <v>0</v>
      </c>
      <c r="I23" s="95">
        <v>0</v>
      </c>
      <c r="J23" s="81">
        <v>0.1</v>
      </c>
      <c r="K23" s="81">
        <v>0</v>
      </c>
      <c r="L23" s="94">
        <v>1</v>
      </c>
      <c r="M23" s="94">
        <v>0</v>
      </c>
      <c r="N23" s="56" t="s">
        <v>8</v>
      </c>
      <c r="O23" s="75"/>
      <c r="P23" s="93">
        <v>0</v>
      </c>
    </row>
    <row r="24" spans="4:18">
      <c r="D24" s="95">
        <v>0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81">
        <v>0</v>
      </c>
      <c r="K24" s="81">
        <v>2</v>
      </c>
      <c r="L24" s="94">
        <v>0</v>
      </c>
      <c r="M24" s="94">
        <v>1</v>
      </c>
      <c r="N24" s="56" t="s">
        <v>9</v>
      </c>
      <c r="O24" s="75"/>
      <c r="P24" s="93">
        <v>0</v>
      </c>
    </row>
    <row r="25" spans="4:18"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</row>
    <row r="27" spans="4:18">
      <c r="G27" s="24">
        <v>2.1</v>
      </c>
      <c r="H27" s="25">
        <v>-0.5</v>
      </c>
      <c r="I27" s="26">
        <v>-0.6</v>
      </c>
    </row>
    <row r="28" spans="4:18">
      <c r="G28" s="24">
        <v>-0.22</v>
      </c>
      <c r="H28" s="27">
        <v>2.12</v>
      </c>
      <c r="I28" s="26">
        <v>-0.9</v>
      </c>
    </row>
    <row r="29" spans="4:18">
      <c r="G29" s="24">
        <v>-0.1</v>
      </c>
      <c r="H29" s="27">
        <v>-1.1599999999999999</v>
      </c>
      <c r="I29" s="28">
        <v>2.2599999999999998</v>
      </c>
    </row>
    <row r="30" spans="4:18">
      <c r="G30" s="25"/>
      <c r="H30" s="27"/>
      <c r="I30" s="27"/>
      <c r="Q30" s="53" t="s">
        <v>51</v>
      </c>
    </row>
    <row r="31" spans="4:18" ht="17.25">
      <c r="D31" s="5">
        <f t="array" ref="D31:M40">MINVERSE(D15:M24)</f>
        <v>1.3239448898674437</v>
      </c>
      <c r="E31" s="5">
        <v>-1.1483571841658158</v>
      </c>
      <c r="F31" s="5">
        <v>-0.279974989406853</v>
      </c>
      <c r="G31" s="5">
        <v>-3.1026431424966701</v>
      </c>
      <c r="H31" s="5">
        <v>2.7816916881426788</v>
      </c>
      <c r="I31" s="5">
        <v>0.37715999173372783</v>
      </c>
      <c r="J31" s="5">
        <v>8.0297910542480477E-2</v>
      </c>
      <c r="K31" s="5">
        <v>-3.2119164216992763E-2</v>
      </c>
      <c r="L31" s="5">
        <v>8.029791054248081E-2</v>
      </c>
      <c r="M31" s="5">
        <v>-3.2119164216992541E-2</v>
      </c>
      <c r="N31" s="2" t="s">
        <v>0</v>
      </c>
      <c r="P31" s="52">
        <v>0</v>
      </c>
      <c r="Q31" s="54">
        <f t="array" ref="Q31:Q40">MMULT(D31:M40,P31:P40)</f>
        <v>-3.2095145435399153E-2</v>
      </c>
      <c r="R31" s="56" t="s">
        <v>103</v>
      </c>
    </row>
    <row r="32" spans="4:18" ht="17.25">
      <c r="D32" s="5">
        <v>-1.4426402023577931</v>
      </c>
      <c r="E32" s="5">
        <v>0.94522553035887436</v>
      </c>
      <c r="F32" s="5">
        <v>-0.84011909503725379</v>
      </c>
      <c r="G32" s="5">
        <v>2.6188801741635204</v>
      </c>
      <c r="H32" s="5">
        <v>-3.5719504574245473</v>
      </c>
      <c r="I32" s="5">
        <v>1.6732807732035815</v>
      </c>
      <c r="J32" s="5">
        <v>1.0288721284893634</v>
      </c>
      <c r="K32" s="5">
        <v>-0.41154885139574493</v>
      </c>
      <c r="L32" s="5">
        <v>1.0288721284893634</v>
      </c>
      <c r="M32" s="5">
        <v>-0.41154885139574504</v>
      </c>
      <c r="N32" s="2" t="s">
        <v>1</v>
      </c>
      <c r="P32" s="52">
        <v>0</v>
      </c>
      <c r="Q32" s="54">
        <v>-9.5307028326102716E-2</v>
      </c>
      <c r="R32" s="56" t="s">
        <v>104</v>
      </c>
    </row>
    <row r="33" spans="4:18" ht="17.25">
      <c r="D33" s="5">
        <v>-0.75048103742782746</v>
      </c>
      <c r="E33" s="5">
        <v>-0.50191047259467569</v>
      </c>
      <c r="F33" s="5">
        <v>-0.61625557960178956</v>
      </c>
      <c r="G33" s="5">
        <v>0.65708044915298158</v>
      </c>
      <c r="H33" s="5">
        <v>0.15248087894975138</v>
      </c>
      <c r="I33" s="5">
        <v>0.19663325861803968</v>
      </c>
      <c r="J33" s="5">
        <v>1.4374208381725324</v>
      </c>
      <c r="K33" s="5">
        <v>-0.57496833526901292</v>
      </c>
      <c r="L33" s="5">
        <v>1.4374208381725326</v>
      </c>
      <c r="M33" s="5">
        <v>-0.57496833526901292</v>
      </c>
      <c r="N33" s="2" t="s">
        <v>2</v>
      </c>
      <c r="P33" s="52">
        <v>0</v>
      </c>
      <c r="Q33" s="54">
        <v>8.0956132810273307E-2</v>
      </c>
      <c r="R33" s="56" t="s">
        <v>105</v>
      </c>
    </row>
    <row r="34" spans="4:18">
      <c r="D34" s="5">
        <v>3.4030089480108958</v>
      </c>
      <c r="E34" s="5">
        <v>-1.9547286557123829</v>
      </c>
      <c r="F34" s="5">
        <v>0.33049472866277113</v>
      </c>
      <c r="G34" s="5">
        <v>-5.1320392369121883</v>
      </c>
      <c r="H34" s="5">
        <v>5.6545001419772918</v>
      </c>
      <c r="I34" s="5">
        <v>-0.94180130096733339</v>
      </c>
      <c r="J34" s="5">
        <v>-0.59905770843175699</v>
      </c>
      <c r="K34" s="5">
        <v>0.23962308337270191</v>
      </c>
      <c r="L34" s="5">
        <v>-0.59905770843175665</v>
      </c>
      <c r="M34" s="5">
        <v>0.23962308337270224</v>
      </c>
      <c r="N34" s="2" t="s">
        <v>52</v>
      </c>
      <c r="P34" s="52">
        <v>0.1</v>
      </c>
      <c r="Q34" s="54">
        <v>5.2246090506510412E-2</v>
      </c>
      <c r="R34" s="56" t="s">
        <v>52</v>
      </c>
    </row>
    <row r="35" spans="4:18">
      <c r="D35" s="5">
        <v>-3.223116215430645</v>
      </c>
      <c r="E35" s="5">
        <v>3.3365240428709639</v>
      </c>
      <c r="F35" s="5">
        <v>-1.0361986510303982</v>
      </c>
      <c r="G35" s="5">
        <v>6.4104347752426154</v>
      </c>
      <c r="H35" s="5">
        <v>-7.5832790366509624</v>
      </c>
      <c r="I35" s="5">
        <v>2.2081931664183898</v>
      </c>
      <c r="J35" s="5">
        <v>1.4790698643000606</v>
      </c>
      <c r="K35" s="5">
        <v>-0.5916279457200232</v>
      </c>
      <c r="L35" s="5">
        <v>1.4790698643000602</v>
      </c>
      <c r="M35" s="5">
        <v>-0.59162794572002364</v>
      </c>
      <c r="N35" s="2" t="s">
        <v>53</v>
      </c>
      <c r="O35" s="11" t="s">
        <v>24</v>
      </c>
      <c r="P35" s="52">
        <v>0.1</v>
      </c>
      <c r="Q35" s="54">
        <v>-0.11728442614083467</v>
      </c>
      <c r="R35" s="56" t="s">
        <v>53</v>
      </c>
    </row>
    <row r="36" spans="4:18">
      <c r="D36" s="5">
        <v>-0.70390304318492403</v>
      </c>
      <c r="E36" s="5">
        <v>-1.4876556522052176</v>
      </c>
      <c r="F36" s="5">
        <v>-0.26157264957868348</v>
      </c>
      <c r="G36" s="5">
        <v>-0.35543515378990825</v>
      </c>
      <c r="H36" s="5">
        <v>1.6683610437598873</v>
      </c>
      <c r="I36" s="5">
        <v>0.54645252655169618</v>
      </c>
      <c r="J36" s="5">
        <v>2.6562548807452497</v>
      </c>
      <c r="K36" s="5">
        <v>-1.0625019522980998</v>
      </c>
      <c r="L36" s="5">
        <v>2.6562548807452502</v>
      </c>
      <c r="M36" s="5">
        <v>-1.0625019522980998</v>
      </c>
      <c r="N36" s="1" t="s">
        <v>5</v>
      </c>
      <c r="P36" s="52">
        <v>0</v>
      </c>
      <c r="Q36" s="54">
        <v>0.13129258899699789</v>
      </c>
      <c r="R36" s="57" t="s">
        <v>5</v>
      </c>
    </row>
    <row r="37" spans="4:18" ht="17.25">
      <c r="D37" s="5">
        <v>2.28701685144304</v>
      </c>
      <c r="E37" s="5">
        <v>-2.6178663027435922</v>
      </c>
      <c r="F37" s="5">
        <v>-0.53595546307275643</v>
      </c>
      <c r="G37" s="5">
        <v>-4.1133321621015355</v>
      </c>
      <c r="H37" s="5">
        <v>5.7564129352698208</v>
      </c>
      <c r="I37" s="5">
        <v>0.74673725764811272</v>
      </c>
      <c r="J37" s="5">
        <v>-0.87168852740514646</v>
      </c>
      <c r="K37" s="5">
        <v>-0.65132458903794177</v>
      </c>
      <c r="L37" s="5">
        <v>-0.87168852740514646</v>
      </c>
      <c r="M37" s="5">
        <v>-0.65132458903794155</v>
      </c>
      <c r="N37" s="2" t="s">
        <v>6</v>
      </c>
      <c r="P37" s="52">
        <v>0</v>
      </c>
      <c r="Q37" s="54">
        <v>0.16430807731682856</v>
      </c>
      <c r="R37" s="56" t="s">
        <v>106</v>
      </c>
    </row>
    <row r="38" spans="4:18" ht="17.25">
      <c r="D38" s="5">
        <v>-0.60987116038481071</v>
      </c>
      <c r="E38" s="5">
        <v>0.69809768073162459</v>
      </c>
      <c r="F38" s="5">
        <v>0.14292145681940172</v>
      </c>
      <c r="G38" s="5">
        <v>1.0968885765604095</v>
      </c>
      <c r="H38" s="5">
        <v>-1.5350434494052856</v>
      </c>
      <c r="I38" s="5">
        <v>-0.19912993537283005</v>
      </c>
      <c r="J38" s="5">
        <v>-0.43421639269196088</v>
      </c>
      <c r="K38" s="5">
        <v>0.84035322374345101</v>
      </c>
      <c r="L38" s="5">
        <v>-0.43421639269196088</v>
      </c>
      <c r="M38" s="5">
        <v>0.84035322374345101</v>
      </c>
      <c r="N38" s="2" t="s">
        <v>7</v>
      </c>
      <c r="P38" s="52">
        <v>0</v>
      </c>
      <c r="Q38" s="54">
        <v>-4.38154872844876E-2</v>
      </c>
      <c r="R38" s="56" t="s">
        <v>107</v>
      </c>
    </row>
    <row r="39" spans="4:18">
      <c r="D39" s="5">
        <v>-0.22870168514430403</v>
      </c>
      <c r="E39" s="5">
        <v>0.26178663027435922</v>
      </c>
      <c r="F39" s="5">
        <v>5.359554630727565E-2</v>
      </c>
      <c r="G39" s="5">
        <v>0.41133321621015362</v>
      </c>
      <c r="H39" s="5">
        <v>-0.57564129352698212</v>
      </c>
      <c r="I39" s="5">
        <v>-7.467372576481128E-2</v>
      </c>
      <c r="J39" s="5">
        <v>8.7168852740514655E-2</v>
      </c>
      <c r="K39" s="5">
        <v>6.5132458903794169E-2</v>
      </c>
      <c r="L39" s="5">
        <v>1.0871688527405146</v>
      </c>
      <c r="M39" s="5">
        <v>6.5132458903794169E-2</v>
      </c>
      <c r="N39" s="2" t="s">
        <v>8</v>
      </c>
      <c r="P39" s="52">
        <v>0</v>
      </c>
      <c r="Q39" s="54">
        <v>-1.6430807731682852E-2</v>
      </c>
      <c r="R39" s="56" t="s">
        <v>8</v>
      </c>
    </row>
    <row r="40" spans="4:18">
      <c r="D40" s="5">
        <v>1.2197423207696214</v>
      </c>
      <c r="E40" s="5">
        <v>-1.3961953614632492</v>
      </c>
      <c r="F40" s="5">
        <v>-0.28584291363880343</v>
      </c>
      <c r="G40" s="5">
        <v>-2.193777153120819</v>
      </c>
      <c r="H40" s="5">
        <v>3.0700868988105712</v>
      </c>
      <c r="I40" s="5">
        <v>0.39825987074566011</v>
      </c>
      <c r="J40" s="5">
        <v>0.86843278538392177</v>
      </c>
      <c r="K40" s="5">
        <v>-1.680706447486902</v>
      </c>
      <c r="L40" s="5">
        <v>0.86843278538392177</v>
      </c>
      <c r="M40" s="5">
        <v>-0.68070644748690212</v>
      </c>
      <c r="N40" s="2" t="s">
        <v>9</v>
      </c>
      <c r="P40" s="52">
        <v>0</v>
      </c>
      <c r="Q40" s="54">
        <v>8.7630974568975201E-2</v>
      </c>
      <c r="R40" s="56" t="s">
        <v>9</v>
      </c>
    </row>
    <row r="41" spans="4:18">
      <c r="O41" t="s">
        <v>54</v>
      </c>
    </row>
    <row r="42" spans="4:18">
      <c r="O42" t="s">
        <v>54</v>
      </c>
    </row>
  </sheetData>
  <mergeCells count="2">
    <mergeCell ref="C3:M3"/>
    <mergeCell ref="C4:C13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G35"/>
  <sheetViews>
    <sheetView topLeftCell="A7" workbookViewId="0">
      <selection activeCell="F37" sqref="F37"/>
    </sheetView>
  </sheetViews>
  <sheetFormatPr defaultRowHeight="15"/>
  <cols>
    <col min="6" max="6" width="19.5703125" bestFit="1" customWidth="1"/>
    <col min="7" max="7" width="7.85546875" bestFit="1" customWidth="1"/>
  </cols>
  <sheetData>
    <row r="10" spans="6:7" ht="15.75" thickBot="1"/>
    <row r="11" spans="6:7" ht="15.75" thickBot="1">
      <c r="F11" s="114"/>
      <c r="G11" s="115" t="s">
        <v>181</v>
      </c>
    </row>
    <row r="12" spans="6:7" ht="15.75" thickBot="1">
      <c r="F12" s="116" t="s">
        <v>184</v>
      </c>
      <c r="G12" s="117">
        <v>-0.16</v>
      </c>
    </row>
    <row r="13" spans="6:7" ht="15.75" thickBot="1">
      <c r="F13" s="116" t="s">
        <v>185</v>
      </c>
      <c r="G13" s="117">
        <v>-0.31</v>
      </c>
    </row>
    <row r="14" spans="6:7" ht="15.75" thickBot="1">
      <c r="F14" s="116" t="s">
        <v>186</v>
      </c>
      <c r="G14" s="117">
        <v>9.14</v>
      </c>
    </row>
    <row r="25" spans="2:3">
      <c r="B25" s="125"/>
      <c r="C25" s="125"/>
    </row>
    <row r="26" spans="2:3">
      <c r="B26" s="126"/>
      <c r="C26" s="127"/>
    </row>
    <row r="27" spans="2:3">
      <c r="B27" s="128"/>
      <c r="C27" s="129"/>
    </row>
    <row r="28" spans="2:3">
      <c r="B28" s="128"/>
      <c r="C28" s="129"/>
    </row>
    <row r="29" spans="2:3">
      <c r="B29" s="128"/>
      <c r="C29" s="129"/>
    </row>
    <row r="30" spans="2:3">
      <c r="B30" s="128"/>
      <c r="C30" s="129"/>
    </row>
    <row r="31" spans="2:3">
      <c r="B31" s="128"/>
      <c r="C31" s="129"/>
    </row>
    <row r="32" spans="2:3" ht="15.75" thickBot="1">
      <c r="B32" s="125"/>
      <c r="C32" s="125"/>
    </row>
    <row r="33" spans="6:7" ht="15.75" thickBot="1">
      <c r="F33" s="119"/>
      <c r="G33" s="115" t="s">
        <v>181</v>
      </c>
    </row>
    <row r="34" spans="6:7" ht="15.75" thickBot="1">
      <c r="F34" s="120" t="s">
        <v>182</v>
      </c>
      <c r="G34" s="121">
        <v>5.1100000000000003</v>
      </c>
    </row>
    <row r="35" spans="6:7" ht="15.75" thickBot="1">
      <c r="F35" s="120" t="s">
        <v>183</v>
      </c>
      <c r="G35" s="121">
        <v>1.24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Effects 1</vt:lpstr>
      <vt:lpstr>MarketEffects 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Kepifri Lakoh</dc:creator>
  <cp:lastModifiedBy>Kepifri Lakoh</cp:lastModifiedBy>
  <dcterms:created xsi:type="dcterms:W3CDTF">2013-03-04T17:45:05Z</dcterms:created>
  <dcterms:modified xsi:type="dcterms:W3CDTF">2013-04-16T16:33:28Z</dcterms:modified>
</cp:coreProperties>
</file>