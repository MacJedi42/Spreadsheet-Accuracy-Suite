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5.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heetId="1" name="Data" state="visible" r:id="rId3"/>
    <sheet sheetId="2" name="About" state="visible" r:id="rId4"/>
    <sheet sheetId="3" name="Footnotes" state="visible" r:id="rId5"/>
    <sheet sheetId="4" name="Settings" state="visible" r:id="rId6"/>
    <sheet sheetId="5" name="Download" state="visible" r:id="rId7"/>
    <sheet sheetId="6" name="v" state="visible" r:id="rId8"/>
  </sheets>
  <definedNames/>
  <calcPr/>
</workbook>
</file>

<file path=xl/sharedStrings.xml><?xml version="1.0" encoding="utf-8"?>
<sst xmlns="http://schemas.openxmlformats.org/spreadsheetml/2006/main" count="232" uniqueCount="231">
  <si>
    <t>Afghanistan</t>
  </si>
  <si>
    <t>Albania</t>
  </si>
  <si>
    <t>Algeria</t>
  </si>
  <si>
    <t>Andorra</t>
  </si>
  <si>
    <t>Angola</t>
  </si>
  <si>
    <t>Antigua and Barbuda</t>
  </si>
  <si>
    <t>Argentina</t>
  </si>
  <si>
    <t>Armenia</t>
  </si>
  <si>
    <t>Australia</t>
  </si>
  <si>
    <t>Austria</t>
  </si>
  <si>
    <t>Azerbaijan</t>
  </si>
  <si>
    <t>Bahamas</t>
  </si>
  <si>
    <t>Bahrain</t>
  </si>
  <si>
    <t>Bangladesh</t>
  </si>
  <si>
    <t>Barbados</t>
  </si>
  <si>
    <t>Belarus</t>
  </si>
  <si>
    <t>Belgium</t>
  </si>
  <si>
    <t>Belize</t>
  </si>
  <si>
    <t>Benin</t>
  </si>
  <si>
    <t>Bhutan</t>
  </si>
  <si>
    <t>Bolivia</t>
  </si>
  <si>
    <t>Bosnia and Herzegovina</t>
  </si>
  <si>
    <t>Botswana</t>
  </si>
  <si>
    <t>Brazil</t>
  </si>
  <si>
    <t>Brunei</t>
  </si>
  <si>
    <t>Bulgaria</t>
  </si>
  <si>
    <t>Burkina Faso</t>
  </si>
  <si>
    <t>Burundi</t>
  </si>
  <si>
    <t>Cambodia</t>
  </si>
  <si>
    <t>Cameroon</t>
  </si>
  <si>
    <t>Canada</t>
  </si>
  <si>
    <t>Cape Verde</t>
  </si>
  <si>
    <t>Central African Republic</t>
  </si>
  <si>
    <t>Chad</t>
  </si>
  <si>
    <t>Chile</t>
  </si>
  <si>
    <t>China</t>
  </si>
  <si>
    <t>Colombia</t>
  </si>
  <si>
    <t>Comoros</t>
  </si>
  <si>
    <t>Congo [DRC]</t>
  </si>
  <si>
    <t>Congo [Republic]</t>
  </si>
  <si>
    <t>Cook Islands</t>
  </si>
  <si>
    <t>Costa Rica</t>
  </si>
  <si>
    <t>Côte d'Ivoire</t>
  </si>
  <si>
    <t>Croatia</t>
  </si>
  <si>
    <t>Cuba</t>
  </si>
  <si>
    <t>Cyprus</t>
  </si>
  <si>
    <t>Czech Republic</t>
  </si>
  <si>
    <t>Denmark</t>
  </si>
  <si>
    <t>Djibouti</t>
  </si>
  <si>
    <t>Dominica</t>
  </si>
  <si>
    <t>Dominican Republic</t>
  </si>
  <si>
    <t>Ecuador</t>
  </si>
  <si>
    <t>Egypt</t>
  </si>
  <si>
    <t>El Salvador</t>
  </si>
  <si>
    <t>Equatorial Guinea</t>
  </si>
  <si>
    <t>Eritrea</t>
  </si>
  <si>
    <t>Estonia</t>
  </si>
  <si>
    <t>Ethiopia</t>
  </si>
  <si>
    <t>Fiji</t>
  </si>
  <si>
    <t>Finland</t>
  </si>
  <si>
    <t>France</t>
  </si>
  <si>
    <t>Gabon</t>
  </si>
  <si>
    <t>Gambia</t>
  </si>
  <si>
    <t>Georgia</t>
  </si>
  <si>
    <t>Germany</t>
  </si>
  <si>
    <t>Ghana</t>
  </si>
  <si>
    <t>Greece</t>
  </si>
  <si>
    <t>Grenada</t>
  </si>
  <si>
    <t>Guatemala</t>
  </si>
  <si>
    <t>Guinea</t>
  </si>
  <si>
    <t>Guinea-Bissau</t>
  </si>
  <si>
    <t>Guyana</t>
  </si>
  <si>
    <t>Haiti</t>
  </si>
  <si>
    <t>Honduras</t>
  </si>
  <si>
    <t>Hungary</t>
  </si>
  <si>
    <t>Iceland</t>
  </si>
  <si>
    <t>India</t>
  </si>
  <si>
    <t>Indonesia</t>
  </si>
  <si>
    <t>Iran</t>
  </si>
  <si>
    <t>Iraq</t>
  </si>
  <si>
    <t>Ireland</t>
  </si>
  <si>
    <t>Israel</t>
  </si>
  <si>
    <t>Italy</t>
  </si>
  <si>
    <t>Jamaica</t>
  </si>
  <si>
    <t>Japan</t>
  </si>
  <si>
    <t>Jordan</t>
  </si>
  <si>
    <t>Kazakhstan</t>
  </si>
  <si>
    <t>Kenya</t>
  </si>
  <si>
    <t>Kiribati</t>
  </si>
  <si>
    <t>Kuwait</t>
  </si>
  <si>
    <t>Kyrgyzstan</t>
  </si>
  <si>
    <t>Laos</t>
  </si>
  <si>
    <t>Latvia</t>
  </si>
  <si>
    <t>Lebanon</t>
  </si>
  <si>
    <t>Lesotho</t>
  </si>
  <si>
    <t>Liberia</t>
  </si>
  <si>
    <t>Libya</t>
  </si>
  <si>
    <t>Lithuania</t>
  </si>
  <si>
    <t>Luxembourg</t>
  </si>
  <si>
    <t>Macedonia [FYROM]</t>
  </si>
  <si>
    <t>Madagascar</t>
  </si>
  <si>
    <t>Malawi</t>
  </si>
  <si>
    <t>Malaysia</t>
  </si>
  <si>
    <t>Mali</t>
  </si>
  <si>
    <t>Malta</t>
  </si>
  <si>
    <t>Mauritania</t>
  </si>
  <si>
    <t>Mauritius</t>
  </si>
  <si>
    <t>Mexico</t>
  </si>
  <si>
    <t>Micronesia</t>
  </si>
  <si>
    <t>Moldova</t>
  </si>
  <si>
    <t>Mongolia</t>
  </si>
  <si>
    <t>Morocco</t>
  </si>
  <si>
    <t>Mozambique</t>
  </si>
  <si>
    <t>Myanmar [Burma]</t>
  </si>
  <si>
    <t>Namibia</t>
  </si>
  <si>
    <t>Nauru</t>
  </si>
  <si>
    <t>Nepal</t>
  </si>
  <si>
    <t>Netherlands</t>
  </si>
  <si>
    <t>New Zealand</t>
  </si>
  <si>
    <t>Nicaragua</t>
  </si>
  <si>
    <t>Niger</t>
  </si>
  <si>
    <t>Nigeria</t>
  </si>
  <si>
    <t>Niue</t>
  </si>
  <si>
    <t>North Korea</t>
  </si>
  <si>
    <t>Norway</t>
  </si>
  <si>
    <t>Oman</t>
  </si>
  <si>
    <t>Pakistan</t>
  </si>
  <si>
    <t>Palau</t>
  </si>
  <si>
    <t>Panama</t>
  </si>
  <si>
    <t>Papua New Guinea</t>
  </si>
  <si>
    <t>Paraguay</t>
  </si>
  <si>
    <t>Peru</t>
  </si>
  <si>
    <t>Philippines</t>
  </si>
  <si>
    <t>Poland</t>
  </si>
  <si>
    <t>Portugal</t>
  </si>
  <si>
    <t>Puerto Rico</t>
  </si>
  <si>
    <t>Qatar</t>
  </si>
  <si>
    <t>Romania</t>
  </si>
  <si>
    <t>Russia</t>
  </si>
  <si>
    <t>Rwanda</t>
  </si>
  <si>
    <t>Saint Kitts and Nevis</t>
  </si>
  <si>
    <t>Saint Lucia</t>
  </si>
  <si>
    <t>Saint Vincent and the Grenadines</t>
  </si>
  <si>
    <t>Samoa</t>
  </si>
  <si>
    <t>São Tomé and Príncipe</t>
  </si>
  <si>
    <t>Saudi Arabia</t>
  </si>
  <si>
    <t>Senegal</t>
  </si>
  <si>
    <t>Serbia</t>
  </si>
  <si>
    <t>Seychelles</t>
  </si>
  <si>
    <t>Sierra Leone</t>
  </si>
  <si>
    <t>Singapore</t>
  </si>
  <si>
    <t>Slovakia</t>
  </si>
  <si>
    <t>Slovenia</t>
  </si>
  <si>
    <t>Solomon Islands</t>
  </si>
  <si>
    <t>Somalia</t>
  </si>
  <si>
    <t>South Africa</t>
  </si>
  <si>
    <t>South Korea</t>
  </si>
  <si>
    <t>Spain</t>
  </si>
  <si>
    <t>Sri Lanka</t>
  </si>
  <si>
    <t>Sudan</t>
  </si>
  <si>
    <t>Suriname</t>
  </si>
  <si>
    <t>Swaziland</t>
  </si>
  <si>
    <t>Sweden</t>
  </si>
  <si>
    <t>Switzerland</t>
  </si>
  <si>
    <t>Syria</t>
  </si>
  <si>
    <t>Tajikistan</t>
  </si>
  <si>
    <t>Tanzania</t>
  </si>
  <si>
    <t>Thailand</t>
  </si>
  <si>
    <t>Timor-Leste</t>
  </si>
  <si>
    <t>Togo</t>
  </si>
  <si>
    <t>Tonga</t>
  </si>
  <si>
    <t>Trinidad and Tobago</t>
  </si>
  <si>
    <t>Tunisia</t>
  </si>
  <si>
    <t>Turkey</t>
  </si>
  <si>
    <t>Turkmenistan</t>
  </si>
  <si>
    <t>Tuvalu</t>
  </si>
  <si>
    <t>Uganda</t>
  </si>
  <si>
    <t>Ukraine</t>
  </si>
  <si>
    <t>United Arab Emirates</t>
  </si>
  <si>
    <t>United Kingdom</t>
  </si>
  <si>
    <t>United States</t>
  </si>
  <si>
    <t>Uruguay</t>
  </si>
  <si>
    <t>Uzbekistan</t>
  </si>
  <si>
    <t>Vanuatu</t>
  </si>
  <si>
    <t>Venezuela</t>
  </si>
  <si>
    <t>Vietnam</t>
  </si>
  <si>
    <t>Yemen</t>
  </si>
  <si>
    <t>Zambia</t>
  </si>
  <si>
    <t>Zimbabwe</t>
  </si>
  <si>
    <t>Definition and explanations</t>
  </si>
  <si>
    <t>Indicator name</t>
  </si>
  <si>
    <t>Alcohol consumption per adult (15+), litres</t>
  </si>
  <si>
    <t>Definition of indicator</t>
  </si>
  <si>
    <t>Recorded and estimated average alcohol consumption, adult (15+) per capita consumption in litres pure alcohol</t>
  </si>
  <si>
    <t>Unit of measurement</t>
  </si>
  <si>
    <t>Data source</t>
  </si>
  <si>
    <t>Source organization(s)</t>
  </si>
  <si>
    <t>WHO</t>
  </si>
  <si>
    <t>Link to source organization</t>
  </si>
  <si>
    <t>www.who.int</t>
  </si>
  <si>
    <t>Complete reference</t>
  </si>
  <si>
    <t>WHO:s "GISAH"-database for the years 2005 and 2008; WHO:s "Global Status Report On Alcohol 1999", Table 4, for the earlier years - except Russia and Sweden. For Sweden, all data is from Swedish Public Health Institute (http://app.fhi.se/PXwebFHI/database/folkhalsodata/databasetree.asp) from For Russia, data from 1985-1994 is from Nemtsov AV (2000) Estimates of total alcohol consumption in Russia, 1980-1994. Drug and Alcohol Dependence 58(1-2): 133–142</t>
  </si>
  <si>
    <t>CAVEAT</t>
  </si>
  <si>
    <t>Estimating total average alcohol consumtion is very complicated. Much of the alcohol consumed is unregistered (home brewed, illegal etc). In general, in countries with high GDP per Capita, the registered alcohol sales make up a larger part of total consumption than in countries with low GDP per Capita. It is thus especially difficult to estimate total consumption for low-income countries. The data here is based on estimations made by a team of experts at WHO. Since the data come from two different studies from different years, we advice caution when looking at change over time. Note also that the average consumption does not inform about how many in the population have alcohol problems - a country with a low average can have a large part of the population who abstain from alcohol completely, while there are other groups with high-risk consumption; and a country with high average can have a large part of the population who drink regularly but not at risk levels.</t>
  </si>
  <si>
    <t>Link to references</t>
  </si>
  <si>
    <t>Link to GISAH (data for 2005 and 2008): http://apps.who.int/ghodata/?theme=GISAH</t>
  </si>
  <si>
    <t>Link to WHO:s alcohol publications, including the Global Status Report On Alcohol 1999 (data for earlier years, except Russia and Sweden): http://www.who.int/substance_abuse/publications/alcohol/en/index.html</t>
  </si>
  <si>
    <t>Specific information about this indicator</t>
  </si>
  <si>
    <t>Uploader</t>
  </si>
  <si>
    <t>Klara Johansson</t>
  </si>
  <si>
    <t>[Add other fields as required]</t>
  </si>
  <si>
    <t>Country</t>
  </si>
  <si>
    <t>Year(s)</t>
  </si>
  <si>
    <t>Footnote</t>
  </si>
  <si>
    <t>Footnotes not available yet</t>
  </si>
  <si>
    <t>Indicator-settings in the graph</t>
  </si>
  <si>
    <t>Source name</t>
  </si>
  <si>
    <t>WHO with additions</t>
  </si>
  <si>
    <t>Required! Text that will be shown next to the axis in the graph (preferably the same as in  the "Source organization(s)" field in the About-Sheet).</t>
  </si>
  <si>
    <t>Source link</t>
  </si>
  <si>
    <t>Link for target, when clicking source name in the graph. Preferably the same as in  the "Link to source organization" field in the About-Sheet, but can also be left blank to target the link back to the indicators about-page.</t>
  </si>
  <si>
    <t>Scale type </t>
  </si>
  <si>
    <t>lin</t>
  </si>
  <si>
    <t>Required! Type "lin" for linear scale or "log" for logarithmic scale. Users will be able to change it in the graph.</t>
  </si>
  <si>
    <t>Download</t>
  </si>
  <si>
    <t>Dowload this indicator including the data</t>
  </si>
  <si>
    <t>As XLS (Excel-file)</t>
  </si>
  <si>
    <t>As CSV (comma separeted file)</t>
  </si>
  <si>
    <t>As PDF</t>
  </si>
  <si>
    <t>VERSION</t>
  </si>
  <si>
    <t>INDICATOR_V2_EN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</si>
</sst>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
  </numFmts>
  <fonts count="34">
    <font>
      <b val="0"/>
      <i val="0"/>
      <strike val="0"/>
      <u val="none"/>
      <sz val="10.0"/>
      <color rgb="FF000000"/>
      <name val="Arial"/>
    </font>
    <font>
      <b val="0"/>
      <i val="0"/>
      <strike val="0"/>
      <u val="none"/>
      <sz val="10.0"/>
      <color rgb="FF000000"/>
      <name val="Arial"/>
    </font>
    <font>
      <b val="0"/>
      <i val="0"/>
      <strike val="0"/>
      <u val="none"/>
      <sz val="10.0"/>
      <color rgb="FF010000"/>
      <name val="Arial"/>
    </font>
    <font>
      <b val="0"/>
      <i val="0"/>
      <strike val="0"/>
      <u/>
      <sz val="10.0"/>
      <color rgb="FF808080"/>
      <name val="Arial"/>
    </font>
    <font>
      <b/>
      <i val="0"/>
      <strike val="0"/>
      <u val="none"/>
      <sz val="24.0"/>
      <color rgb="FF010000"/>
      <name val="Arial"/>
    </font>
    <font>
      <b/>
      <i val="0"/>
      <strike val="0"/>
      <u val="none"/>
      <sz val="10.0"/>
      <color rgb="FF010000"/>
      <name val="Arial"/>
    </font>
    <font>
      <b val="0"/>
      <i val="0"/>
      <strike val="0"/>
      <u val="none"/>
      <sz val="10.0"/>
      <color rgb="FF010000"/>
      <name val="Arial"/>
    </font>
    <font>
      <b val="0"/>
      <i/>
      <strike val="0"/>
      <u val="none"/>
      <sz val="10.0"/>
      <color rgb="FF010000"/>
      <name val="Arial"/>
    </font>
    <font>
      <b val="0"/>
      <i val="0"/>
      <strike val="0"/>
      <u val="none"/>
      <sz val="10.0"/>
      <color rgb="FF010000"/>
      <name val="Arial"/>
    </font>
    <font>
      <b val="0"/>
      <i val="0"/>
      <strike val="0"/>
      <u val="none"/>
      <sz val="10.0"/>
      <color rgb="FF010000"/>
      <name val="Arial"/>
    </font>
    <font>
      <b val="0"/>
      <i val="0"/>
      <strike val="0"/>
      <u val="none"/>
      <sz val="10.0"/>
      <color rgb="FF000000"/>
      <name val="Arial"/>
    </font>
    <font>
      <b val="0"/>
      <i val="0"/>
      <strike val="0"/>
      <u val="none"/>
      <sz val="10.0"/>
      <color rgb="FF010000"/>
      <name val="Arial"/>
    </font>
    <font>
      <b/>
      <i val="0"/>
      <strike val="0"/>
      <u val="none"/>
      <sz val="24.0"/>
      <color rgb="FF010000"/>
      <name val="Arial"/>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0.0"/>
      <color rgb="FF010000"/>
      <name val="Arial"/>
    </font>
    <font>
      <b val="0"/>
      <i val="0"/>
      <strike val="0"/>
      <u val="none"/>
      <sz val="10.0"/>
      <color rgb="FF000000"/>
      <name val="Arial"/>
    </font>
    <font>
      <b val="0"/>
      <i val="0"/>
      <strike val="0"/>
      <u val="none"/>
      <sz val="10.0"/>
      <color rgb="FF010000"/>
      <name val="Arial"/>
    </font>
    <font>
      <b/>
      <i val="0"/>
      <strike val="0"/>
      <u val="none"/>
      <sz val="10.0"/>
      <color rgb="FF010000"/>
      <name val="Arial"/>
    </font>
    <font>
      <b/>
      <i/>
      <strike val="0"/>
      <u val="none"/>
      <sz val="10.0"/>
      <color rgb="FF6666CC"/>
      <name val="Arial"/>
    </font>
    <font>
      <b/>
      <i val="0"/>
      <strike val="0"/>
      <u val="none"/>
      <sz val="10.0"/>
      <color rgb="FF000000"/>
      <name val="Arial"/>
    </font>
    <font>
      <b val="0"/>
      <i val="0"/>
      <strike val="0"/>
      <u val="none"/>
      <sz val="10.0"/>
      <color rgb="FF010000"/>
      <name val="Arial"/>
    </font>
    <font>
      <b/>
      <i val="0"/>
      <strike val="0"/>
      <u val="none"/>
      <sz val="10.0"/>
      <color rgb="FF010000"/>
      <name val="Arial"/>
    </font>
    <font>
      <b/>
      <i/>
      <strike val="0"/>
      <u/>
      <sz val="10.0"/>
      <color rgb="FF6666CC"/>
      <name val="Arial"/>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0.0"/>
      <color rgb="FF010000"/>
      <name val="Arial"/>
    </font>
    <font>
      <b/>
      <i val="0"/>
      <strike val="0"/>
      <u val="none"/>
      <sz val="24.0"/>
      <color rgb="FF010000"/>
      <name val="Arial"/>
    </font>
    <font>
      <b val="0"/>
      <i val="0"/>
      <strike val="0"/>
      <u val="none"/>
      <sz val="10.0"/>
      <color rgb="FF000000"/>
      <name val="Arial"/>
    </font>
  </fonts>
  <fills count="18">
    <fill>
      <patternFill patternType="none"/>
    </fill>
    <fill>
      <patternFill patternType="gray125">
        <bgColor rgb="FFFFFFFF"/>
      </patternFill>
    </fill>
    <fill>
      <patternFill patternType="solid">
        <fgColor rgb="FFFFFF99"/>
        <bgColor indexed="64"/>
      </patternFill>
    </fill>
    <fill>
      <patternFill patternType="solid">
        <fgColor rgb="FFFFFF99"/>
        <bgColor indexed="64"/>
      </patternFill>
    </fill>
    <fill>
      <patternFill patternType="solid">
        <fgColor rgb="FFFFFF99"/>
        <bgColor indexed="64"/>
      </patternFill>
    </fill>
    <fill>
      <patternFill patternType="solid">
        <fgColor rgb="FFFFFF99"/>
        <bgColor indexed="64"/>
      </patternFill>
    </fill>
    <fill>
      <patternFill patternType="solid">
        <fgColor rgb="FFFFFF99"/>
        <bgColor indexed="64"/>
      </patternFill>
    </fill>
    <fill>
      <patternFill patternType="solid">
        <fgColor rgb="FFFFFF99"/>
        <bgColor indexed="64"/>
      </patternFill>
    </fill>
    <fill>
      <patternFill patternType="solid">
        <fgColor rgb="FFFFFF99"/>
        <bgColor indexed="64"/>
      </patternFill>
    </fill>
    <fill>
      <patternFill patternType="solid">
        <fgColor rgb="FFFFFF99"/>
        <bgColor indexed="64"/>
      </patternFill>
    </fill>
    <fill>
      <patternFill patternType="solid">
        <fgColor rgb="FFFFFF99"/>
        <bgColor indexed="64"/>
      </patternFill>
    </fill>
    <fill>
      <patternFill patternType="solid">
        <fgColor rgb="FFFFFF99"/>
        <bgColor indexed="64"/>
      </patternFill>
    </fill>
    <fill>
      <patternFill patternType="solid">
        <fgColor rgb="FFFFFF99"/>
        <bgColor indexed="64"/>
      </patternFill>
    </fill>
    <fill>
      <patternFill patternType="solid">
        <fgColor rgb="FFFFFF99"/>
        <bgColor indexed="64"/>
      </patternFill>
    </fill>
    <fill>
      <patternFill patternType="solid">
        <fgColor rgb="FFFFFF99"/>
        <bgColor indexed="64"/>
      </patternFill>
    </fill>
    <fill>
      <patternFill patternType="solid">
        <fgColor rgb="FFFFFF99"/>
        <bgColor indexed="64"/>
      </patternFill>
    </fill>
    <fill>
      <patternFill patternType="solid">
        <fgColor rgb="FFFFFF99"/>
        <bgColor indexed="64"/>
      </patternFill>
    </fill>
    <fill>
      <patternFill patternType="solid">
        <fgColor rgb="FFFFFF99"/>
        <bgColor indexed="64"/>
      </patternFill>
    </fill>
  </fills>
  <borders count="3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s>
  <cellStyleXfs count="1">
    <xf fillId="0" numFmtId="0" borderId="0" fontId="0"/>
  </cellStyleXfs>
  <cellXfs count="36">
    <xf applyAlignment="1" fillId="0" xfId="0" numFmtId="0" borderId="0" fontId="0">
      <alignment vertical="bottom" horizontal="general" wrapText="1"/>
    </xf>
    <xf applyBorder="1" applyAlignment="1" fillId="2" xfId="0" numFmtId="0" borderId="1" applyFont="1" fontId="1" applyFill="1">
      <alignment vertical="center" horizontal="left"/>
    </xf>
    <xf applyBorder="1" applyAlignment="1" fillId="0" xfId="0" numFmtId="0" borderId="2" applyFont="1" fontId="2">
      <alignment vertical="top" horizontal="left" wrapText="1"/>
    </xf>
    <xf applyBorder="1" applyAlignment="1" fillId="0" xfId="0" numFmtId="0" borderId="3" applyFont="1" fontId="3">
      <alignment vertical="top" horizontal="left" wrapText="1"/>
    </xf>
    <xf applyBorder="1" applyAlignment="1" fillId="3" xfId="0" numFmtId="0" borderId="4" applyFont="1" fontId="4" applyFill="1">
      <alignment vertical="top" horizontal="left" wrapText="1"/>
    </xf>
    <xf applyBorder="1" applyAlignment="1" fillId="4" xfId="0" numFmtId="0" borderId="5" applyFont="1" fontId="5" applyFill="1">
      <alignment vertical="top" horizontal="left" wrapText="1"/>
    </xf>
    <xf applyBorder="1" applyAlignment="1" fillId="0" xfId="0" numFmtId="0" borderId="6" applyFont="1" fontId="6">
      <alignment vertical="bottom" horizontal="left"/>
    </xf>
    <xf applyBorder="1" applyAlignment="1" fillId="5" xfId="0" numFmtId="0" borderId="7" applyFont="1" fontId="7" applyFill="1">
      <alignment vertical="top" horizontal="left" wrapText="1"/>
    </xf>
    <xf applyBorder="1" applyAlignment="1" fillId="6" xfId="0" numFmtId="0" borderId="8" applyFont="1" fontId="8" applyFill="1">
      <alignment vertical="top" horizontal="left" wrapText="1"/>
    </xf>
    <xf applyBorder="1" applyAlignment="1" fillId="7" xfId="0" numFmtId="0" borderId="9" applyFont="1" fontId="9" applyFill="1">
      <alignment vertical="bottom" horizontal="left" wrapText="1"/>
    </xf>
    <xf applyBorder="1" applyAlignment="1" fillId="0" xfId="0" numFmtId="0" borderId="10" applyFont="1" fontId="10">
      <alignment vertical="bottom" horizontal="general" wrapText="1"/>
    </xf>
    <xf applyAlignment="1" fillId="0" xfId="0" numFmtId="0" borderId="0" applyFont="1" fontId="11">
      <alignment vertical="bottom" horizontal="left" wrapText="1"/>
    </xf>
    <xf applyBorder="1" applyAlignment="1" fillId="8" xfId="0" numFmtId="0" borderId="11" applyFont="1" fontId="12" applyFill="1">
      <alignment vertical="top" horizontal="left" wrapText="1"/>
    </xf>
    <xf applyBorder="1" applyAlignment="1" fillId="0" xfId="0" numFmtId="0" borderId="12" applyFont="1" fontId="13">
      <alignment vertical="top" horizontal="general" wrapText="1"/>
    </xf>
    <xf applyBorder="1" applyAlignment="1" fillId="0" xfId="0" numFmtId="0" borderId="13" applyFont="1" fontId="14">
      <alignment vertical="bottom" horizontal="right"/>
    </xf>
    <xf applyBorder="1" applyAlignment="1" fillId="0" xfId="0" numFmtId="0" borderId="14" applyFont="1" fontId="15">
      <alignment vertical="bottom" horizontal="general" wrapText="1"/>
    </xf>
    <xf applyBorder="1" applyAlignment="1" fillId="9" xfId="0" numFmtId="0" borderId="15" applyFont="1" fontId="16" applyFill="1">
      <alignment vertical="top" horizontal="left"/>
    </xf>
    <xf applyBorder="1" applyAlignment="1" fillId="0" xfId="0" numFmtId="0" borderId="16" fontId="0">
      <alignment vertical="bottom" horizontal="general" wrapText="1"/>
    </xf>
    <xf applyBorder="1" applyAlignment="1" fillId="10" xfId="0" numFmtId="0" borderId="17" applyFont="1" fontId="17" applyFill="1">
      <alignment vertical="bottom" horizontal="left"/>
    </xf>
    <xf applyBorder="1" applyAlignment="1" fillId="0" xfId="0" numFmtId="0" borderId="18" applyFont="1" fontId="18">
      <alignment vertical="center" horizontal="left" wrapText="1"/>
    </xf>
    <xf applyBorder="1" applyAlignment="1" fillId="0" xfId="0" numFmtId="0" borderId="19" applyFont="1" fontId="19">
      <alignment vertical="bottom" horizontal="left"/>
    </xf>
    <xf applyBorder="1" applyAlignment="1" fillId="11" xfId="0" numFmtId="0" borderId="20" applyFont="1" fontId="20" applyFill="1">
      <alignment vertical="top" horizontal="left"/>
    </xf>
    <xf applyBorder="1" applyAlignment="1" fillId="12" xfId="0" numFmtId="0" borderId="21" applyFont="1" fontId="21" applyFill="1">
      <alignment vertical="bottom" horizontal="left" wrapText="1"/>
    </xf>
    <xf applyBorder="1" applyAlignment="1" fillId="0" xfId="0" numFmtId="0" borderId="22" applyFont="1" fontId="22">
      <alignment vertical="center" horizontal="left" wrapText="1"/>
    </xf>
    <xf applyBorder="1" applyAlignment="1" fillId="0" xfId="0" numFmtId="0" borderId="23" fontId="0">
      <alignment vertical="bottom" horizontal="general" wrapText="1"/>
    </xf>
    <xf applyBorder="1" applyAlignment="1" fillId="13" xfId="0" numFmtId="0" borderId="24" applyFont="1" fontId="23" applyFill="1">
      <alignment vertical="bottom" horizontal="left"/>
    </xf>
    <xf applyBorder="1" applyAlignment="1" fillId="14" xfId="0" numFmtId="0" borderId="25" applyFont="1" fontId="24" applyFill="1">
      <alignment vertical="center" horizontal="left"/>
    </xf>
    <xf applyBorder="1" applyAlignment="1" fillId="15" xfId="0" numFmtId="0" borderId="26" applyFont="1" fontId="25" applyFill="1">
      <alignment vertical="top" horizontal="left" wrapText="1"/>
    </xf>
    <xf applyBorder="1" applyAlignment="1" fillId="0" xfId="0" numFmtId="0" borderId="27" applyFont="1" fontId="26">
      <alignment vertical="center" horizontal="left" wrapText="1"/>
    </xf>
    <xf applyBorder="1" applyAlignment="1" fillId="0" xfId="0" numFmtId="164" borderId="28" applyFont="1" fontId="27" applyNumberFormat="1">
      <alignment vertical="bottom" horizontal="right"/>
    </xf>
    <xf applyBorder="1" applyAlignment="1" fillId="0" xfId="0" numFmtId="0" borderId="29" applyFont="1" fontId="28">
      <alignment vertical="bottom" horizontal="left" wrapText="1"/>
    </xf>
    <xf applyBorder="1" applyAlignment="1" fillId="0" xfId="0" numFmtId="0" borderId="30" applyFont="1" fontId="29">
      <alignment vertical="bottom" horizontal="left" wrapText="1"/>
    </xf>
    <xf applyBorder="1" applyAlignment="1" fillId="0" xfId="0" numFmtId="0" borderId="31" applyFont="1" fontId="30">
      <alignment vertical="bottom" horizontal="left"/>
    </xf>
    <xf applyBorder="1" applyAlignment="1" fillId="16" xfId="0" numFmtId="0" borderId="32" applyFont="1" fontId="31" applyFill="1">
      <alignment vertical="bottom" horizontal="left"/>
    </xf>
    <xf applyBorder="1" applyAlignment="1" fillId="17" xfId="0" numFmtId="0" borderId="33" applyFont="1" fontId="32" applyFill="1">
      <alignment vertical="bottom" horizontal="left" wrapText="1"/>
    </xf>
    <xf applyAlignment="1" fillId="0" xfId="0" numFmtId="0" borderId="0" applyFont="1" fontId="33">
      <alignment vertical="center" horizontal="general"/>
    </xf>
  </cellXfs>
  <cellStyles count="1">
    <cellStyle builtinId="0" name="Normal" xfId="0"/>
  </cellStyles>
</styleSheet>
</file>

<file path=xl/_rels/workbook.xml.rels><?xml version="1.0" encoding="UTF-8" standalone="yes"?><Relationships xmlns="http://schemas.openxmlformats.org/package/2006/relationships"><Relationship Target="sharedStrings.xml" Type="http://schemas.openxmlformats.org/officeDocument/2006/relationships/sharedStrings" Id="rId2"/><Relationship Target="styles.xml" Type="http://schemas.openxmlformats.org/officeDocument/2006/relationships/styles" Id="rId1"/><Relationship Target="worksheets/sheet2.xml" Type="http://schemas.openxmlformats.org/officeDocument/2006/relationships/worksheet" Id="rId4"/><Relationship Target="worksheets/sheet1.xml" Type="http://schemas.openxmlformats.org/officeDocument/2006/relationships/worksheet" Id="rId3"/><Relationship Target="worksheets/sheet4.xml" Type="http://schemas.openxmlformats.org/officeDocument/2006/relationships/worksheet" Id="rId6"/><Relationship Target="worksheets/sheet3.xml" Type="http://schemas.openxmlformats.org/officeDocument/2006/relationships/worksheet" Id="rId5"/><Relationship Target="worksheets/sheet6.xml" Type="http://schemas.openxmlformats.org/officeDocument/2006/relationships/worksheet" Id="rId8"/><Relationship Target="worksheets/sheet5.xml" Type="http://schemas.openxmlformats.org/officeDocument/2006/relationships/worksheet" Id="rId7"/></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1.43" defaultRowHeight="12.75"/>
  <cols>
    <col min="1" customWidth="1" max="1" width="29.0"/>
  </cols>
  <sheetData>
    <row customHeight="1" r="1" ht="12.0">
      <c s="35" r="B1">
        <v>1985</v>
      </c>
      <c s="35" r="C1">
        <v>1986</v>
      </c>
      <c s="35" r="D1">
        <v>1987</v>
      </c>
      <c s="35" r="E1">
        <v>1988</v>
      </c>
      <c s="35" r="F1">
        <v>1989</v>
      </c>
      <c s="35" r="G1">
        <v>1990</v>
      </c>
      <c s="35" r="H1">
        <v>1991</v>
      </c>
      <c s="35" r="I1">
        <v>1992</v>
      </c>
      <c s="35" r="J1">
        <v>1993</v>
      </c>
      <c s="35" r="K1">
        <v>1994</v>
      </c>
      <c s="35" r="L1">
        <v>1995</v>
      </c>
      <c s="35" r="M1">
        <v>1996</v>
      </c>
      <c s="35" r="N1">
        <v>1997</v>
      </c>
      <c s="35" r="O1">
        <v>1998</v>
      </c>
      <c s="35" r="P1">
        <v>1999</v>
      </c>
      <c s="35" r="Q1">
        <v>2000</v>
      </c>
      <c s="35" r="R1">
        <v>2001</v>
      </c>
      <c s="35" r="S1">
        <v>2002</v>
      </c>
      <c s="35" r="T1">
        <v>2003</v>
      </c>
      <c s="35" r="U1">
        <v>2004</v>
      </c>
      <c s="35" r="V1">
        <v>2005</v>
      </c>
      <c s="35" r="W1">
        <v>2006</v>
      </c>
      <c s="35" r="X1">
        <v>2007</v>
      </c>
      <c s="35" r="Y1">
        <v>2008</v>
      </c>
    </row>
    <row customHeight="1" r="2" ht="12.0">
      <c t="s" s="35" r="A2">
        <v>0</v>
      </c>
      <c s="35" r="V2">
        <v>0.02</v>
      </c>
      <c s="35" r="Y2">
        <v>0.03</v>
      </c>
    </row>
    <row customHeight="1" r="3" ht="12.0">
      <c t="s" s="35" r="A3">
        <v>1</v>
      </c>
      <c s="35" r="V3">
        <v>6.68</v>
      </c>
      <c s="35" r="Y3">
        <v>7.29</v>
      </c>
    </row>
    <row customHeight="1" r="4" ht="12.0">
      <c t="s" s="35" r="A4">
        <v>2</v>
      </c>
      <c s="35" r="V4">
        <v>0.96</v>
      </c>
      <c s="35" r="Y4">
        <v>0.69</v>
      </c>
    </row>
    <row customHeight="1" r="5" ht="12.0">
      <c t="s" s="35" r="A5">
        <v>3</v>
      </c>
      <c s="35" r="V5">
        <v>15.48</v>
      </c>
      <c s="35" r="Y5">
        <v>10.17</v>
      </c>
    </row>
    <row customHeight="1" r="6" ht="12.0">
      <c t="s" s="35" r="A6">
        <v>4</v>
      </c>
      <c s="35" r="V6">
        <v>5.4</v>
      </c>
      <c s="35" r="Y6">
        <v>5.57</v>
      </c>
    </row>
    <row customHeight="1" r="7" ht="12.0">
      <c t="s" s="35" r="A7">
        <v>5</v>
      </c>
      <c s="35" r="V7">
        <v>7.22</v>
      </c>
      <c s="35" r="Y7">
        <v>8.17</v>
      </c>
    </row>
    <row customHeight="1" r="8" ht="12.0">
      <c t="s" s="35" r="A8">
        <v>6</v>
      </c>
      <c s="35" r="V8">
        <v>10</v>
      </c>
      <c s="35" r="Y8">
        <v>9.35</v>
      </c>
    </row>
    <row customHeight="1" r="9" ht="12.0">
      <c t="s" s="35" r="A9">
        <v>7</v>
      </c>
      <c s="35" r="V9">
        <v>11.35</v>
      </c>
      <c s="35" r="Y9">
        <v>13.66</v>
      </c>
    </row>
    <row customHeight="1" r="10" ht="12.0">
      <c t="s" s="35" r="A10">
        <v>8</v>
      </c>
      <c s="35" r="V10">
        <v>10.02</v>
      </c>
      <c s="35" r="Y10">
        <v>10.21</v>
      </c>
    </row>
    <row customHeight="1" r="11" ht="12.0">
      <c t="s" s="35" r="A11">
        <v>9</v>
      </c>
      <c s="35" r="K11">
        <v>12.62</v>
      </c>
      <c s="35" r="V11">
        <v>13.24</v>
      </c>
      <c s="35" r="Y11">
        <v>12.4</v>
      </c>
    </row>
    <row customHeight="1" r="12" ht="12.0">
      <c t="s" s="35" r="A12">
        <v>10</v>
      </c>
      <c s="35" r="V12">
        <v>10.6</v>
      </c>
      <c s="35" r="Y12">
        <v>13.34</v>
      </c>
    </row>
    <row customHeight="1" r="13" ht="12.0">
      <c t="s" s="35" r="A13">
        <v>11</v>
      </c>
      <c s="35" r="V13">
        <v>8.76</v>
      </c>
      <c s="35" r="Y13">
        <v>8.65</v>
      </c>
    </row>
    <row customHeight="1" r="14" ht="12.0">
      <c t="s" s="35" r="A14">
        <v>12</v>
      </c>
      <c s="35" r="V14">
        <v>3.66</v>
      </c>
      <c s="35" r="Y14">
        <v>4.19</v>
      </c>
    </row>
    <row customHeight="1" r="15" ht="12.0">
      <c t="s" s="35" r="A15">
        <v>13</v>
      </c>
      <c s="35" r="V15">
        <v>0.17</v>
      </c>
      <c s="35" r="Y15">
        <v>0.17</v>
      </c>
    </row>
    <row customHeight="1" r="16" ht="12.0">
      <c t="s" s="35" r="A16">
        <v>14</v>
      </c>
      <c s="35" r="V16">
        <v>6.91</v>
      </c>
      <c s="35" r="Y16">
        <v>6.42</v>
      </c>
    </row>
    <row customHeight="1" r="17" ht="12.0">
      <c t="s" s="35" r="A17">
        <v>15</v>
      </c>
      <c s="35" r="V17">
        <v>15.13</v>
      </c>
      <c s="35" r="Y17">
        <v>18.85</v>
      </c>
    </row>
    <row customHeight="1" r="18" ht="12.0">
      <c t="s" s="35" r="A18">
        <v>16</v>
      </c>
      <c s="35" r="V18">
        <v>10.77</v>
      </c>
      <c s="35" r="Y18">
        <v>10.41</v>
      </c>
    </row>
    <row customHeight="1" r="19" ht="12.0">
      <c t="s" s="35" r="A19">
        <v>17</v>
      </c>
      <c s="35" r="V19">
        <v>6.07</v>
      </c>
      <c s="35" r="Y19">
        <v>5.92</v>
      </c>
    </row>
    <row customHeight="1" r="20" ht="12.0">
      <c t="s" s="35" r="A20">
        <v>18</v>
      </c>
      <c s="35" r="V20">
        <v>2.15</v>
      </c>
      <c s="35" r="Y20">
        <v>2.08</v>
      </c>
    </row>
    <row customHeight="1" r="21" ht="12.0">
      <c t="s" s="35" r="A21">
        <v>19</v>
      </c>
      <c s="35" r="V21">
        <v>0.55</v>
      </c>
      <c s="35" r="Y21">
        <v>0.54</v>
      </c>
    </row>
    <row customHeight="1" r="22" ht="12.0">
      <c t="s" s="35" r="A22">
        <v>20</v>
      </c>
      <c s="35" r="V22">
        <v>5.12</v>
      </c>
      <c s="35" r="Y22">
        <v>5.78</v>
      </c>
    </row>
    <row customHeight="1" r="23" ht="12.0">
      <c t="s" s="35" r="A23">
        <v>21</v>
      </c>
      <c s="35" r="V23">
        <v>9.63</v>
      </c>
      <c s="35" r="Y23">
        <v>9.6</v>
      </c>
    </row>
    <row customHeight="1" r="24" ht="12.0">
      <c t="s" s="35" r="A24">
        <v>22</v>
      </c>
      <c s="35" r="V24">
        <v>7.96</v>
      </c>
      <c s="35" r="Y24">
        <v>6.97</v>
      </c>
    </row>
    <row customHeight="1" r="25" ht="12.0">
      <c t="s" s="35" r="A25">
        <v>23</v>
      </c>
      <c s="35" r="M25">
        <v>14.01</v>
      </c>
      <c s="35" r="V25">
        <v>9.16</v>
      </c>
      <c s="35" r="Y25">
        <v>10.08</v>
      </c>
    </row>
    <row customHeight="1" r="26" ht="12.0">
      <c t="s" s="35" r="A26">
        <v>24</v>
      </c>
      <c s="35" r="V26">
        <v>2.01</v>
      </c>
      <c s="35" r="Y26">
        <v>1.86</v>
      </c>
    </row>
    <row customHeight="1" r="27" ht="12.0">
      <c t="s" s="35" r="A27">
        <v>25</v>
      </c>
      <c s="35" r="V27">
        <v>12.44</v>
      </c>
      <c s="35" r="Y27">
        <v>11.4</v>
      </c>
    </row>
    <row customHeight="1" r="28" ht="12.0">
      <c t="s" s="35" r="A28">
        <v>26</v>
      </c>
      <c s="35" r="V28">
        <v>6.98</v>
      </c>
      <c s="35" r="Y28">
        <v>7.32</v>
      </c>
    </row>
    <row customHeight="1" r="29" ht="12.0">
      <c t="s" s="35" r="A29">
        <v>27</v>
      </c>
      <c s="35" r="V29">
        <v>9.47</v>
      </c>
      <c s="35" r="Y29">
        <v>9.65</v>
      </c>
    </row>
    <row customHeight="1" r="30" ht="12.0">
      <c t="s" s="35" r="A30">
        <v>28</v>
      </c>
      <c s="35" r="V30">
        <v>4.77</v>
      </c>
      <c s="35" r="Y30">
        <v>4.71</v>
      </c>
    </row>
    <row customHeight="1" r="31" ht="12.0">
      <c t="s" s="35" r="A31">
        <v>29</v>
      </c>
      <c s="35" r="V31">
        <v>7.57</v>
      </c>
      <c s="35" r="Y31">
        <v>7.9</v>
      </c>
    </row>
    <row customHeight="1" r="32" ht="12.0">
      <c t="s" s="35" r="A32">
        <v>30</v>
      </c>
      <c s="35" r="V32">
        <v>9.77</v>
      </c>
      <c s="35" r="Y32">
        <v>10.2</v>
      </c>
    </row>
    <row customHeight="1" r="33" ht="12.0">
      <c t="s" s="35" r="A33">
        <v>31</v>
      </c>
      <c s="35" r="V33">
        <v>4.96</v>
      </c>
      <c s="35" r="Y33">
        <v>4.98</v>
      </c>
    </row>
    <row customHeight="1" r="34" ht="12.0">
      <c t="s" s="35" r="A34">
        <v>32</v>
      </c>
      <c s="35" r="V34">
        <v>3.35</v>
      </c>
      <c s="35" r="Y34">
        <v>3.17</v>
      </c>
    </row>
    <row customHeight="1" r="35" ht="12.0">
      <c t="s" s="35" r="A35">
        <v>33</v>
      </c>
      <c s="35" r="V35">
        <v>4.38</v>
      </c>
      <c s="35" r="Y35">
        <v>4.39</v>
      </c>
    </row>
    <row customHeight="1" r="36" ht="12.0">
      <c t="s" s="35" r="A36">
        <v>34</v>
      </c>
      <c s="35" r="G36">
        <v>9.43</v>
      </c>
      <c s="35" r="V36">
        <v>8.55</v>
      </c>
      <c s="35" r="Y36">
        <v>8.81</v>
      </c>
    </row>
    <row customHeight="1" r="37" ht="12.0">
      <c t="s" s="35" r="A37">
        <v>35</v>
      </c>
      <c s="35" r="V37">
        <v>5.91</v>
      </c>
      <c s="35" r="Y37">
        <v>5.56</v>
      </c>
    </row>
    <row customHeight="1" r="38" ht="12.0">
      <c t="s" s="35" r="A38">
        <v>36</v>
      </c>
      <c s="35" r="V38">
        <v>6.17</v>
      </c>
      <c s="35" r="Y38">
        <v>6.59</v>
      </c>
    </row>
    <row customHeight="1" r="39" ht="12.0">
      <c t="s" s="35" r="A39">
        <v>37</v>
      </c>
      <c s="35" r="V39">
        <v>0.36</v>
      </c>
      <c s="35" r="Y39">
        <v>0.28</v>
      </c>
    </row>
    <row customHeight="1" r="40" ht="12.0">
      <c t="s" s="35" r="A40">
        <v>38</v>
      </c>
      <c s="35" r="V40">
        <v>3.3</v>
      </c>
      <c s="35" r="Y40">
        <v>3.39</v>
      </c>
    </row>
    <row customHeight="1" r="41" ht="12.0">
      <c t="s" s="35" r="A41">
        <v>39</v>
      </c>
      <c s="35" r="V41">
        <v>4.2</v>
      </c>
      <c s="35" r="Y41">
        <v>4.46</v>
      </c>
    </row>
    <row customHeight="1" r="42" ht="12.0">
      <c t="s" s="35" r="A42">
        <v>40</v>
      </c>
      <c s="35" r="V42">
        <v>3.7</v>
      </c>
      <c s="35" r="Y42">
        <v>3.23</v>
      </c>
    </row>
    <row customHeight="1" r="43" ht="12.0">
      <c t="s" s="35" r="A43">
        <v>41</v>
      </c>
      <c s="35" r="V43">
        <v>5.55</v>
      </c>
      <c s="35" r="Y43">
        <v>5.81</v>
      </c>
    </row>
    <row customHeight="1" r="44" ht="12.0">
      <c t="s" s="35" r="A44">
        <v>42</v>
      </c>
      <c s="35" r="V44">
        <v>6.48</v>
      </c>
      <c s="35" r="Y44">
        <v>6.47</v>
      </c>
    </row>
    <row customHeight="1" r="45" ht="12.0">
      <c t="s" s="35" r="A45">
        <v>43</v>
      </c>
      <c s="35" r="V45">
        <v>15.11</v>
      </c>
      <c s="35" r="Y45">
        <v>15</v>
      </c>
    </row>
    <row customHeight="1" r="46" ht="12.0">
      <c t="s" s="35" r="A46">
        <v>44</v>
      </c>
      <c s="35" r="V46">
        <v>5.51</v>
      </c>
      <c s="35" r="Y46">
        <v>5.12</v>
      </c>
    </row>
    <row customHeight="1" r="47" ht="12.0">
      <c t="s" s="35" r="A47">
        <v>45</v>
      </c>
      <c s="35" r="V47">
        <v>9.26</v>
      </c>
      <c s="35" r="Y47">
        <v>8.84</v>
      </c>
    </row>
    <row customHeight="1" r="48" ht="12.0">
      <c t="s" s="35" r="A48">
        <v>46</v>
      </c>
      <c s="35" r="V48">
        <v>16.45</v>
      </c>
      <c s="35" r="Y48">
        <v>16.47</v>
      </c>
    </row>
    <row customHeight="1" r="49" ht="12.0">
      <c t="s" s="35" r="A49">
        <v>47</v>
      </c>
      <c s="35" r="K49">
        <v>14.36</v>
      </c>
      <c s="35" r="V49">
        <v>13.37</v>
      </c>
      <c s="35" r="Y49">
        <v>12.02</v>
      </c>
    </row>
    <row customHeight="1" r="50" ht="12.0">
      <c t="s" s="35" r="A50">
        <v>48</v>
      </c>
      <c s="35" r="V50">
        <v>1.87</v>
      </c>
      <c s="35" r="Y50">
        <v>1.87</v>
      </c>
    </row>
    <row customHeight="1" r="51" ht="12.0">
      <c t="s" s="35" r="A51">
        <v>49</v>
      </c>
      <c s="35" r="V51">
        <v>7.84</v>
      </c>
      <c s="35" r="Y51">
        <v>8.68</v>
      </c>
    </row>
    <row customHeight="1" r="52" ht="12.0">
      <c t="s" s="35" r="A52">
        <v>50</v>
      </c>
      <c s="35" r="V52">
        <v>6.41</v>
      </c>
      <c s="35" r="Y52">
        <v>6.28</v>
      </c>
    </row>
    <row customHeight="1" r="53" ht="12.0">
      <c t="s" s="35" r="A53">
        <v>51</v>
      </c>
      <c s="35" r="G53">
        <v>8.4</v>
      </c>
      <c s="35" r="V53">
        <v>9.38</v>
      </c>
      <c s="35" r="Y53">
        <v>9.43</v>
      </c>
    </row>
    <row customHeight="1" r="54" ht="12.0">
      <c t="s" s="35" r="A54">
        <v>52</v>
      </c>
      <c s="35" r="V54">
        <v>0.37</v>
      </c>
      <c s="35" r="Y54">
        <v>0.32</v>
      </c>
    </row>
    <row customHeight="1" r="55" ht="12.0">
      <c t="s" s="35" r="A55">
        <v>53</v>
      </c>
      <c s="35" r="V55">
        <v>3.61</v>
      </c>
      <c s="35" r="Y55">
        <v>3.99</v>
      </c>
    </row>
    <row customHeight="1" r="56" ht="12.0">
      <c t="s" s="35" r="A56">
        <v>54</v>
      </c>
      <c s="35" r="V56">
        <v>6.08</v>
      </c>
      <c s="35" r="Y56">
        <v>6.12</v>
      </c>
    </row>
    <row customHeight="1" r="57" ht="12.0">
      <c t="s" s="35" r="A57">
        <v>55</v>
      </c>
      <c s="35" r="V57">
        <v>1.54</v>
      </c>
      <c s="35" r="Y57">
        <v>1.64</v>
      </c>
    </row>
    <row customHeight="1" r="58" ht="12.0">
      <c t="s" s="35" r="A58">
        <v>56</v>
      </c>
      <c s="35" r="L58">
        <v>10.74</v>
      </c>
      <c s="35" r="V58">
        <v>15.57</v>
      </c>
      <c s="35" r="Y58">
        <v>17.24</v>
      </c>
    </row>
    <row customHeight="1" r="59" ht="12.0">
      <c t="s" s="35" r="A59">
        <v>57</v>
      </c>
      <c s="35" r="V59">
        <v>4.02</v>
      </c>
      <c s="35" r="Y59">
        <v>4.1</v>
      </c>
    </row>
    <row customHeight="1" r="60" ht="12.0">
      <c t="s" s="35" r="A60">
        <v>58</v>
      </c>
      <c s="35" r="V60">
        <v>2.43</v>
      </c>
      <c s="35" r="Y60">
        <v>2.76</v>
      </c>
    </row>
    <row customHeight="1" r="61" ht="12.0">
      <c t="s" s="35" r="A61">
        <v>59</v>
      </c>
      <c s="35" r="K61">
        <v>9.79</v>
      </c>
      <c s="35" r="V61">
        <v>12.52</v>
      </c>
      <c s="35" r="Y61">
        <v>13.1</v>
      </c>
    </row>
    <row customHeight="1" r="62" ht="12.0">
      <c t="s" s="35" r="A62">
        <v>60</v>
      </c>
      <c s="35" r="V62">
        <v>13.66</v>
      </c>
      <c s="35" r="Y62">
        <v>12.48</v>
      </c>
    </row>
    <row customHeight="1" r="63" ht="12.0">
      <c t="s" s="35" r="A63">
        <v>61</v>
      </c>
      <c s="35" r="V63">
        <v>9.32</v>
      </c>
      <c s="35" r="Y63">
        <v>9.46</v>
      </c>
    </row>
    <row customHeight="1" r="64" ht="12.0">
      <c t="s" s="35" r="A64">
        <v>62</v>
      </c>
      <c s="35" r="V64">
        <v>3.39</v>
      </c>
      <c s="35" r="Y64">
        <v>3.58</v>
      </c>
    </row>
    <row customHeight="1" r="65" ht="12.0">
      <c t="s" s="35" r="A65">
        <v>63</v>
      </c>
      <c s="35" r="V65">
        <v>6.4</v>
      </c>
      <c s="35" r="Y65">
        <v>6.66</v>
      </c>
    </row>
    <row customHeight="1" r="66" ht="12.0">
      <c t="s" s="35" r="A66">
        <v>64</v>
      </c>
      <c s="35" r="V66">
        <v>12.81</v>
      </c>
      <c s="35" r="Y66">
        <v>12.14</v>
      </c>
    </row>
    <row customHeight="1" r="67" ht="12.0">
      <c t="s" s="35" r="A67">
        <v>65</v>
      </c>
      <c s="35" r="V67">
        <v>2.97</v>
      </c>
      <c s="35" r="Y67">
        <v>3.11</v>
      </c>
    </row>
    <row customHeight="1" r="68" ht="12.0">
      <c t="s" s="35" r="A68">
        <v>66</v>
      </c>
      <c s="35" r="G68">
        <v>12.51</v>
      </c>
      <c s="35" r="V68">
        <v>10.75</v>
      </c>
      <c s="35" r="Y68">
        <v>11.01</v>
      </c>
    </row>
    <row customHeight="1" r="69" ht="12.0">
      <c t="s" s="35" r="A69">
        <v>67</v>
      </c>
      <c s="35" r="V69">
        <v>10.35</v>
      </c>
      <c s="35" r="Y69">
        <v>10.71</v>
      </c>
    </row>
    <row customHeight="1" r="70" ht="12.0">
      <c t="s" s="35" r="A70">
        <v>68</v>
      </c>
      <c s="35" r="V70">
        <v>4.03</v>
      </c>
      <c s="35" r="Y70">
        <v>7.1</v>
      </c>
    </row>
    <row customHeight="1" r="71" ht="12.0">
      <c t="s" s="35" r="A71">
        <v>69</v>
      </c>
      <c s="35" r="V71">
        <v>0.76</v>
      </c>
      <c s="35" r="Y71">
        <v>0.79</v>
      </c>
    </row>
    <row customHeight="1" r="72" ht="12.0">
      <c t="s" s="35" r="A72">
        <v>70</v>
      </c>
      <c s="35" r="V72">
        <v>3.68</v>
      </c>
      <c s="35" r="Y72">
        <v>3.9</v>
      </c>
    </row>
    <row customHeight="1" r="73" ht="12.0">
      <c t="s" s="35" r="A73">
        <v>71</v>
      </c>
      <c s="35" r="V73">
        <v>9.5</v>
      </c>
      <c s="35" r="Y73">
        <v>8.7</v>
      </c>
    </row>
    <row customHeight="1" r="74" ht="12.0">
      <c t="s" s="35" r="A74">
        <v>72</v>
      </c>
      <c s="35" r="V74">
        <v>6.61</v>
      </c>
      <c s="35" r="Y74">
        <v>5.92</v>
      </c>
    </row>
    <row customHeight="1" r="75" ht="12.0">
      <c t="s" s="35" r="A75">
        <v>73</v>
      </c>
      <c s="35" r="V75">
        <v>4.48</v>
      </c>
      <c s="35" r="Y75">
        <v>4.43</v>
      </c>
    </row>
    <row customHeight="1" r="76" ht="12.0">
      <c t="s" s="35" r="A76">
        <v>74</v>
      </c>
      <c s="35" r="L76">
        <v>14.52</v>
      </c>
      <c s="35" r="V76">
        <v>16.27</v>
      </c>
      <c s="35" r="Y76">
        <v>16.12</v>
      </c>
    </row>
    <row customHeight="1" r="77" ht="12.0">
      <c t="s" s="35" r="A77">
        <v>75</v>
      </c>
      <c s="35" r="K77">
        <v>5.52</v>
      </c>
      <c s="35" r="V77">
        <v>6.31</v>
      </c>
      <c s="35" r="Y77">
        <v>7.38</v>
      </c>
    </row>
    <row customHeight="1" r="78" ht="12.0">
      <c t="s" s="35" r="A78">
        <v>76</v>
      </c>
      <c s="35" r="V78">
        <v>2.59</v>
      </c>
      <c s="35" r="Y78">
        <v>2.69</v>
      </c>
    </row>
    <row customHeight="1" r="79" ht="12.0">
      <c t="s" s="35" r="A79">
        <v>77</v>
      </c>
      <c s="35" r="V79">
        <v>0.59</v>
      </c>
      <c s="35" r="Y79">
        <v>0.56</v>
      </c>
    </row>
    <row customHeight="1" r="80" ht="12.0">
      <c t="s" s="35" r="A80">
        <v>78</v>
      </c>
      <c s="35" r="V80">
        <v>1.02</v>
      </c>
      <c s="35" r="Y80">
        <v>1.03</v>
      </c>
    </row>
    <row customHeight="1" r="81" ht="12.0">
      <c t="s" s="35" r="A81">
        <v>79</v>
      </c>
      <c s="35" r="V81">
        <v>0.4</v>
      </c>
      <c s="35" r="Y81">
        <v>0.47</v>
      </c>
    </row>
    <row customHeight="1" r="82" ht="12.0">
      <c t="s" s="35" r="A82">
        <v>80</v>
      </c>
      <c s="35" r="V82">
        <v>14.41</v>
      </c>
      <c s="35" r="Y82">
        <v>14.92</v>
      </c>
    </row>
    <row customHeight="1" r="83" ht="12.0">
      <c t="s" s="35" r="A83">
        <v>81</v>
      </c>
      <c s="35" r="V83">
        <v>2.89</v>
      </c>
      <c s="35" r="Y83">
        <v>2.52</v>
      </c>
    </row>
    <row customHeight="1" r="84" ht="12.0">
      <c t="s" s="35" r="A84">
        <v>82</v>
      </c>
      <c s="35" r="V84">
        <v>10.68</v>
      </c>
      <c s="35" r="Y84">
        <v>9.72</v>
      </c>
    </row>
    <row customHeight="1" r="85" ht="12.0">
      <c t="s" s="35" r="A85">
        <v>83</v>
      </c>
      <c s="35" r="V85">
        <v>5</v>
      </c>
      <c s="35" r="Y85">
        <v>5.17</v>
      </c>
    </row>
    <row customHeight="1" r="86" ht="12.0">
      <c t="s" s="35" r="A86">
        <v>84</v>
      </c>
      <c s="35" r="V86">
        <v>8.03</v>
      </c>
      <c s="35" r="Y86">
        <v>7.79</v>
      </c>
    </row>
    <row customHeight="1" r="87" ht="12.0">
      <c t="s" s="35" r="A87">
        <v>85</v>
      </c>
      <c s="35" r="V87">
        <v>0.71</v>
      </c>
      <c s="35" r="Y87">
        <v>0.65</v>
      </c>
    </row>
    <row customHeight="1" r="88" ht="12.0">
      <c t="s" s="35" r="A88">
        <v>86</v>
      </c>
      <c s="35" r="V88">
        <v>10.96</v>
      </c>
      <c s="35" r="Y88">
        <v>11.1</v>
      </c>
    </row>
    <row customHeight="1" r="89" ht="12.0">
      <c t="s" s="35" r="A89">
        <v>87</v>
      </c>
      <c s="35" r="G89"/>
      <c s="35" r="V89">
        <v>4.14</v>
      </c>
      <c s="35" r="Y89">
        <v>3.88</v>
      </c>
    </row>
    <row customHeight="1" r="90" ht="12.0">
      <c t="s" s="35" r="A90">
        <v>88</v>
      </c>
      <c s="35" r="V90">
        <v>3.71</v>
      </c>
      <c s="35" r="Y90">
        <v>2.7</v>
      </c>
    </row>
    <row customHeight="1" r="91" ht="12.0">
      <c t="s" s="35" r="A91">
        <v>89</v>
      </c>
      <c s="35" r="V91">
        <v>0.1</v>
      </c>
      <c s="35" r="Y91">
        <v>0.1</v>
      </c>
    </row>
    <row customHeight="1" r="92" ht="12.0">
      <c t="s" s="35" r="A92">
        <v>90</v>
      </c>
      <c s="35" r="V92">
        <v>5.09</v>
      </c>
      <c s="35" r="Y92">
        <v>4.72</v>
      </c>
    </row>
    <row customHeight="1" r="93" ht="12.0">
      <c t="s" s="35" r="A93">
        <v>91</v>
      </c>
      <c s="35" r="V93">
        <v>6.73</v>
      </c>
      <c s="35" r="Y93">
        <v>6.99</v>
      </c>
    </row>
    <row customHeight="1" r="94" ht="12.0">
      <c t="s" s="35" r="A94">
        <v>92</v>
      </c>
      <c s="35" r="V94">
        <v>12.5</v>
      </c>
      <c s="35" r="Y94">
        <v>13.45</v>
      </c>
    </row>
    <row customHeight="1" r="95" ht="12.0">
      <c t="s" s="35" r="A95">
        <v>93</v>
      </c>
      <c s="35" r="V95">
        <v>2.23</v>
      </c>
      <c s="35" r="Y95">
        <v>2.3</v>
      </c>
    </row>
    <row customHeight="1" r="96" ht="12.0">
      <c t="s" s="35" r="A96">
        <v>94</v>
      </c>
      <c s="35" r="V96">
        <v>5.55</v>
      </c>
      <c s="35" r="Y96">
        <v>5.56</v>
      </c>
    </row>
    <row customHeight="1" r="97" ht="12.0">
      <c t="s" s="35" r="A97">
        <v>95</v>
      </c>
      <c s="35" r="V97">
        <v>5.06</v>
      </c>
      <c s="35" r="Y97">
        <v>5.07</v>
      </c>
    </row>
    <row customHeight="1" r="98" ht="12.0">
      <c t="s" s="35" r="A98">
        <v>96</v>
      </c>
      <c s="35" r="V98">
        <v>0.11</v>
      </c>
      <c s="35" r="Y98">
        <v>0.1</v>
      </c>
    </row>
    <row customHeight="1" r="99" ht="12.0">
      <c t="s" s="35" r="A99">
        <v>97</v>
      </c>
      <c s="35" r="V99">
        <v>15.03</v>
      </c>
      <c s="35" r="Y99">
        <v>16.3</v>
      </c>
    </row>
    <row customHeight="1" r="100" ht="12.0">
      <c t="s" s="35" r="A100">
        <v>98</v>
      </c>
      <c s="35" r="V100">
        <v>13.01</v>
      </c>
      <c s="35" r="Y100">
        <v>12.84</v>
      </c>
    </row>
    <row customHeight="1" r="101" ht="12.0">
      <c t="s" s="35" r="A101">
        <v>99</v>
      </c>
      <c s="35" r="I101">
        <v>12.66</v>
      </c>
      <c s="35" r="V101">
        <v>8.51</v>
      </c>
      <c s="35" r="Y101">
        <v>8.94</v>
      </c>
    </row>
    <row customHeight="1" r="102" ht="12.0">
      <c t="s" s="35" r="A102">
        <v>100</v>
      </c>
      <c s="35" r="V102">
        <v>1.33</v>
      </c>
      <c s="35" r="Y102">
        <v>1.32</v>
      </c>
    </row>
    <row customHeight="1" r="103" ht="12.0">
      <c t="s" s="35" r="A103">
        <v>101</v>
      </c>
      <c s="35" r="V103">
        <v>1.74</v>
      </c>
      <c s="35" r="Y103">
        <v>1.44</v>
      </c>
    </row>
    <row customHeight="1" r="104" ht="12.0">
      <c t="s" s="35" r="A104">
        <v>102</v>
      </c>
      <c s="35" r="V104">
        <v>0.82</v>
      </c>
      <c s="35" r="Y104">
        <v>0.87</v>
      </c>
    </row>
    <row customHeight="1" r="105" ht="12.0">
      <c t="s" s="35" r="A105">
        <v>103</v>
      </c>
      <c s="35" r="V105">
        <v>1.04</v>
      </c>
      <c s="35" r="Y105">
        <v>0.99</v>
      </c>
    </row>
    <row customHeight="1" r="106" ht="12.0">
      <c t="s" s="35" r="A106">
        <v>104</v>
      </c>
      <c s="35" r="V106">
        <v>4.27</v>
      </c>
      <c s="35" r="Y106">
        <v>4.1</v>
      </c>
    </row>
    <row customHeight="1" r="107" ht="12.0">
      <c t="s" s="35" r="A107">
        <v>105</v>
      </c>
      <c s="35" r="V107">
        <v>0.11</v>
      </c>
      <c s="35" r="Y107">
        <v>0.11</v>
      </c>
    </row>
    <row customHeight="1" r="108" ht="12.0">
      <c t="s" s="35" r="A108">
        <v>106</v>
      </c>
      <c s="35" r="V108">
        <v>3.72</v>
      </c>
      <c s="35" r="Y108">
        <v>3.53</v>
      </c>
    </row>
    <row customHeight="1" r="109" ht="12.0">
      <c t="s" s="35" r="A109">
        <v>107</v>
      </c>
      <c s="35" r="V109">
        <v>8.42</v>
      </c>
      <c s="35" r="Y109">
        <v>8.55</v>
      </c>
    </row>
    <row customHeight="1" r="110" ht="12.0">
      <c t="s" s="35" r="A110">
        <v>108</v>
      </c>
      <c s="35" r="V110">
        <v>5.5</v>
      </c>
      <c s="35" r="Y110">
        <v>5.25</v>
      </c>
    </row>
    <row customHeight="1" r="111" ht="12.0">
      <c t="s" s="35" r="A111">
        <v>109</v>
      </c>
      <c s="35" r="J111">
        <v>18.1</v>
      </c>
      <c s="35" r="V111">
        <v>18.22</v>
      </c>
      <c s="35" r="Y111">
        <v>23.01</v>
      </c>
    </row>
    <row customHeight="1" r="112" ht="12.0">
      <c t="s" s="35" r="A112">
        <v>110</v>
      </c>
      <c s="35" r="V112">
        <v>3.24</v>
      </c>
      <c s="35" r="Y112">
        <v>3.41</v>
      </c>
    </row>
    <row customHeight="1" r="113" ht="12.0">
      <c t="s" s="35" r="A113">
        <v>111</v>
      </c>
      <c s="35" r="V113">
        <v>1.46</v>
      </c>
      <c s="35" r="Y113">
        <v>1.24</v>
      </c>
    </row>
    <row customHeight="1" r="114" ht="12.0">
      <c t="s" s="35" r="A114">
        <v>112</v>
      </c>
      <c s="35" r="V114">
        <v>2.38</v>
      </c>
      <c s="35" r="Y114">
        <v>2.27</v>
      </c>
    </row>
    <row customHeight="1" r="115" ht="12.0">
      <c t="s" s="35" r="A115">
        <v>113</v>
      </c>
      <c s="35" r="V115">
        <v>0.57</v>
      </c>
      <c s="35" r="Y115">
        <v>0.58</v>
      </c>
    </row>
    <row customHeight="1" r="116" ht="12.0">
      <c t="s" s="35" r="A116">
        <v>114</v>
      </c>
      <c s="35" r="V116">
        <v>9.62</v>
      </c>
      <c s="35" r="Y116">
        <v>12.09</v>
      </c>
    </row>
    <row customHeight="1" r="117" ht="12.0">
      <c t="s" s="35" r="A117">
        <v>115</v>
      </c>
      <c s="35" r="V117">
        <v>4.83</v>
      </c>
      <c s="35" r="Y117">
        <v>4.81</v>
      </c>
    </row>
    <row customHeight="1" r="118" ht="12.0">
      <c t="s" s="35" r="A118">
        <v>116</v>
      </c>
      <c s="35" r="V118">
        <v>2.41</v>
      </c>
      <c s="35" r="Y118">
        <v>2.42</v>
      </c>
    </row>
    <row customHeight="1" r="119" ht="12.0">
      <c t="s" s="35" r="A119">
        <v>117</v>
      </c>
      <c s="35" r="V119">
        <v>10.05</v>
      </c>
      <c s="35" r="Y119">
        <v>9.75</v>
      </c>
    </row>
    <row customHeight="1" r="120" ht="12.0">
      <c t="s" s="35" r="A120">
        <v>118</v>
      </c>
      <c s="35" r="L120">
        <v>9.19</v>
      </c>
      <c s="35" r="V120">
        <v>9.62</v>
      </c>
      <c s="35" r="Y120">
        <v>9.99</v>
      </c>
    </row>
    <row customHeight="1" r="121" ht="12.0">
      <c t="s" s="35" r="A121">
        <v>119</v>
      </c>
      <c s="35" r="V121">
        <v>5.37</v>
      </c>
      <c s="35" r="Y121">
        <v>5.21</v>
      </c>
    </row>
    <row customHeight="1" r="122" ht="12.0">
      <c t="s" s="35" r="A122">
        <v>120</v>
      </c>
      <c s="35" r="V122">
        <v>0.34</v>
      </c>
      <c s="35" r="Y122">
        <v>0.34</v>
      </c>
    </row>
    <row customHeight="1" r="123" ht="12.0">
      <c t="s" s="35" r="A123">
        <v>121</v>
      </c>
      <c s="35" r="V123">
        <v>12.28</v>
      </c>
      <c s="35" r="Y123">
        <v>12.72</v>
      </c>
    </row>
    <row customHeight="1" r="124" ht="12.0">
      <c t="s" s="35" r="A124">
        <v>122</v>
      </c>
      <c s="35" r="V124">
        <v>9.85</v>
      </c>
      <c s="35" r="Y124">
        <v>8.69</v>
      </c>
    </row>
    <row customHeight="1" r="125" ht="12.0">
      <c t="s" s="35" r="A125">
        <v>123</v>
      </c>
      <c s="35" r="V125">
        <v>18.28</v>
      </c>
    </row>
    <row customHeight="1" r="126" ht="12.0">
      <c t="s" s="35" r="A126">
        <v>124</v>
      </c>
      <c s="35" r="K126">
        <v>6.26</v>
      </c>
      <c s="35" r="V126">
        <v>7.81</v>
      </c>
      <c s="35" r="Y126">
        <v>8.35</v>
      </c>
    </row>
    <row customHeight="1" r="127" ht="12.0">
      <c t="s" s="35" r="A127">
        <v>125</v>
      </c>
      <c s="35" r="V127">
        <v>0.94</v>
      </c>
      <c s="35" r="Y127">
        <v>0.92</v>
      </c>
    </row>
    <row customHeight="1" r="128" ht="12.0">
      <c t="s" s="35" r="A128">
        <v>126</v>
      </c>
      <c s="35" r="V128">
        <v>0.06</v>
      </c>
      <c s="35" r="Y128">
        <v>0.05</v>
      </c>
    </row>
    <row customHeight="1" r="129" ht="12.0">
      <c t="s" s="35" r="A129">
        <v>127</v>
      </c>
      <c s="35" r="V129">
        <v>10.1</v>
      </c>
      <c s="35" r="Y129">
        <v>9.86</v>
      </c>
    </row>
    <row customHeight="1" r="130" ht="12.0">
      <c t="s" s="35" r="A130">
        <v>128</v>
      </c>
      <c s="35" r="V130">
        <v>6.85</v>
      </c>
      <c s="35" r="Y130">
        <v>7.3</v>
      </c>
    </row>
    <row customHeight="1" r="131" ht="12.0">
      <c t="s" s="35" r="A131">
        <v>129</v>
      </c>
      <c s="35" r="V131">
        <v>3.49</v>
      </c>
      <c s="35" r="Y131">
        <v>3.64</v>
      </c>
    </row>
    <row customHeight="1" r="132" ht="12.0">
      <c t="s" s="35" r="A132">
        <v>130</v>
      </c>
      <c s="35" r="V132">
        <v>7.88</v>
      </c>
      <c s="35" r="Y132">
        <v>7.91</v>
      </c>
    </row>
    <row customHeight="1" r="133" ht="12.0">
      <c t="s" s="35" r="A133">
        <v>131</v>
      </c>
      <c s="35" r="V133">
        <v>6.9</v>
      </c>
      <c s="35" r="Y133">
        <v>6.53</v>
      </c>
    </row>
    <row customHeight="1" r="134" ht="12.0">
      <c t="s" s="35" r="A134">
        <v>132</v>
      </c>
      <c s="35" r="V134">
        <v>6.38</v>
      </c>
      <c s="35" r="Y134">
        <v>6.08</v>
      </c>
    </row>
    <row customHeight="1" r="135" ht="12.0">
      <c t="s" s="35" r="A135">
        <v>133</v>
      </c>
      <c s="35" r="V135">
        <v>13.25</v>
      </c>
      <c s="35" r="Y135">
        <v>14.43</v>
      </c>
    </row>
    <row customHeight="1" r="136" ht="12.0">
      <c t="s" s="35" r="A136">
        <v>134</v>
      </c>
      <c s="35" r="V136">
        <v>14.55</v>
      </c>
      <c s="35" r="Y136">
        <v>13.89</v>
      </c>
    </row>
    <row customHeight="1" r="137" ht="12.0">
      <c t="s" s="35" r="A137">
        <v>135</v>
      </c>
      <c s="35" r="V137">
        <v>5.75</v>
      </c>
    </row>
    <row customHeight="1" r="138" ht="12.0">
      <c t="s" s="35" r="A138">
        <v>136</v>
      </c>
      <c s="35" r="V138">
        <v>1.25</v>
      </c>
      <c s="35" r="Y138">
        <v>1.29</v>
      </c>
    </row>
    <row customHeight="1" r="139" ht="12.0">
      <c t="s" s="35" r="A139">
        <v>137</v>
      </c>
      <c s="35" r="V139">
        <v>15.3</v>
      </c>
      <c s="35" r="Y139">
        <v>16.15</v>
      </c>
    </row>
    <row customHeight="1" r="140" ht="12.0">
      <c t="s" s="35" r="A140">
        <v>138</v>
      </c>
      <c s="35" r="B140">
        <v>13.31</v>
      </c>
      <c s="35" r="C140">
        <v>10.77</v>
      </c>
      <c s="35" r="D140">
        <v>10.96</v>
      </c>
      <c s="35" r="E140">
        <v>11.57</v>
      </c>
      <c s="35" r="F140">
        <v>12.04</v>
      </c>
      <c s="35" r="G140">
        <v>12.29</v>
      </c>
      <c s="35" r="H140">
        <v>12.67</v>
      </c>
      <c s="35" r="I140">
        <v>13.23</v>
      </c>
      <c s="35" r="J140">
        <v>13.6</v>
      </c>
      <c s="35" r="K140">
        <v>13.3</v>
      </c>
      <c s="35" r="V140">
        <v>15.76</v>
      </c>
      <c s="35" r="Y140">
        <v>16.23</v>
      </c>
    </row>
    <row customHeight="1" r="141" ht="12.0">
      <c t="s" s="35" r="A141">
        <v>139</v>
      </c>
      <c s="35" r="V141">
        <v>9.8</v>
      </c>
      <c s="35" r="Y141">
        <v>9.99</v>
      </c>
    </row>
    <row customHeight="1" r="142" ht="12.0">
      <c t="s" s="35" r="A142">
        <v>140</v>
      </c>
      <c s="35" r="V142">
        <v>9.43</v>
      </c>
      <c s="35" r="Y142">
        <v>10.62</v>
      </c>
    </row>
    <row customHeight="1" r="143" ht="12.0">
      <c t="s" s="35" r="A143">
        <v>141</v>
      </c>
      <c s="35" r="V143">
        <v>11.85</v>
      </c>
      <c s="35" r="Y143">
        <v>12.05</v>
      </c>
    </row>
    <row customHeight="1" r="144" ht="12.0">
      <c t="s" s="35" r="A144">
        <v>142</v>
      </c>
      <c s="35" r="V144">
        <v>5.44</v>
      </c>
      <c s="35" r="Y144">
        <v>4.99</v>
      </c>
    </row>
    <row customHeight="1" r="145" ht="12.0">
      <c t="s" s="35" r="A145">
        <v>143</v>
      </c>
      <c s="35" r="V145">
        <v>4.8</v>
      </c>
      <c s="35" r="Y145">
        <v>4.51</v>
      </c>
    </row>
    <row customHeight="1" r="146" ht="12.0">
      <c t="s" s="35" r="A146">
        <v>144</v>
      </c>
      <c s="35" r="V146">
        <v>8.74</v>
      </c>
      <c s="35" r="Y146">
        <v>8.45</v>
      </c>
    </row>
    <row customHeight="1" r="147" ht="12.0">
      <c t="s" s="35" r="A147">
        <v>145</v>
      </c>
      <c s="35" r="V147">
        <v>0.25</v>
      </c>
      <c s="35" r="Y147">
        <v>0.34</v>
      </c>
    </row>
    <row customHeight="1" r="148" ht="12.0">
      <c t="s" s="35" r="A148">
        <v>146</v>
      </c>
      <c s="35" r="V148">
        <v>0.6</v>
      </c>
      <c s="35" r="Y148">
        <v>0.51</v>
      </c>
    </row>
    <row customHeight="1" r="149" ht="12.0">
      <c t="s" s="35" r="A149">
        <v>147</v>
      </c>
      <c s="35" r="V149">
        <v>11.09</v>
      </c>
      <c s="35" r="Y149">
        <v>12.21</v>
      </c>
    </row>
    <row customHeight="1" r="150" ht="12.0">
      <c t="s" s="35" r="A150">
        <v>148</v>
      </c>
      <c s="35" r="V150">
        <v>10.59</v>
      </c>
      <c s="35" r="Y150">
        <v>12.11</v>
      </c>
    </row>
    <row customHeight="1" r="151" ht="12.0">
      <c t="s" s="35" r="A151">
        <v>149</v>
      </c>
      <c s="35" r="V151">
        <v>9.72</v>
      </c>
      <c s="35" r="Y151">
        <v>9.48</v>
      </c>
    </row>
    <row customHeight="1" r="152" ht="12.0">
      <c t="s" s="35" r="A152">
        <v>150</v>
      </c>
      <c s="35" r="V152">
        <v>1.55</v>
      </c>
      <c s="35" r="Y152">
        <v>1.54</v>
      </c>
    </row>
    <row customHeight="1" r="153" ht="12.0">
      <c t="s" s="35" r="A153">
        <v>151</v>
      </c>
      <c s="35" r="V153">
        <v>13.33</v>
      </c>
      <c s="35" r="Y153">
        <v>13.31</v>
      </c>
    </row>
    <row customHeight="1" r="154" ht="12.0">
      <c t="s" s="35" r="A154">
        <v>152</v>
      </c>
      <c s="35" r="J154">
        <v>24.19</v>
      </c>
      <c s="35" r="V154">
        <v>15.19</v>
      </c>
      <c s="35" r="Y154">
        <v>14.94</v>
      </c>
    </row>
    <row customHeight="1" r="155" ht="12.0">
      <c t="s" s="35" r="A155">
        <v>153</v>
      </c>
      <c s="35" r="V155">
        <v>1.66</v>
      </c>
      <c s="35" r="Y155">
        <v>1.37</v>
      </c>
    </row>
    <row customHeight="1" r="156" ht="12.0">
      <c t="s" s="35" r="A156">
        <v>154</v>
      </c>
      <c s="35" r="V156">
        <v>0.5</v>
      </c>
      <c s="35" r="Y156">
        <v>0.5</v>
      </c>
    </row>
    <row customHeight="1" r="157" ht="12.0">
      <c t="s" s="35" r="A157">
        <v>155</v>
      </c>
      <c s="35" r="L157">
        <v>10</v>
      </c>
      <c s="35" r="V157">
        <v>9.46</v>
      </c>
      <c s="35" r="Y157">
        <v>10.16</v>
      </c>
    </row>
    <row customHeight="1" r="158" ht="12.0">
      <c t="s" s="35" r="A158">
        <v>156</v>
      </c>
      <c s="35" r="Y158">
        <v>19.15</v>
      </c>
    </row>
    <row customHeight="1" r="159" ht="12.0">
      <c t="s" s="35" r="A159">
        <v>157</v>
      </c>
      <c s="35" r="V159">
        <v>11.62</v>
      </c>
      <c s="35" r="Y159">
        <v>11.83</v>
      </c>
    </row>
    <row customHeight="1" r="160" ht="12.0">
      <c t="s" s="35" r="A160">
        <v>158</v>
      </c>
      <c s="35" r="V160">
        <v>0.79</v>
      </c>
      <c s="35" r="Y160">
        <v>0.81</v>
      </c>
    </row>
    <row customHeight="1" r="161" ht="12.0">
      <c t="s" s="35" r="A161">
        <v>159</v>
      </c>
      <c s="35" r="V161">
        <v>2.56</v>
      </c>
      <c s="35" r="Y161">
        <v>2.56</v>
      </c>
    </row>
    <row customHeight="1" r="162" ht="12.0">
      <c t="s" s="35" r="A162">
        <v>160</v>
      </c>
      <c s="35" r="V162">
        <v>6.09</v>
      </c>
      <c s="35" r="Y162">
        <v>6.56</v>
      </c>
    </row>
    <row customHeight="1" r="163" ht="12.0">
      <c t="s" s="35" r="A163">
        <v>161</v>
      </c>
      <c s="35" r="V163">
        <v>5.7</v>
      </c>
      <c s="35" r="Y163">
        <v>5.05</v>
      </c>
    </row>
    <row customHeight="1" r="164" ht="12.0">
      <c t="s" s="35" r="A164">
        <v>162</v>
      </c>
      <c s="35" r="M164">
        <v>8</v>
      </c>
      <c s="35" r="O164">
        <v>8.2</v>
      </c>
      <c s="35" r="Q164">
        <v>8.4</v>
      </c>
      <c s="35" r="R164">
        <v>9.1</v>
      </c>
      <c s="35" r="S164">
        <v>9.9</v>
      </c>
      <c s="35" r="T164">
        <v>10.2</v>
      </c>
      <c s="35" r="U164">
        <v>10.5</v>
      </c>
      <c s="35" r="V164">
        <v>10.1</v>
      </c>
      <c s="35" r="W164">
        <v>9.8</v>
      </c>
      <c s="35" r="X164">
        <v>9.8</v>
      </c>
      <c s="35" r="Y164">
        <v>9.5</v>
      </c>
    </row>
    <row customHeight="1" r="165" ht="12.0">
      <c t="s" s="35" r="A165">
        <v>163</v>
      </c>
      <c s="35" r="V165">
        <v>11.06</v>
      </c>
      <c s="35" r="Y165">
        <v>11.41</v>
      </c>
    </row>
    <row customHeight="1" r="166" ht="12.0">
      <c t="s" s="35" r="A166">
        <v>164</v>
      </c>
      <c s="35" r="V166">
        <v>1.43</v>
      </c>
      <c s="35" r="Y166">
        <v>1.49</v>
      </c>
    </row>
    <row customHeight="1" r="167" ht="12.0">
      <c t="s" s="35" r="A167">
        <v>165</v>
      </c>
      <c s="35" r="V167">
        <v>3.39</v>
      </c>
      <c s="35" r="Y167">
        <v>3.39</v>
      </c>
    </row>
    <row customHeight="1" r="168" ht="12.0">
      <c t="s" s="35" r="A168">
        <v>166</v>
      </c>
      <c s="35" r="V168">
        <v>6.75</v>
      </c>
      <c s="35" r="Y168">
        <v>7.86</v>
      </c>
    </row>
    <row customHeight="1" r="169" ht="12.0">
      <c t="s" s="35" r="A169">
        <v>167</v>
      </c>
      <c s="35" r="V169">
        <v>7.08</v>
      </c>
      <c s="35" r="Y169">
        <v>7.08</v>
      </c>
    </row>
    <row customHeight="1" r="170" ht="12.0">
      <c t="s" s="35" r="A170">
        <v>168</v>
      </c>
      <c s="35" r="V170">
        <v>0.86</v>
      </c>
      <c s="35" r="Y170">
        <v>0.74</v>
      </c>
    </row>
    <row customHeight="1" r="171" ht="12.0">
      <c t="s" s="35" r="A171">
        <v>169</v>
      </c>
      <c s="35" r="V171">
        <v>1.99</v>
      </c>
      <c s="35" r="Y171">
        <v>1.92</v>
      </c>
    </row>
    <row customHeight="1" r="172" ht="12.0">
      <c t="s" s="35" r="A172">
        <v>170</v>
      </c>
      <c s="35" r="V172">
        <v>3.78</v>
      </c>
      <c s="35" r="Y172">
        <v>3.92</v>
      </c>
    </row>
    <row customHeight="1" r="173" ht="12.0">
      <c t="s" s="35" r="A173">
        <v>171</v>
      </c>
      <c s="35" r="V173">
        <v>6.28</v>
      </c>
      <c s="35" r="Y173">
        <v>6.16</v>
      </c>
    </row>
    <row customHeight="1" r="174" ht="12.0">
      <c t="s" s="35" r="A174">
        <v>172</v>
      </c>
      <c s="35" r="V174">
        <v>1.29</v>
      </c>
      <c s="35" r="Y174">
        <v>1.05</v>
      </c>
    </row>
    <row customHeight="1" r="175" ht="12.0">
      <c t="s" s="35" r="A175">
        <v>173</v>
      </c>
      <c s="35" r="V175">
        <v>2.87</v>
      </c>
      <c s="35" r="Y175">
        <v>3.02</v>
      </c>
    </row>
    <row customHeight="1" r="176" ht="12.0">
      <c t="s" s="35" r="A176">
        <v>174</v>
      </c>
      <c s="35" r="V176">
        <v>4.63</v>
      </c>
      <c s="35" r="Y176">
        <v>5</v>
      </c>
    </row>
    <row customHeight="1" r="177" ht="12.0">
      <c t="s" s="35" r="A177">
        <v>175</v>
      </c>
      <c s="35" r="V177">
        <v>2.44</v>
      </c>
      <c s="35" r="Y177">
        <v>2.14</v>
      </c>
    </row>
    <row customHeight="1" r="178" ht="12.0">
      <c t="s" s="35" r="A178">
        <v>176</v>
      </c>
      <c s="35" r="V178">
        <v>11.93</v>
      </c>
      <c s="35" r="Y178">
        <v>16.4</v>
      </c>
    </row>
    <row customHeight="1" r="179" ht="12.0">
      <c t="s" s="35" r="A179">
        <v>177</v>
      </c>
      <c s="35" r="J179">
        <v>13</v>
      </c>
      <c s="35" r="V179">
        <v>15.6</v>
      </c>
      <c s="35" r="Y179">
        <v>17.47</v>
      </c>
    </row>
    <row customHeight="1" r="180" ht="12.0">
      <c t="s" s="35" r="A180">
        <v>178</v>
      </c>
      <c s="35" r="V180">
        <v>0.54</v>
      </c>
      <c s="35" r="Y180">
        <v>0.52</v>
      </c>
    </row>
    <row customHeight="1" r="181" ht="12.0">
      <c t="s" s="35" r="A181">
        <v>179</v>
      </c>
      <c s="35" r="V181">
        <v>13.37</v>
      </c>
      <c s="35" r="Y181">
        <v>13.24</v>
      </c>
    </row>
    <row customHeight="1" r="182" ht="12.0">
      <c t="s" s="35" r="A182">
        <v>180</v>
      </c>
      <c s="35" r="V182">
        <v>9.44</v>
      </c>
      <c s="35" r="Y182">
        <v>9.7</v>
      </c>
    </row>
    <row customHeight="1" r="183" ht="12.0">
      <c t="s" s="35" r="A183">
        <v>181</v>
      </c>
      <c s="35" r="V183">
        <v>8.14</v>
      </c>
      <c s="35" r="Y183">
        <v>8.99</v>
      </c>
    </row>
    <row customHeight="1" r="184" ht="12.0">
      <c t="s" s="35" r="A184">
        <v>182</v>
      </c>
      <c s="35" r="V184">
        <v>3.54</v>
      </c>
      <c s="35" r="Y184">
        <v>3.61</v>
      </c>
    </row>
    <row customHeight="1" r="185" ht="12.0">
      <c t="s" s="35" r="A185">
        <v>183</v>
      </c>
      <c s="35" r="V185">
        <v>0.93</v>
      </c>
      <c s="35" r="Y185">
        <v>0.96</v>
      </c>
    </row>
    <row customHeight="1" r="186" ht="12.0">
      <c t="s" s="35" r="A186">
        <v>184</v>
      </c>
      <c s="35" r="V186">
        <v>8.23</v>
      </c>
      <c s="35" r="Y186">
        <v>7.6</v>
      </c>
    </row>
    <row customHeight="1" r="187" ht="12.0">
      <c t="s" s="35" r="A187">
        <v>185</v>
      </c>
      <c s="35" r="V187">
        <v>3.77</v>
      </c>
      <c s="35" r="Y187">
        <v>3.91</v>
      </c>
    </row>
    <row customHeight="1" r="188" ht="12.0">
      <c t="s" s="35" r="A188">
        <v>186</v>
      </c>
      <c s="35" r="V188">
        <v>0.2</v>
      </c>
      <c s="35" r="Y188">
        <v>0.2</v>
      </c>
    </row>
    <row customHeight="1" r="189" ht="12.0">
      <c t="s" s="35" r="A189">
        <v>187</v>
      </c>
      <c s="35" r="V189">
        <v>3.85</v>
      </c>
      <c s="35" r="Y189">
        <v>3.56</v>
      </c>
    </row>
    <row customHeight="1" r="190" ht="12.0">
      <c t="s" s="35" r="A190">
        <v>188</v>
      </c>
      <c s="35" r="V190">
        <v>5.08</v>
      </c>
      <c s="35" r="Y190">
        <v>4.96</v>
      </c>
    </row>
  </sheetData>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8.86" defaultRowHeight="12.75"/>
  <cols>
    <col min="1" customWidth="1" max="1" width="0.57"/>
    <col min="2" customWidth="1" max="2" width="40.29"/>
    <col min="3" customWidth="1" max="3" width="83.57"/>
    <col min="4" customWidth="1" max="4" width="1.29"/>
    <col min="5" customWidth="1" max="6" width="-0.42"/>
  </cols>
  <sheetData>
    <row customHeight="1" r="1" ht="60.75">
      <c s="18" r="A1"/>
      <c t="str" s="4" r="B1">
        <f>C4</f>
        <v>Alcohol consumption per adult (15+), litres</v>
      </c>
      <c s="24" r="C1"/>
      <c s="33" r="D1"/>
      <c s="10" r="E1"/>
    </row>
    <row customHeight="1" r="2" ht="12.0">
      <c s="18" r="A2"/>
      <c s="8" r="B2"/>
      <c s="8" r="C2"/>
      <c s="33" r="D2"/>
      <c s="10" r="E2"/>
    </row>
    <row customHeight="1" r="3" ht="12.0">
      <c s="18" r="A3"/>
      <c t="s" s="27" r="B3">
        <v>189</v>
      </c>
      <c s="33" r="C3"/>
      <c s="33" r="D3"/>
      <c s="10" r="E3"/>
    </row>
    <row customHeight="1" r="4" ht="12.0">
      <c s="18" r="A4"/>
      <c t="s" s="8" r="B4">
        <v>190</v>
      </c>
      <c t="s" s="32" r="C4">
        <v>191</v>
      </c>
      <c s="33" r="D4"/>
      <c s="10" r="E4"/>
    </row>
    <row customHeight="1" r="5" ht="12.0">
      <c s="18" r="A5"/>
      <c t="s" s="8" r="B5">
        <v>192</v>
      </c>
      <c t="s" s="20" r="C5">
        <v>193</v>
      </c>
      <c s="33" r="D5"/>
      <c s="10" r="E5"/>
    </row>
    <row customHeight="1" r="6" ht="12.0">
      <c s="18" r="A6"/>
      <c t="s" s="8" r="B6">
        <v>194</v>
      </c>
      <c s="2" r="C6"/>
      <c s="33" r="D6"/>
      <c s="10" r="E6"/>
    </row>
    <row customHeight="1" r="7" ht="12.0">
      <c s="18" r="A7"/>
      <c s="27" r="B7"/>
      <c s="8" r="C7"/>
      <c s="8" r="D7"/>
      <c s="10" r="E7"/>
    </row>
    <row customHeight="1" r="8" ht="12.0">
      <c s="18" r="A8"/>
      <c t="s" s="25" r="B8">
        <v>195</v>
      </c>
      <c s="18" r="C8"/>
      <c s="18" r="D8"/>
      <c s="10" r="E8"/>
    </row>
    <row customHeight="1" r="9" ht="12.0">
      <c s="18" r="A9"/>
      <c t="s" s="18" r="B9">
        <v>196</v>
      </c>
      <c t="s" s="30" r="C9">
        <v>197</v>
      </c>
      <c s="18" r="D9"/>
      <c s="10" r="E9"/>
    </row>
    <row customHeight="1" r="10" ht="12.0">
      <c s="18" r="A10"/>
      <c s="18" r="B10"/>
      <c s="30" r="C10"/>
      <c s="18" r="D10"/>
      <c s="10" r="E10"/>
    </row>
    <row customHeight="1" r="11" ht="12.0">
      <c s="18" r="A11"/>
      <c t="s" s="18" r="B11">
        <v>198</v>
      </c>
      <c t="s" s="3" r="C11">
        <v>199</v>
      </c>
      <c s="18" r="D11"/>
      <c s="10" r="E11"/>
    </row>
    <row customHeight="1" r="12" ht="69.0">
      <c s="18" r="A12"/>
      <c t="s" s="16" r="B12">
        <v>200</v>
      </c>
      <c t="s" s="13" r="C12">
        <v>201</v>
      </c>
      <c s="18" r="D12"/>
      <c s="10" r="E12"/>
    </row>
    <row customHeight="1" r="13" ht="108.0">
      <c s="18" r="A13"/>
      <c t="s" s="16" r="B13">
        <v>202</v>
      </c>
      <c t="s" s="30" r="C13">
        <v>203</v>
      </c>
      <c s="18" r="D13"/>
      <c s="10" r="E13"/>
    </row>
    <row customHeight="1" r="14" ht="12.0">
      <c s="18" r="A14"/>
      <c t="s" s="18" r="B14">
        <v>204</v>
      </c>
      <c t="s" s="32" r="C14">
        <v>205</v>
      </c>
      <c s="18" r="D14"/>
      <c s="10" r="E14"/>
    </row>
    <row customHeight="1" r="15" ht="24.0">
      <c s="18" r="A15"/>
      <c s="18" r="B15"/>
      <c t="s" s="31" r="C15">
        <v>206</v>
      </c>
      <c s="18" r="D15"/>
      <c s="10" r="E15"/>
    </row>
    <row customHeight="1" r="16" ht="12.0">
      <c s="18" r="A16"/>
      <c s="18" r="B16"/>
      <c s="18" r="C16"/>
      <c s="18" r="D16"/>
      <c s="10" r="E16"/>
    </row>
    <row customHeight="1" r="17" ht="12.0">
      <c s="18" r="A17"/>
      <c t="s" s="25" r="B17">
        <v>207</v>
      </c>
      <c s="18" r="C17"/>
      <c s="18" r="D17"/>
      <c s="10" r="E17"/>
    </row>
    <row customHeight="1" r="18" ht="12.0">
      <c s="18" r="A18"/>
      <c t="s" s="18" r="B18">
        <v>208</v>
      </c>
      <c t="s" s="14" r="C18">
        <v>209</v>
      </c>
      <c s="18" r="D18"/>
      <c s="10" r="E18"/>
    </row>
    <row customHeight="1" r="19" ht="12.0">
      <c s="18" r="A19"/>
      <c t="s" s="18" r="B19">
        <v>210</v>
      </c>
      <c s="14" r="C19"/>
      <c s="18" r="D19"/>
      <c s="10" r="E19"/>
    </row>
    <row customHeight="1" r="20" ht="12.0">
      <c s="18" r="A20"/>
      <c s="18" r="B20"/>
      <c s="14" r="C20"/>
      <c s="18" r="D20"/>
      <c s="10" r="E20"/>
    </row>
    <row customHeight="1" r="21" ht="12.0">
      <c s="18" r="A21"/>
      <c s="18" r="B21"/>
      <c s="29" r="C21">
        <v>40973</v>
      </c>
      <c s="18" r="D21"/>
      <c s="10" r="E21"/>
    </row>
    <row customHeight="1" r="22" ht="12.0">
      <c s="18" r="A22"/>
      <c s="18" r="B22"/>
      <c s="14" r="C22"/>
      <c s="18" r="D22"/>
      <c s="10" r="E22"/>
    </row>
    <row customHeight="1" r="23" ht="12.0">
      <c s="18" r="A23"/>
      <c s="18" r="B23"/>
      <c s="14" r="C23"/>
      <c s="18" r="D23"/>
      <c s="10" r="E23"/>
    </row>
    <row customHeight="1" r="24" ht="12.0">
      <c s="18" r="A24"/>
      <c s="18" r="B24"/>
      <c s="14" r="C24"/>
      <c s="18" r="D24"/>
      <c s="10" r="E24"/>
    </row>
    <row customHeight="1" r="25" ht="12.0">
      <c s="18" r="A25"/>
      <c s="18" r="B25"/>
      <c s="14" r="C25"/>
      <c s="18" r="D25"/>
      <c s="10" r="E25"/>
    </row>
    <row customHeight="1" r="26" ht="12.0">
      <c s="18" r="A26"/>
      <c s="18" r="B26"/>
      <c s="18" r="C26"/>
      <c s="18" r="D26"/>
      <c s="10" r="E26"/>
    </row>
    <row customHeight="1" r="27" ht="12.0">
      <c s="18" r="A27"/>
      <c s="18" r="B27"/>
      <c s="18" r="C27"/>
      <c s="18" r="D27"/>
      <c s="10" r="E27"/>
    </row>
  </sheetData>
  <mergeCells count="1">
    <mergeCell ref="B1:C1"/>
  </mergeCell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8.86" defaultRowHeight="12.75"/>
  <cols>
    <col min="1" customWidth="1" max="1" width="16.86"/>
    <col min="2" customWidth="1" max="2" width="18.43"/>
    <col min="3" customWidth="1" max="3" width="83.29"/>
    <col min="4" customWidth="1" max="6" width="4.29"/>
  </cols>
  <sheetData>
    <row customHeight="1" r="1" ht="12.0">
      <c t="s" s="22" r="A1">
        <v>211</v>
      </c>
      <c t="s" s="22" r="B1">
        <v>212</v>
      </c>
      <c t="s" s="22" r="C1">
        <v>213</v>
      </c>
    </row>
    <row customHeight="1" r="2" ht="12.0">
      <c s="15" r="A2"/>
      <c s="15" r="B2"/>
      <c t="s" s="6" r="C2">
        <v>214</v>
      </c>
    </row>
  </sheetData>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8.86" defaultRowHeight="12.75"/>
  <cols>
    <col min="1" customWidth="1" max="1" width="15.0"/>
    <col min="2" customWidth="1" max="2" width="49.86"/>
    <col min="3" customWidth="1" max="3" width="0.43"/>
    <col min="4" customWidth="1" max="4" width="51.86"/>
  </cols>
  <sheetData>
    <row customHeight="1" r="1" ht="15.0">
      <c t="s" s="34" r="A1">
        <v>215</v>
      </c>
      <c s="17" r="B1"/>
      <c s="17" r="C1"/>
      <c s="24" r="D1"/>
      <c s="10" r="E1"/>
    </row>
    <row customHeight="1" r="2" ht="12.0">
      <c s="18" r="A2"/>
      <c s="18" r="B2"/>
      <c s="33" r="C2"/>
      <c s="9" r="D2"/>
      <c s="10" r="E2"/>
    </row>
    <row customHeight="1" r="3" ht="36.0">
      <c t="s" s="27" r="A3">
        <v>216</v>
      </c>
      <c t="s" s="2" r="B3">
        <v>217</v>
      </c>
      <c s="21" r="C3"/>
      <c t="s" s="7" r="D3">
        <v>218</v>
      </c>
      <c s="10" r="E3"/>
    </row>
    <row customHeight="1" r="4" ht="48.0">
      <c t="s" s="27" r="A4">
        <v>219</v>
      </c>
      <c t="s" s="3" r="B4">
        <v>199</v>
      </c>
      <c s="21" r="C4"/>
      <c t="s" s="7" r="D4">
        <v>220</v>
      </c>
      <c s="10" r="E4"/>
    </row>
    <row customHeight="1" r="5" ht="24.0">
      <c t="s" s="27" r="A5">
        <v>221</v>
      </c>
      <c t="s" s="2" r="B5">
        <v>222</v>
      </c>
      <c s="21" r="C5"/>
      <c t="s" s="7" r="D5">
        <v>223</v>
      </c>
      <c s="10" r="E5"/>
    </row>
    <row customHeight="1" r="6" ht="12.0">
      <c s="33" r="A6"/>
      <c s="33" r="B6"/>
      <c s="9" r="C6"/>
      <c s="9" r="D6"/>
      <c s="10" r="E6"/>
    </row>
    <row customHeight="1" r="7" ht="12.0">
      <c s="15" r="A7"/>
      <c s="15" r="B7"/>
      <c s="15" r="C7"/>
      <c s="15" r="D7"/>
    </row>
  </sheetData>
  <mergeCells count="1">
    <mergeCell ref="A1:D1"/>
  </mergeCell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8.86" defaultRowHeight="12.75"/>
  <cols>
    <col min="1" customWidth="1" max="1" width="0.86"/>
    <col min="2" customWidth="1" max="2" width="27.14"/>
    <col min="3" customWidth="1" max="3" width="83.57"/>
    <col min="4" customWidth="1" max="4" width="1.29"/>
    <col min="5" customWidth="1" max="6" width="-0.42"/>
  </cols>
  <sheetData>
    <row customHeight="1" r="1" ht="27.75">
      <c s="18" r="A1"/>
      <c t="s" s="12" r="B1">
        <v>224</v>
      </c>
      <c s="24" r="C1"/>
      <c s="33" r="D1"/>
      <c s="10" r="E1"/>
    </row>
    <row customHeight="1" r="2" ht="12.0">
      <c s="18" r="A2"/>
      <c s="8" r="B2"/>
      <c s="8" r="C2"/>
      <c s="33" r="D2"/>
      <c s="10" r="E2"/>
    </row>
    <row customHeight="1" r="3" ht="12.0">
      <c s="18" r="A3"/>
      <c t="s" s="5" r="B3">
        <v>225</v>
      </c>
      <c s="24" r="C3"/>
      <c s="33" r="D3"/>
      <c s="10" r="E3"/>
    </row>
    <row customHeight="1" r="4" ht="12.0">
      <c s="1" r="A4"/>
      <c t="s" s="19" r="B4">
        <v>226</v>
      </c>
      <c t="str" s="28" r="C4">
        <f>HYPERLINK((("http://spreadsheets.google.com/pub?key="&amp;A1)&amp;"&amp;output=xls"),"[Download xls]")</f>
        <v>[Download xls]</v>
      </c>
      <c s="26" r="D4"/>
      <c s="10" r="E4"/>
    </row>
    <row customHeight="1" r="5" ht="12.0">
      <c s="1" r="A5"/>
      <c t="s" s="19" r="B5">
        <v>227</v>
      </c>
      <c t="str" s="23" r="C5">
        <f>HYPERLINK((("http://spreadsheets.google.com/pub?key="&amp;A1)&amp;"&amp;output=ods"),"[Download ods]")</f>
        <v>[Download ods]</v>
      </c>
      <c s="26" r="D5"/>
      <c s="10" r="E5"/>
    </row>
    <row customHeight="1" r="6" ht="12.0">
      <c s="1" r="A6"/>
      <c t="s" s="19" r="B6">
        <v>228</v>
      </c>
      <c t="str" s="28" r="C6">
        <f>HYPERLINK((("http://spreadsheets.google.com/pub?key="&amp;A1)&amp;"&amp;output=pdf"),"[Download pdf]")</f>
        <v>[Download pdf]</v>
      </c>
      <c s="26" r="D6"/>
      <c s="10" r="E6"/>
    </row>
    <row customHeight="1" r="7" ht="12.0">
      <c s="1" r="A7"/>
      <c s="19" r="B7"/>
      <c s="19" r="C7"/>
      <c s="26" r="D7"/>
      <c s="10" r="E7"/>
    </row>
    <row customHeight="1" r="8" ht="12.0">
      <c s="18" r="A8"/>
      <c s="8" r="B8"/>
      <c s="8" r="C8"/>
      <c s="33" r="D8"/>
      <c s="10" r="E8"/>
    </row>
    <row customHeight="1" r="9" ht="12.0">
      <c s="15" r="A9"/>
      <c s="15" r="B9"/>
      <c s="15" r="C9"/>
      <c s="15" r="D9"/>
    </row>
    <row customHeight="1" r="10" ht="14.25"/>
  </sheetData>
  <mergeCells count="2">
    <mergeCell ref="B1:C1"/>
    <mergeCell ref="B3:C3"/>
  </mergeCell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8.86" defaultRowHeight="12.75"/>
  <cols>
    <col min="1" customWidth="1" max="2" width="14.29"/>
    <col min="3" customWidth="1" max="6" width="4.29"/>
  </cols>
  <sheetData>
    <row customHeight="1" r="1" ht="24.0">
      <c t="s" s="11" r="A1">
        <v>229</v>
      </c>
      <c t="s" s="11" r="B1">
        <v>230</v>
      </c>
    </row>
  </sheetData>
</worksheet>
</file>