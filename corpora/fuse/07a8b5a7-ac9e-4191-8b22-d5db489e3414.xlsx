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455" yWindow="0" windowWidth="8790" windowHeight="11490"/>
  </bookViews>
  <sheets>
    <sheet name="CVC by Year and Quarter" sheetId="1" r:id="rId1"/>
    <sheet name="Corporate VC Sectors" sheetId="5" r:id="rId2"/>
    <sheet name="Clean Tech &amp; Corporate VC" sheetId="6" r:id="rId3"/>
  </sheets>
  <externalReferences>
    <externalReference r:id="rId4"/>
  </externalReferences>
  <definedNames>
    <definedName name="million">'[1]Total US by Qtr &amp; Year'!$A$3</definedName>
    <definedName name="_xlnm.Print_Area" localSheetId="0">'CVC by Year and Quarter'!$A$1:$I$50</definedName>
  </definedNames>
  <calcPr calcId="125725"/>
</workbook>
</file>

<file path=xl/calcChain.xml><?xml version="1.0" encoding="utf-8"?>
<calcChain xmlns="http://schemas.openxmlformats.org/spreadsheetml/2006/main">
  <c r="E13" i="6"/>
  <c r="E14"/>
  <c r="E15" s="1"/>
  <c r="B14"/>
  <c r="B13"/>
  <c r="E6"/>
  <c r="B6"/>
  <c r="C8" s="1"/>
  <c r="F20" i="5"/>
  <c r="F19"/>
  <c r="F18"/>
  <c r="F17"/>
  <c r="F16"/>
  <c r="F15"/>
  <c r="F14"/>
  <c r="F13"/>
  <c r="F12"/>
  <c r="F11"/>
  <c r="F10"/>
  <c r="F9"/>
  <c r="F8"/>
  <c r="F7"/>
  <c r="F6"/>
  <c r="F5"/>
  <c r="F4"/>
  <c r="C20"/>
  <c r="C19"/>
  <c r="C18"/>
  <c r="C17"/>
  <c r="C16"/>
  <c r="C15"/>
  <c r="C14"/>
  <c r="C13"/>
  <c r="C12"/>
  <c r="C11"/>
  <c r="C10"/>
  <c r="C9"/>
  <c r="C8"/>
  <c r="C7"/>
  <c r="C6"/>
  <c r="C5"/>
  <c r="C4"/>
  <c r="D35" i="1"/>
  <c r="D38"/>
  <c r="F48"/>
  <c r="E48"/>
  <c r="F47"/>
  <c r="E47"/>
  <c r="F46"/>
  <c r="E46"/>
  <c r="F45"/>
  <c r="E45"/>
  <c r="F44"/>
  <c r="E44"/>
  <c r="F43"/>
  <c r="E43"/>
  <c r="F42"/>
  <c r="E42"/>
  <c r="F41"/>
  <c r="E41"/>
  <c r="F40"/>
  <c r="E40"/>
  <c r="F39"/>
  <c r="E39"/>
  <c r="F38"/>
  <c r="E38"/>
  <c r="F37"/>
  <c r="E37"/>
  <c r="F36"/>
  <c r="E36"/>
  <c r="F35"/>
  <c r="E35"/>
  <c r="F34"/>
  <c r="E34"/>
  <c r="F33"/>
  <c r="E33"/>
  <c r="F32"/>
  <c r="E32"/>
  <c r="F31"/>
  <c r="E31"/>
  <c r="F30"/>
  <c r="E30"/>
  <c r="F29"/>
  <c r="E29"/>
  <c r="F28"/>
  <c r="E28"/>
  <c r="F27"/>
  <c r="E27"/>
  <c r="F20"/>
  <c r="F19"/>
  <c r="F18"/>
  <c r="F17"/>
  <c r="F16"/>
  <c r="F15"/>
  <c r="F14"/>
  <c r="F13"/>
  <c r="F12"/>
  <c r="F11"/>
  <c r="F10"/>
  <c r="F9"/>
  <c r="F8"/>
  <c r="F7"/>
  <c r="F6"/>
  <c r="F5"/>
  <c r="F4"/>
  <c r="F3"/>
  <c r="E20"/>
  <c r="E19"/>
  <c r="E18"/>
  <c r="E17"/>
  <c r="E16"/>
  <c r="E15"/>
  <c r="E14"/>
  <c r="E13"/>
  <c r="E12"/>
  <c r="E11"/>
  <c r="E10"/>
  <c r="E9"/>
  <c r="E8"/>
  <c r="E7"/>
  <c r="E6"/>
  <c r="E5"/>
  <c r="E4"/>
  <c r="E3"/>
  <c r="I48"/>
  <c r="D48"/>
  <c r="B15" i="6"/>
  <c r="A14"/>
  <c r="J20" i="5"/>
  <c r="J19"/>
  <c r="J18"/>
  <c r="J17"/>
  <c r="J16"/>
  <c r="J15"/>
  <c r="J14"/>
  <c r="J13"/>
  <c r="J12"/>
  <c r="J11"/>
  <c r="J10"/>
  <c r="J9"/>
  <c r="J8"/>
  <c r="J7"/>
  <c r="J6"/>
  <c r="J5"/>
  <c r="J4"/>
  <c r="I20"/>
  <c r="I19"/>
  <c r="I18"/>
  <c r="I17"/>
  <c r="I16"/>
  <c r="I15"/>
  <c r="I14"/>
  <c r="I13"/>
  <c r="I12"/>
  <c r="I11"/>
  <c r="I10"/>
  <c r="I9"/>
  <c r="I8"/>
  <c r="I7"/>
  <c r="I6"/>
  <c r="I5"/>
  <c r="I4"/>
  <c r="I47" i="1"/>
  <c r="D47"/>
  <c r="I20"/>
  <c r="D20"/>
  <c r="I46"/>
  <c r="D46"/>
  <c r="F8" i="6"/>
  <c r="I45" i="1"/>
  <c r="D45"/>
  <c r="D44"/>
  <c r="I44"/>
  <c r="D8" i="6"/>
  <c r="D7"/>
  <c r="I43" i="1"/>
  <c r="D43"/>
  <c r="G21" i="5"/>
  <c r="H21" s="1"/>
  <c r="E21"/>
  <c r="D21"/>
  <c r="J21" s="1"/>
  <c r="B21"/>
  <c r="I19" i="1"/>
  <c r="D19"/>
  <c r="D18"/>
  <c r="I42"/>
  <c r="I41"/>
  <c r="I40"/>
  <c r="I39"/>
  <c r="I38"/>
  <c r="I37"/>
  <c r="I36"/>
  <c r="I35"/>
  <c r="I34"/>
  <c r="I33"/>
  <c r="I32"/>
  <c r="I31"/>
  <c r="I30"/>
  <c r="I29"/>
  <c r="I28"/>
  <c r="I27"/>
  <c r="D42"/>
  <c r="D41"/>
  <c r="D40"/>
  <c r="D39"/>
  <c r="D37"/>
  <c r="D36"/>
  <c r="D34"/>
  <c r="D33"/>
  <c r="D32"/>
  <c r="D31"/>
  <c r="D30"/>
  <c r="D29"/>
  <c r="D28"/>
  <c r="D27"/>
  <c r="I18"/>
  <c r="I17"/>
  <c r="I16"/>
  <c r="I15"/>
  <c r="I14"/>
  <c r="I13"/>
  <c r="I12"/>
  <c r="I11"/>
  <c r="I10"/>
  <c r="I9"/>
  <c r="I8"/>
  <c r="I7"/>
  <c r="I6"/>
  <c r="I5"/>
  <c r="I4"/>
  <c r="I3"/>
  <c r="D17"/>
  <c r="D16"/>
  <c r="D15"/>
  <c r="D14"/>
  <c r="D13"/>
  <c r="D12"/>
  <c r="D11"/>
  <c r="D10"/>
  <c r="D9"/>
  <c r="D8"/>
  <c r="D7"/>
  <c r="D6"/>
  <c r="D5"/>
  <c r="D4"/>
  <c r="D3"/>
  <c r="F21" i="5" l="1"/>
  <c r="H4"/>
  <c r="C21"/>
  <c r="I21"/>
  <c r="H6"/>
  <c r="H8"/>
  <c r="H10"/>
  <c r="H12"/>
  <c r="H14"/>
  <c r="H16"/>
  <c r="H18"/>
  <c r="H20"/>
  <c r="H5"/>
  <c r="H7"/>
  <c r="H9"/>
  <c r="H11"/>
  <c r="H13"/>
  <c r="H15"/>
  <c r="H17"/>
  <c r="H19"/>
  <c r="C7" i="6"/>
  <c r="C6"/>
  <c r="G8"/>
  <c r="G7"/>
  <c r="F6"/>
  <c r="F7"/>
</calcChain>
</file>

<file path=xl/sharedStrings.xml><?xml version="1.0" encoding="utf-8"?>
<sst xmlns="http://schemas.openxmlformats.org/spreadsheetml/2006/main" count="111" uniqueCount="98">
  <si>
    <t>Year</t>
  </si>
  <si>
    <t>Count of All Venture Capital Deals</t>
  </si>
  <si>
    <t>Number of Deals with CVC Involvement</t>
  </si>
  <si>
    <t>Calculated Percentage of Deals with Corporate VC Involvement</t>
  </si>
  <si>
    <t>$M Average Amount of CVC Participation</t>
  </si>
  <si>
    <t>Total VC Investment $M</t>
  </si>
  <si>
    <t>Total CVC Investment $M</t>
  </si>
  <si>
    <t>Calculated Percentage of Dollars Coming from CVCs</t>
  </si>
  <si>
    <t>$M Average Amount of All VC Deals</t>
  </si>
  <si>
    <t>Source:  PricewaterhouseCoopers/National Venture Capital Association MoneyTree™ Report, Data:  Thomson Reuters</t>
  </si>
  <si>
    <t>Recent Quarters</t>
  </si>
  <si>
    <t>1995</t>
  </si>
  <si>
    <t>1996</t>
  </si>
  <si>
    <t>1997</t>
  </si>
  <si>
    <t>1998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</si>
  <si>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</si>
  <si>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</si>
  <si>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</si>
  <si>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</si>
  <si>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</si>
  <si>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</si>
  <si>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</si>
  <si>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</si>
  <si>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</si>
  <si>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MoneyTree Sector</t>
  </si>
  <si>
    <t>Total # Sector Deals</t>
  </si>
  <si>
    <t>Average $M Per Deal</t>
  </si>
  <si>
    <t># Deals with CVC Participation</t>
  </si>
  <si>
    <t>Avg. CVC investment in Those Rounds Participated In</t>
  </si>
  <si>
    <t>$ CVC Investment</t>
  </si>
  <si>
    <t>Biotechnology</t>
  </si>
  <si>
    <t>Business Products and Services</t>
  </si>
  <si>
    <t>Computers and Peripherals</t>
  </si>
  <si>
    <t>Consumer Products and Services</t>
  </si>
  <si>
    <t>Electronics/Instrumentation</t>
  </si>
  <si>
    <t>Financial Services</t>
  </si>
  <si>
    <t>Healthcare Services</t>
  </si>
  <si>
    <t>Industrial/Energy</t>
  </si>
  <si>
    <t>IT Services</t>
  </si>
  <si>
    <t>Media and Entertainment</t>
  </si>
  <si>
    <t>Medical Devices and Equipment</t>
  </si>
  <si>
    <t>Networking and Equipment</t>
  </si>
  <si>
    <t>Retailing/Distribution</t>
  </si>
  <si>
    <t>Semiconductors</t>
  </si>
  <si>
    <t>Software</t>
  </si>
  <si>
    <t>Telecommunications</t>
  </si>
  <si>
    <t>Other</t>
  </si>
  <si>
    <t>Total $M Invested in that Sector by All VC Types</t>
  </si>
  <si>
    <t>1999</t>
  </si>
  <si>
    <t>2000</t>
  </si>
  <si>
    <t>2010</t>
  </si>
  <si>
    <t>All sectors - US Venture Capital</t>
  </si>
  <si>
    <t>Total # Deals</t>
  </si>
  <si>
    <t>% of Total Deals</t>
  </si>
  <si>
    <t>$M Invested</t>
  </si>
  <si>
    <t>% of Total Investment</t>
  </si>
  <si>
    <t xml:space="preserve">  </t>
  </si>
  <si>
    <t>% of Clean Tech deals</t>
  </si>
  <si>
    <t>% of Clean Tech $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</si>
  <si>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</si>
  <si>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</si>
  <si>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</si>
  <si>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</si>
  <si>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</si>
  <si>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</si>
  <si>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</si>
  <si>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</si>
  <si>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</si>
  <si>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</si>
  <si>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</si>
  <si>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</si>
  <si>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</si>
  <si>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</si>
  <si>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</si>
  <si>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</si>
  <si>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</si>
  <si>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</si>
  <si>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</si>
  <si>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% of CVC Investment $</t>
  </si>
  <si>
    <t>Q4 2011</t>
  </si>
  <si>
    <t>Q1 2012</t>
  </si>
  <si>
    <t>% of Deals with CVC Involvement</t>
  </si>
  <si>
    <t>CVC % of $ In Sector</t>
  </si>
  <si>
    <t>Clean Technology Deals Only</t>
  </si>
  <si>
    <t>Corporate VC Investment Deals  in Clean Technology companies</t>
  </si>
  <si>
    <t>Total Corporate VC Investment</t>
  </si>
  <si>
    <t>Chart #1</t>
  </si>
  <si>
    <t>Chart #2</t>
  </si>
  <si>
    <t># Deals</t>
  </si>
  <si>
    <t>% of Total CVC Investment Going to Clean Tech</t>
  </si>
  <si>
    <t>Corporate Venture Capital Group Investment Analysis 1995 Through Q2 2012</t>
  </si>
  <si>
    <t>01/01/2011-06/30/2012</t>
  </si>
  <si>
    <t>Total Venture Capital and Corporate Venture Capital by Sector  - Last 6 Quarters</t>
  </si>
  <si>
    <t>Total Venture Capital and Corporate Venture Capital in Clean Tech Deals - Most Recent 6 Quarters</t>
  </si>
  <si>
    <t>01/01/2011- 06/30/2012</t>
  </si>
  <si>
    <t>Recent Quarterly Investment</t>
  </si>
  <si>
    <t>1H 2012</t>
  </si>
  <si>
    <t>Q2 2012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</si>
</sst>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43" formatCode="_(* #,##0.00_);_(* \(#,##0.00\);_(* &quot;-&quot;??_);_(@_)"/>
    <numFmt numFmtId="164" formatCode="0.0%"/>
    <numFmt numFmtId="165" formatCode="#,##0.0"/>
    <numFmt numFmtId="166" formatCode="&quot;$&quot;#,##0.00"/>
    <numFmt numFmtId="167" formatCode="_(* #,##0_);_(* \(#,##0\);_(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u val="doubleAccounting"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</font>
    <font>
      <u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9"/>
      </patternFill>
    </fill>
    <fill>
      <patternFill patternType="solid">
        <fgColor indexed="47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9"/>
      </patternFill>
    </fill>
    <fill>
      <patternFill patternType="solid">
        <fgColor rgb="FF92D050"/>
        <bgColor indexed="9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 applyNumberFormat="0" applyBorder="0" applyAlignment="0" applyProtection="0">
      <alignment vertical="top"/>
      <protection locked="0"/>
    </xf>
    <xf numFmtId="0" fontId="5" fillId="0" borderId="0" applyNumberFormat="0" applyBorder="0" applyAlignment="0" applyProtection="0">
      <alignment vertical="top"/>
      <protection locked="0"/>
    </xf>
    <xf numFmtId="0" fontId="5" fillId="0" borderId="0" applyNumberFormat="0" applyBorder="0" applyAlignment="0" applyProtection="0">
      <alignment vertical="top"/>
      <protection locked="0"/>
    </xf>
    <xf numFmtId="0" fontId="9" fillId="0" borderId="0"/>
    <xf numFmtId="0" fontId="4" fillId="0" borderId="0"/>
    <xf numFmtId="43" fontId="4" fillId="0" borderId="0" applyFont="0" applyFill="0" applyBorder="0" applyAlignment="0" applyProtection="0"/>
  </cellStyleXfs>
  <cellXfs count="118">
    <xf numFmtId="0" fontId="0" fillId="0" borderId="0" xfId="0" applyFont="1">
      <alignment vertical="top"/>
      <protection locked="0"/>
    </xf>
    <xf numFmtId="0" fontId="2" fillId="0" borderId="0" xfId="1" applyFont="1" applyAlignment="1">
      <alignment horizontal="left"/>
      <protection locked="0"/>
    </xf>
    <xf numFmtId="0" fontId="0" fillId="0" borderId="0" xfId="1" applyFont="1" applyAlignment="1">
      <alignment horizontal="left" vertical="top" wrapText="1"/>
      <protection locked="0"/>
    </xf>
    <xf numFmtId="0" fontId="0" fillId="0" borderId="0" xfId="1" applyFont="1">
      <alignment vertical="top"/>
      <protection locked="0"/>
    </xf>
    <xf numFmtId="0" fontId="2" fillId="0" borderId="1" xfId="1" applyFont="1" applyBorder="1" applyAlignment="1">
      <alignment horizontal="center" wrapText="1"/>
      <protection locked="0"/>
    </xf>
    <xf numFmtId="0" fontId="3" fillId="0" borderId="0" xfId="1" applyFont="1" applyAlignment="1">
      <alignment horizontal="left" vertical="top"/>
      <protection locked="0"/>
    </xf>
    <xf numFmtId="0" fontId="5" fillId="0" borderId="0" xfId="1" applyFont="1">
      <alignment vertical="top"/>
      <protection locked="0"/>
    </xf>
    <xf numFmtId="0" fontId="1" fillId="0" borderId="0" xfId="1" applyFont="1" applyAlignment="1">
      <alignment horizontal="left" vertical="top" wrapText="1"/>
      <protection locked="0"/>
    </xf>
    <xf numFmtId="0" fontId="2" fillId="2" borderId="1" xfId="1" applyFont="1" applyFill="1" applyBorder="1" applyAlignment="1">
      <alignment horizontal="center" wrapText="1"/>
      <protection locked="0"/>
    </xf>
    <xf numFmtId="166" fontId="4" fillId="3" borderId="0" xfId="1" applyNumberFormat="1" applyFont="1" applyFill="1" applyBorder="1" applyAlignment="1" applyProtection="1"/>
    <xf numFmtId="0" fontId="7" fillId="0" borderId="0" xfId="1" applyFont="1" applyAlignment="1">
      <alignment horizontal="left" vertical="top" wrapText="1"/>
      <protection locked="0"/>
    </xf>
    <xf numFmtId="0" fontId="7" fillId="0" borderId="0" xfId="1" applyFont="1">
      <alignment vertical="top"/>
      <protection locked="0"/>
    </xf>
    <xf numFmtId="0" fontId="0" fillId="0" borderId="0" xfId="0" applyAlignment="1" applyProtection="1"/>
    <xf numFmtId="0" fontId="8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center" wrapText="1"/>
    </xf>
    <xf numFmtId="167" fontId="0" fillId="0" borderId="0" xfId="1" applyNumberFormat="1" applyFont="1" applyAlignment="1" applyProtection="1"/>
    <xf numFmtId="43" fontId="4" fillId="0" borderId="0" xfId="1" applyNumberFormat="1" applyFont="1" applyFill="1" applyBorder="1" applyAlignment="1" applyProtection="1">
      <alignment horizontal="right"/>
    </xf>
    <xf numFmtId="0" fontId="5" fillId="0" borderId="0" xfId="0" applyFont="1">
      <alignment vertical="top"/>
      <protection locked="0"/>
    </xf>
    <xf numFmtId="165" fontId="5" fillId="0" borderId="0" xfId="1" applyNumberFormat="1">
      <alignment vertical="top"/>
      <protection locked="0"/>
    </xf>
    <xf numFmtId="10" fontId="5" fillId="0" borderId="0" xfId="2" applyNumberFormat="1" applyBorder="1" applyAlignment="1" applyProtection="1">
      <alignment horizontal="right"/>
    </xf>
    <xf numFmtId="0" fontId="8" fillId="4" borderId="0" xfId="0" applyNumberFormat="1" applyFont="1" applyFill="1" applyBorder="1" applyAlignment="1" applyProtection="1">
      <alignment horizontal="center" wrapText="1"/>
    </xf>
    <xf numFmtId="167" fontId="0" fillId="4" borderId="0" xfId="1" applyNumberFormat="1" applyFont="1" applyFill="1" applyAlignment="1" applyProtection="1"/>
    <xf numFmtId="0" fontId="0" fillId="0" borderId="0" xfId="0" applyFont="1" applyFill="1">
      <alignment vertical="top"/>
      <protection locked="0"/>
    </xf>
    <xf numFmtId="167" fontId="0" fillId="0" borderId="0" xfId="1" applyNumberFormat="1" applyFont="1" applyFill="1" applyAlignment="1" applyProtection="1"/>
    <xf numFmtId="164" fontId="5" fillId="0" borderId="0" xfId="2" applyNumberFormat="1" applyBorder="1" applyAlignment="1" applyProtection="1">
      <alignment horizontal="right"/>
    </xf>
    <xf numFmtId="164" fontId="5" fillId="0" borderId="0" xfId="2" applyNumberFormat="1" applyFill="1" applyBorder="1" applyAlignment="1" applyProtection="1">
      <alignment horizontal="right"/>
    </xf>
    <xf numFmtId="164" fontId="4" fillId="0" borderId="0" xfId="1" applyNumberFormat="1" applyFont="1" applyFill="1" applyBorder="1" applyAlignment="1" applyProtection="1">
      <alignment horizontal="right"/>
    </xf>
    <xf numFmtId="0" fontId="4" fillId="0" borderId="0" xfId="4" applyFont="1"/>
    <xf numFmtId="166" fontId="5" fillId="0" borderId="0" xfId="1" applyNumberFormat="1" applyBorder="1" applyAlignment="1" applyProtection="1">
      <alignment horizontal="right"/>
    </xf>
    <xf numFmtId="166" fontId="5" fillId="0" borderId="0" xfId="1" applyNumberFormat="1">
      <alignment vertical="top"/>
      <protection locked="0"/>
    </xf>
    <xf numFmtId="0" fontId="4" fillId="0" borderId="0" xfId="4"/>
    <xf numFmtId="4" fontId="4" fillId="0" borderId="0" xfId="4" applyNumberFormat="1" applyFont="1" applyFill="1" applyBorder="1" applyAlignment="1" applyProtection="1">
      <alignment horizontal="right"/>
    </xf>
    <xf numFmtId="4" fontId="4" fillId="0" borderId="0" xfId="4" applyNumberFormat="1" applyFont="1" applyFill="1" applyBorder="1" applyAlignment="1" applyProtection="1">
      <alignment horizontal="right"/>
    </xf>
    <xf numFmtId="0" fontId="4" fillId="0" borderId="0" xfId="4"/>
    <xf numFmtId="4" fontId="4" fillId="0" borderId="0" xfId="4" applyNumberFormat="1" applyFont="1" applyFill="1" applyBorder="1" applyAlignment="1" applyProtection="1">
      <alignment horizontal="right"/>
    </xf>
    <xf numFmtId="4" fontId="4" fillId="0" borderId="0" xfId="4" applyNumberFormat="1" applyFont="1" applyFill="1" applyBorder="1" applyAlignment="1" applyProtection="1">
      <alignment horizontal="right"/>
    </xf>
    <xf numFmtId="0" fontId="5" fillId="0" borderId="0" xfId="1" applyFont="1" applyAlignment="1">
      <alignment horizontal="left" vertical="top" wrapText="1"/>
      <protection locked="0"/>
    </xf>
    <xf numFmtId="0" fontId="4" fillId="0" borderId="0" xfId="4"/>
    <xf numFmtId="0" fontId="2" fillId="0" borderId="0" xfId="0" applyFont="1">
      <alignment vertical="top"/>
      <protection locked="0"/>
    </xf>
    <xf numFmtId="0" fontId="2" fillId="0" borderId="0" xfId="0" quotePrefix="1" applyFont="1">
      <alignment vertical="top"/>
      <protection locked="0"/>
    </xf>
    <xf numFmtId="4" fontId="5" fillId="0" borderId="0" xfId="1" applyNumberFormat="1" applyAlignment="1" applyProtection="1"/>
    <xf numFmtId="166" fontId="10" fillId="0" borderId="0" xfId="1" applyNumberFormat="1" applyFont="1" applyBorder="1" applyAlignment="1" applyProtection="1">
      <alignment horizontal="right"/>
    </xf>
    <xf numFmtId="4" fontId="10" fillId="0" borderId="0" xfId="1" applyNumberFormat="1" applyFont="1" applyAlignment="1" applyProtection="1"/>
    <xf numFmtId="8" fontId="4" fillId="4" borderId="0" xfId="1" applyNumberFormat="1" applyFont="1" applyFill="1" applyBorder="1" applyAlignment="1" applyProtection="1">
      <alignment horizontal="right"/>
    </xf>
    <xf numFmtId="8" fontId="4" fillId="4" borderId="0" xfId="1" quotePrefix="1" applyNumberFormat="1" applyFont="1" applyFill="1" applyBorder="1" applyAlignment="1" applyProtection="1">
      <alignment horizontal="right"/>
    </xf>
    <xf numFmtId="0" fontId="3" fillId="0" borderId="0" xfId="1" applyFont="1" applyFill="1" applyAlignment="1">
      <alignment horizontal="left" vertical="top"/>
      <protection locked="0"/>
    </xf>
    <xf numFmtId="0" fontId="0" fillId="0" borderId="0" xfId="0" applyFill="1" applyAlignment="1" applyProtection="1"/>
    <xf numFmtId="164" fontId="0" fillId="0" borderId="0" xfId="1" applyNumberFormat="1" applyFont="1" applyFill="1">
      <alignment vertical="top"/>
      <protection locked="0"/>
    </xf>
    <xf numFmtId="166" fontId="4" fillId="0" borderId="0" xfId="1" applyNumberFormat="1" applyFont="1" applyFill="1" applyBorder="1" applyAlignment="1" applyProtection="1"/>
    <xf numFmtId="165" fontId="5" fillId="0" borderId="0" xfId="1" applyNumberFormat="1" applyFill="1" applyBorder="1" applyAlignment="1" applyProtection="1">
      <alignment horizontal="right"/>
    </xf>
    <xf numFmtId="0" fontId="7" fillId="0" borderId="0" xfId="1" applyFont="1" applyFill="1">
      <alignment vertical="top"/>
      <protection locked="0"/>
    </xf>
    <xf numFmtId="0" fontId="7" fillId="0" borderId="0" xfId="1" applyFont="1" applyFill="1" applyAlignment="1">
      <alignment horizontal="left" vertical="top" wrapText="1"/>
      <protection locked="0"/>
    </xf>
    <xf numFmtId="0" fontId="1" fillId="0" borderId="0" xfId="1" applyFont="1" applyFill="1" applyAlignment="1">
      <alignment horizontal="left" vertical="top" wrapText="1"/>
      <protection locked="0"/>
    </xf>
    <xf numFmtId="3" fontId="6" fillId="0" borderId="0" xfId="1" applyNumberFormat="1" applyFont="1" applyFill="1" applyAlignment="1" applyProtection="1"/>
    <xf numFmtId="164" fontId="6" fillId="0" borderId="0" xfId="1" applyNumberFormat="1" applyFont="1" applyFill="1" applyAlignment="1" applyProtection="1"/>
    <xf numFmtId="166" fontId="6" fillId="0" borderId="0" xfId="1" applyNumberFormat="1" applyFont="1" applyFill="1" applyAlignment="1" applyProtection="1"/>
    <xf numFmtId="165" fontId="5" fillId="0" borderId="0" xfId="1" applyNumberFormat="1" applyFill="1" applyBorder="1" applyAlignment="1" applyProtection="1"/>
    <xf numFmtId="164" fontId="6" fillId="0" borderId="0" xfId="1" applyNumberFormat="1" applyFont="1" applyFill="1">
      <alignment vertical="top"/>
      <protection locked="0"/>
    </xf>
    <xf numFmtId="0" fontId="6" fillId="0" borderId="0" xfId="1" applyFont="1" applyFill="1">
      <alignment vertical="top"/>
      <protection locked="0"/>
    </xf>
    <xf numFmtId="0" fontId="2" fillId="4" borderId="0" xfId="0" quotePrefix="1" applyFont="1" applyFill="1">
      <alignment vertical="top"/>
      <protection locked="0"/>
    </xf>
    <xf numFmtId="0" fontId="5" fillId="0" borderId="0" xfId="1" applyFont="1" applyFill="1" applyAlignment="1">
      <alignment horizontal="left" vertical="top" wrapText="1"/>
      <protection locked="0"/>
    </xf>
    <xf numFmtId="3" fontId="0" fillId="0" borderId="0" xfId="1" applyNumberFormat="1" applyFont="1" applyFill="1" applyAlignment="1" applyProtection="1"/>
    <xf numFmtId="0" fontId="4" fillId="0" borderId="0" xfId="4" applyFill="1"/>
    <xf numFmtId="0" fontId="9" fillId="0" borderId="0" xfId="3"/>
    <xf numFmtId="3" fontId="5" fillId="0" borderId="0" xfId="1" applyNumberFormat="1" applyAlignment="1" applyProtection="1"/>
    <xf numFmtId="3" fontId="5" fillId="0" borderId="0" xfId="1" applyNumberFormat="1">
      <alignment vertical="top"/>
      <protection locked="0"/>
    </xf>
    <xf numFmtId="0" fontId="8" fillId="5" borderId="0" xfId="0" applyNumberFormat="1" applyFont="1" applyFill="1" applyBorder="1" applyAlignment="1" applyProtection="1">
      <alignment horizontal="center" wrapText="1"/>
    </xf>
    <xf numFmtId="164" fontId="5" fillId="5" borderId="0" xfId="2" applyNumberFormat="1" applyFill="1">
      <alignment vertical="top"/>
      <protection locked="0"/>
    </xf>
    <xf numFmtId="164" fontId="10" fillId="5" borderId="0" xfId="2" applyNumberFormat="1" applyFont="1" applyFill="1">
      <alignment vertical="top"/>
      <protection locked="0"/>
    </xf>
    <xf numFmtId="0" fontId="8" fillId="6" borderId="0" xfId="0" applyNumberFormat="1" applyFont="1" applyFill="1" applyBorder="1" applyAlignment="1" applyProtection="1">
      <alignment horizontal="center" wrapText="1"/>
    </xf>
    <xf numFmtId="0" fontId="8" fillId="7" borderId="0" xfId="0" applyNumberFormat="1" applyFont="1" applyFill="1" applyBorder="1" applyAlignment="1" applyProtection="1">
      <alignment horizontal="center" wrapText="1"/>
    </xf>
    <xf numFmtId="164" fontId="5" fillId="7" borderId="0" xfId="2" applyNumberFormat="1" applyFill="1">
      <alignment vertical="top"/>
      <protection locked="0"/>
    </xf>
    <xf numFmtId="164" fontId="10" fillId="7" borderId="0" xfId="2" applyNumberFormat="1" applyFont="1" applyFill="1">
      <alignment vertical="top"/>
      <protection locked="0"/>
    </xf>
    <xf numFmtId="0" fontId="5" fillId="0" borderId="0" xfId="0" applyFont="1" applyAlignment="1" applyProtection="1"/>
    <xf numFmtId="0" fontId="0" fillId="0" borderId="0" xfId="0" applyFont="1" applyAlignment="1" applyProtection="1"/>
    <xf numFmtId="167" fontId="0" fillId="7" borderId="0" xfId="1" applyNumberFormat="1" applyFont="1" applyFill="1" applyAlignment="1" applyProtection="1"/>
    <xf numFmtId="164" fontId="5" fillId="7" borderId="0" xfId="2" applyNumberFormat="1" applyFill="1" applyBorder="1" applyAlignment="1" applyProtection="1">
      <alignment horizontal="right"/>
    </xf>
    <xf numFmtId="8" fontId="4" fillId="0" borderId="0" xfId="1" applyNumberFormat="1" applyFont="1" applyFill="1" applyBorder="1" applyAlignment="1" applyProtection="1">
      <alignment horizontal="right"/>
    </xf>
    <xf numFmtId="0" fontId="2" fillId="7" borderId="0" xfId="0" applyNumberFormat="1" applyFont="1" applyFill="1" applyBorder="1" applyAlignment="1" applyProtection="1">
      <alignment horizontal="center" wrapText="1"/>
    </xf>
    <xf numFmtId="8" fontId="5" fillId="7" borderId="0" xfId="1" applyNumberFormat="1" applyFont="1" applyFill="1" applyBorder="1" applyAlignment="1" applyProtection="1">
      <alignment horizontal="right"/>
    </xf>
    <xf numFmtId="164" fontId="5" fillId="7" borderId="0" xfId="2" applyNumberFormat="1" applyFont="1" applyFill="1" applyBorder="1" applyAlignment="1" applyProtection="1">
      <alignment horizontal="right"/>
    </xf>
    <xf numFmtId="0" fontId="2" fillId="0" borderId="0" xfId="1" applyFont="1" applyFill="1" applyAlignment="1">
      <alignment horizontal="left" vertical="top"/>
      <protection locked="0"/>
    </xf>
    <xf numFmtId="0" fontId="2" fillId="8" borderId="1" xfId="1" applyFont="1" applyFill="1" applyBorder="1" applyAlignment="1">
      <alignment horizontal="center" wrapText="1"/>
      <protection locked="0"/>
    </xf>
    <xf numFmtId="0" fontId="2" fillId="10" borderId="1" xfId="1" applyFont="1" applyFill="1" applyBorder="1" applyAlignment="1">
      <alignment horizontal="center" wrapText="1"/>
      <protection locked="0"/>
    </xf>
    <xf numFmtId="165" fontId="4" fillId="5" borderId="0" xfId="4" applyNumberFormat="1" applyFont="1" applyFill="1" applyBorder="1" applyAlignment="1" applyProtection="1">
      <alignment horizontal="right"/>
    </xf>
    <xf numFmtId="165" fontId="5" fillId="5" borderId="0" xfId="1" applyNumberFormat="1" applyFill="1" applyBorder="1" applyAlignment="1" applyProtection="1">
      <alignment horizontal="right"/>
    </xf>
    <xf numFmtId="164" fontId="0" fillId="10" borderId="0" xfId="1" applyNumberFormat="1" applyFont="1" applyFill="1">
      <alignment vertical="top"/>
      <protection locked="0"/>
    </xf>
    <xf numFmtId="3" fontId="0" fillId="9" borderId="0" xfId="1" applyNumberFormat="1" applyFont="1" applyFill="1" applyAlignment="1" applyProtection="1"/>
    <xf numFmtId="3" fontId="4" fillId="9" borderId="0" xfId="4" applyNumberFormat="1" applyFont="1" applyFill="1" applyBorder="1" applyAlignment="1" applyProtection="1">
      <alignment wrapText="1"/>
    </xf>
    <xf numFmtId="164" fontId="0" fillId="8" borderId="0" xfId="1" applyNumberFormat="1" applyFont="1" applyFill="1">
      <alignment vertical="top"/>
      <protection locked="0"/>
    </xf>
    <xf numFmtId="0" fontId="2" fillId="11" borderId="1" xfId="1" applyFont="1" applyFill="1" applyBorder="1" applyAlignment="1">
      <alignment horizontal="center" wrapText="1"/>
      <protection locked="0"/>
    </xf>
    <xf numFmtId="3" fontId="0" fillId="12" borderId="0" xfId="1" applyNumberFormat="1" applyFont="1" applyFill="1" applyAlignment="1" applyProtection="1"/>
    <xf numFmtId="167" fontId="4" fillId="12" borderId="0" xfId="5" applyNumberFormat="1" applyFont="1" applyFill="1"/>
    <xf numFmtId="164" fontId="0" fillId="11" borderId="0" xfId="1" applyNumberFormat="1" applyFont="1" applyFill="1">
      <alignment vertical="top"/>
      <protection locked="0"/>
    </xf>
    <xf numFmtId="3" fontId="1" fillId="12" borderId="0" xfId="1" applyNumberFormat="1" applyFont="1" applyFill="1" applyAlignment="1" applyProtection="1"/>
    <xf numFmtId="3" fontId="5" fillId="12" borderId="0" xfId="1" applyNumberFormat="1" applyFont="1" applyFill="1" applyAlignment="1" applyProtection="1"/>
    <xf numFmtId="0" fontId="5" fillId="12" borderId="0" xfId="1" applyFont="1" applyFill="1" applyAlignment="1" applyProtection="1"/>
    <xf numFmtId="0" fontId="7" fillId="12" borderId="0" xfId="1" applyFont="1" applyFill="1" applyAlignment="1" applyProtection="1"/>
    <xf numFmtId="164" fontId="7" fillId="11" borderId="0" xfId="1" applyNumberFormat="1" applyFont="1" applyFill="1">
      <alignment vertical="top"/>
      <protection locked="0"/>
    </xf>
    <xf numFmtId="3" fontId="7" fillId="12" borderId="0" xfId="1" applyNumberFormat="1" applyFont="1" applyFill="1" applyAlignment="1" applyProtection="1"/>
    <xf numFmtId="164" fontId="5" fillId="11" borderId="0" xfId="1" applyNumberFormat="1" applyFont="1" applyFill="1">
      <alignment vertical="top"/>
      <protection locked="0"/>
    </xf>
    <xf numFmtId="165" fontId="5" fillId="5" borderId="1" xfId="1" applyNumberFormat="1" applyFill="1" applyBorder="1" applyAlignment="1">
      <alignment horizontal="center" wrapText="1"/>
      <protection locked="0"/>
    </xf>
    <xf numFmtId="165" fontId="5" fillId="5" borderId="0" xfId="1" applyNumberFormat="1" applyFill="1" applyBorder="1" applyAlignment="1" applyProtection="1"/>
    <xf numFmtId="164" fontId="7" fillId="10" borderId="0" xfId="1" applyNumberFormat="1" applyFont="1" applyFill="1">
      <alignment vertical="top"/>
      <protection locked="0"/>
    </xf>
    <xf numFmtId="165" fontId="5" fillId="5" borderId="0" xfId="1" applyNumberFormat="1" applyFill="1" applyAlignment="1" applyProtection="1"/>
    <xf numFmtId="164" fontId="5" fillId="10" borderId="0" xfId="1" applyNumberFormat="1" applyFont="1" applyFill="1">
      <alignment vertical="top"/>
      <protection locked="0"/>
    </xf>
    <xf numFmtId="165" fontId="5" fillId="5" borderId="0" xfId="1" applyNumberFormat="1" applyFont="1" applyFill="1" applyAlignment="1" applyProtection="1"/>
    <xf numFmtId="165" fontId="5" fillId="5" borderId="0" xfId="1" applyNumberFormat="1" applyFill="1">
      <alignment vertical="top"/>
      <protection locked="0"/>
    </xf>
    <xf numFmtId="3" fontId="5" fillId="6" borderId="0" xfId="1" applyNumberFormat="1" applyFill="1" applyAlignment="1" applyProtection="1"/>
    <xf numFmtId="166" fontId="5" fillId="6" borderId="0" xfId="1" applyNumberFormat="1" applyFill="1" applyBorder="1" applyAlignment="1" applyProtection="1">
      <alignment horizontal="right"/>
    </xf>
    <xf numFmtId="4" fontId="5" fillId="6" borderId="0" xfId="1" applyNumberFormat="1" applyFill="1" applyAlignment="1" applyProtection="1"/>
    <xf numFmtId="4" fontId="10" fillId="6" borderId="0" xfId="1" applyNumberFormat="1" applyFont="1" applyFill="1" applyAlignment="1" applyProtection="1"/>
    <xf numFmtId="0" fontId="8" fillId="9" borderId="0" xfId="0" applyNumberFormat="1" applyFont="1" applyFill="1" applyBorder="1" applyAlignment="1" applyProtection="1">
      <alignment horizontal="center" wrapText="1"/>
    </xf>
    <xf numFmtId="164" fontId="5" fillId="9" borderId="0" xfId="2" applyNumberFormat="1" applyFill="1">
      <alignment vertical="top"/>
      <protection locked="0"/>
    </xf>
    <xf numFmtId="164" fontId="10" fillId="9" borderId="0" xfId="2" applyNumberFormat="1" applyFont="1" applyFill="1">
      <alignment vertical="top"/>
      <protection locked="0"/>
    </xf>
    <xf numFmtId="3" fontId="10" fillId="0" borderId="0" xfId="1" applyNumberFormat="1" applyFont="1" applyAlignment="1" applyProtection="1"/>
    <xf numFmtId="3" fontId="10" fillId="6" borderId="0" xfId="1" applyNumberFormat="1" applyFont="1" applyFill="1" applyAlignment="1" applyProtection="1"/>
    <xf numFmtId="166" fontId="10" fillId="6" borderId="0" xfId="1" applyNumberFormat="1" applyFont="1" applyFill="1" applyBorder="1" applyAlignment="1" applyProtection="1">
      <alignment horizontal="right"/>
    </xf>
  </cellXfs>
  <cellStyles count="6">
    <cellStyle name="Comma" xfId="1" builtinId="3"/>
    <cellStyle name="Comma 2" xfId="5"/>
    <cellStyle name="Normal" xfId="0" builtinId="0"/>
    <cellStyle name="Normal 2" xfId="3"/>
    <cellStyle name="Normal 3" xfId="4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VCA%20Local/MoneyTree%202008%20Q4/xxxJST%20scratchpad%20NatlAggSpreadsheetQ4_200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US by Qtr &amp; Year"/>
      <sheetName val="by Stage of Dev"/>
      <sheetName val="by Industry"/>
      <sheetName val="Internet-Specific"/>
      <sheetName val="Cleantech"/>
      <sheetName val="First Sequence by Stage of Dev"/>
      <sheetName val="First Sequence by Industry"/>
    </sheetNames>
    <sheetDataSet>
      <sheetData sheetId="0">
        <row r="3">
          <cell r="A3">
            <v>1000000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0"/>
  <sheetViews>
    <sheetView tabSelected="1" showOutlineSymbols="0" zoomScale="130" zoomScaleNormal="130" workbookViewId="0">
      <selection activeCell="E48" sqref="E48"/>
    </sheetView>
  </sheetViews>
  <sheetFormatPr defaultRowHeight="12.75"/>
  <cols>
    <col min="1" max="9" width="13" customWidth="1"/>
  </cols>
  <sheetData>
    <row r="1" spans="1:14">
      <c r="A1" s="1" t="s">
        <v>90</v>
      </c>
      <c r="B1" s="3"/>
      <c r="C1" s="3"/>
      <c r="E1" s="3"/>
      <c r="F1" s="3"/>
      <c r="G1" s="3"/>
      <c r="H1" s="3"/>
    </row>
    <row r="2" spans="1:14" ht="76.5">
      <c r="A2" s="4" t="s">
        <v>0</v>
      </c>
      <c r="B2" s="82" t="s">
        <v>1</v>
      </c>
      <c r="C2" s="82" t="s">
        <v>2</v>
      </c>
      <c r="D2" s="82" t="s">
        <v>3</v>
      </c>
      <c r="E2" s="8" t="s">
        <v>8</v>
      </c>
      <c r="F2" s="8" t="s">
        <v>4</v>
      </c>
      <c r="G2" s="83" t="s">
        <v>5</v>
      </c>
      <c r="H2" s="83" t="s">
        <v>6</v>
      </c>
      <c r="I2" s="83" t="s">
        <v>7</v>
      </c>
    </row>
    <row r="3" spans="1:14">
      <c r="A3" s="2" t="s">
        <v>11</v>
      </c>
      <c r="B3" s="87">
        <v>1897</v>
      </c>
      <c r="C3" s="88">
        <v>146</v>
      </c>
      <c r="D3" s="89">
        <f t="shared" ref="D3:D17" si="0">C3/B3</f>
        <v>7.6963626779124938E-2</v>
      </c>
      <c r="E3" s="9">
        <f>G3/B3</f>
        <v>4.2177656299420132</v>
      </c>
      <c r="F3" s="9">
        <f>H3/C3</f>
        <v>2.9965753424657535</v>
      </c>
      <c r="G3" s="84">
        <v>8001.1013999999996</v>
      </c>
      <c r="H3" s="85">
        <v>437.5</v>
      </c>
      <c r="I3" s="86">
        <f t="shared" ref="I3:I20" si="1">H3/G3</f>
        <v>5.4679971934863868E-2</v>
      </c>
      <c r="L3" s="33"/>
      <c r="M3" s="35"/>
      <c r="N3" s="34"/>
    </row>
    <row r="4" spans="1:14">
      <c r="A4" s="2" t="s">
        <v>12</v>
      </c>
      <c r="B4" s="87">
        <v>2639</v>
      </c>
      <c r="C4" s="88">
        <v>228</v>
      </c>
      <c r="D4" s="89">
        <f t="shared" si="0"/>
        <v>8.6396362258431225E-2</v>
      </c>
      <c r="E4" s="9">
        <f t="shared" ref="E4:E20" si="2">G4/B4</f>
        <v>4.3013414550966278</v>
      </c>
      <c r="F4" s="9">
        <f t="shared" ref="F4:F20" si="3">H4/C4</f>
        <v>3.0052631578947371</v>
      </c>
      <c r="G4" s="84">
        <v>11351.240100000001</v>
      </c>
      <c r="H4" s="85">
        <v>685.2</v>
      </c>
      <c r="I4" s="86">
        <f t="shared" si="1"/>
        <v>6.0363448747771623E-2</v>
      </c>
      <c r="L4" s="33"/>
      <c r="M4" s="35"/>
      <c r="N4" s="34"/>
    </row>
    <row r="5" spans="1:14">
      <c r="A5" s="2" t="s">
        <v>13</v>
      </c>
      <c r="B5" s="87">
        <v>3225</v>
      </c>
      <c r="C5" s="88">
        <v>352</v>
      </c>
      <c r="D5" s="89">
        <f t="shared" si="0"/>
        <v>0.10914728682170542</v>
      </c>
      <c r="E5" s="9">
        <f t="shared" si="2"/>
        <v>4.6253051782945738</v>
      </c>
      <c r="F5" s="9">
        <f t="shared" si="3"/>
        <v>2.7167613636363637</v>
      </c>
      <c r="G5" s="84">
        <v>14916.609200000001</v>
      </c>
      <c r="H5" s="85">
        <v>956.3</v>
      </c>
      <c r="I5" s="86">
        <f t="shared" si="1"/>
        <v>6.4109744190388784E-2</v>
      </c>
      <c r="L5" s="33"/>
      <c r="M5" s="35"/>
      <c r="N5" s="34"/>
    </row>
    <row r="6" spans="1:14">
      <c r="A6" s="2" t="s">
        <v>14</v>
      </c>
      <c r="B6" s="87">
        <v>3727</v>
      </c>
      <c r="C6" s="88">
        <v>505</v>
      </c>
      <c r="D6" s="89">
        <f t="shared" si="0"/>
        <v>0.13549771934531796</v>
      </c>
      <c r="E6" s="9">
        <f t="shared" si="2"/>
        <v>5.6940619264824264</v>
      </c>
      <c r="F6" s="9">
        <f t="shared" si="3"/>
        <v>3.3586138613861385</v>
      </c>
      <c r="G6" s="84">
        <v>21221.768800000002</v>
      </c>
      <c r="H6" s="85">
        <v>1696.1</v>
      </c>
      <c r="I6" s="86">
        <f t="shared" si="1"/>
        <v>7.9922649991361686E-2</v>
      </c>
      <c r="L6" s="33"/>
      <c r="M6" s="35"/>
      <c r="N6" s="34"/>
    </row>
    <row r="7" spans="1:14">
      <c r="A7" s="2" t="s">
        <v>48</v>
      </c>
      <c r="B7" s="87">
        <v>5597</v>
      </c>
      <c r="C7" s="88">
        <v>1210</v>
      </c>
      <c r="D7" s="89">
        <f t="shared" si="0"/>
        <v>0.21618724316598179</v>
      </c>
      <c r="E7" s="9">
        <f t="shared" si="2"/>
        <v>9.7690826871538334</v>
      </c>
      <c r="F7" s="9">
        <f t="shared" si="3"/>
        <v>6.0776859504132235</v>
      </c>
      <c r="G7" s="84">
        <v>54677.555800000002</v>
      </c>
      <c r="H7" s="85">
        <v>7354</v>
      </c>
      <c r="I7" s="86">
        <f t="shared" si="1"/>
        <v>0.1344975994702382</v>
      </c>
      <c r="L7" s="33"/>
      <c r="M7" s="35"/>
      <c r="N7" s="34"/>
    </row>
    <row r="8" spans="1:14">
      <c r="A8" s="2" t="s">
        <v>49</v>
      </c>
      <c r="B8" s="87">
        <v>8033</v>
      </c>
      <c r="C8" s="88">
        <v>2002</v>
      </c>
      <c r="D8" s="89">
        <f t="shared" si="0"/>
        <v>0.24922195941740322</v>
      </c>
      <c r="E8" s="9">
        <f t="shared" si="2"/>
        <v>13.095932553217976</v>
      </c>
      <c r="F8" s="9">
        <f t="shared" si="3"/>
        <v>7.5714785214785216</v>
      </c>
      <c r="G8" s="84">
        <v>105199.6262</v>
      </c>
      <c r="H8" s="85">
        <v>15158.1</v>
      </c>
      <c r="I8" s="86">
        <f t="shared" si="1"/>
        <v>0.14408891502316004</v>
      </c>
      <c r="L8" s="33"/>
      <c r="M8" s="35"/>
      <c r="N8" s="34"/>
    </row>
    <row r="9" spans="1:14">
      <c r="A9" s="2" t="s">
        <v>15</v>
      </c>
      <c r="B9" s="87">
        <v>4587</v>
      </c>
      <c r="C9" s="88">
        <v>974</v>
      </c>
      <c r="D9" s="89">
        <f t="shared" si="0"/>
        <v>0.21233921953346413</v>
      </c>
      <c r="E9" s="9">
        <f t="shared" si="2"/>
        <v>8.9403157837366471</v>
      </c>
      <c r="F9" s="9">
        <f t="shared" si="3"/>
        <v>4.7248459958932241</v>
      </c>
      <c r="G9" s="84">
        <v>41009.228499999997</v>
      </c>
      <c r="H9" s="85">
        <v>4602</v>
      </c>
      <c r="I9" s="86">
        <f t="shared" si="1"/>
        <v>0.11221864366455955</v>
      </c>
      <c r="L9" s="33"/>
      <c r="M9" s="35"/>
      <c r="N9" s="34"/>
    </row>
    <row r="10" spans="1:14">
      <c r="A10" s="2" t="s">
        <v>16</v>
      </c>
      <c r="B10" s="87">
        <v>3202</v>
      </c>
      <c r="C10" s="88">
        <v>569</v>
      </c>
      <c r="D10" s="89">
        <f t="shared" si="0"/>
        <v>0.17770143660212367</v>
      </c>
      <c r="E10" s="9">
        <f t="shared" si="2"/>
        <v>6.9378254840724543</v>
      </c>
      <c r="F10" s="9">
        <f t="shared" si="3"/>
        <v>3.4376098418277681</v>
      </c>
      <c r="G10" s="84">
        <v>22214.9172</v>
      </c>
      <c r="H10" s="85">
        <v>1956</v>
      </c>
      <c r="I10" s="86">
        <f t="shared" si="1"/>
        <v>8.8048943977157831E-2</v>
      </c>
      <c r="L10" s="33"/>
      <c r="M10" s="35"/>
      <c r="N10" s="34"/>
    </row>
    <row r="11" spans="1:14">
      <c r="A11" s="2" t="s">
        <v>17</v>
      </c>
      <c r="B11" s="87">
        <v>3009</v>
      </c>
      <c r="C11" s="88">
        <v>454</v>
      </c>
      <c r="D11" s="89">
        <f t="shared" si="0"/>
        <v>0.15088069125955467</v>
      </c>
      <c r="E11" s="9">
        <f t="shared" si="2"/>
        <v>6.5321149883682281</v>
      </c>
      <c r="F11" s="9">
        <f t="shared" si="3"/>
        <v>2.8350220264317181</v>
      </c>
      <c r="G11" s="84">
        <v>19655.133999999998</v>
      </c>
      <c r="H11" s="85">
        <v>1287.0999999999999</v>
      </c>
      <c r="I11" s="86">
        <f t="shared" si="1"/>
        <v>6.5484163069048529E-2</v>
      </c>
      <c r="L11" s="33"/>
      <c r="M11" s="35"/>
      <c r="N11" s="34"/>
    </row>
    <row r="12" spans="1:14">
      <c r="A12" s="2" t="s">
        <v>18</v>
      </c>
      <c r="B12" s="87">
        <v>3199</v>
      </c>
      <c r="C12" s="88">
        <v>529</v>
      </c>
      <c r="D12" s="89">
        <f t="shared" si="0"/>
        <v>0.16536417630509534</v>
      </c>
      <c r="E12" s="9">
        <f t="shared" si="2"/>
        <v>7.2629819005939353</v>
      </c>
      <c r="F12" s="9">
        <f t="shared" si="3"/>
        <v>2.947826086956522</v>
      </c>
      <c r="G12" s="84">
        <v>23234.2791</v>
      </c>
      <c r="H12" s="85">
        <v>1559.4</v>
      </c>
      <c r="I12" s="86">
        <f t="shared" si="1"/>
        <v>6.7116349652526996E-2</v>
      </c>
      <c r="L12" s="33"/>
      <c r="M12" s="35"/>
      <c r="N12" s="34"/>
    </row>
    <row r="13" spans="1:14">
      <c r="A13" s="2" t="s">
        <v>19</v>
      </c>
      <c r="B13" s="87">
        <v>3285</v>
      </c>
      <c r="C13" s="88">
        <v>540</v>
      </c>
      <c r="D13" s="89">
        <f t="shared" si="0"/>
        <v>0.16438356164383561</v>
      </c>
      <c r="E13" s="9">
        <f t="shared" si="2"/>
        <v>7.1810407914764083</v>
      </c>
      <c r="F13" s="9">
        <f t="shared" si="3"/>
        <v>2.911111111111111</v>
      </c>
      <c r="G13" s="84">
        <v>23589.719000000001</v>
      </c>
      <c r="H13" s="85">
        <v>1572</v>
      </c>
      <c r="I13" s="86">
        <f t="shared" si="1"/>
        <v>6.6639199898905113E-2</v>
      </c>
      <c r="L13" s="33"/>
      <c r="M13" s="35"/>
      <c r="N13" s="34"/>
    </row>
    <row r="14" spans="1:14">
      <c r="A14" s="2" t="s">
        <v>20</v>
      </c>
      <c r="B14" s="87">
        <v>3859</v>
      </c>
      <c r="C14" s="88">
        <v>638</v>
      </c>
      <c r="D14" s="89">
        <f t="shared" si="0"/>
        <v>0.16532780513086293</v>
      </c>
      <c r="E14" s="9">
        <f t="shared" si="2"/>
        <v>7.1401395439232962</v>
      </c>
      <c r="F14" s="9">
        <f t="shared" si="3"/>
        <v>3.2141065830721001</v>
      </c>
      <c r="G14" s="84">
        <v>27553.798500000001</v>
      </c>
      <c r="H14" s="85">
        <v>2050.6</v>
      </c>
      <c r="I14" s="86">
        <f t="shared" si="1"/>
        <v>7.4421680916335359E-2</v>
      </c>
      <c r="L14" s="33"/>
      <c r="M14" s="35"/>
      <c r="N14" s="34"/>
    </row>
    <row r="15" spans="1:14">
      <c r="A15" s="2" t="s">
        <v>21</v>
      </c>
      <c r="B15" s="87">
        <v>4182</v>
      </c>
      <c r="C15" s="88">
        <v>773</v>
      </c>
      <c r="D15" s="89">
        <f t="shared" si="0"/>
        <v>0.18483978957436634</v>
      </c>
      <c r="E15" s="9">
        <f t="shared" si="2"/>
        <v>7.6428394787183169</v>
      </c>
      <c r="F15" s="9">
        <f t="shared" si="3"/>
        <v>3.4038809831824062</v>
      </c>
      <c r="G15" s="84">
        <v>31962.3547</v>
      </c>
      <c r="H15" s="85">
        <v>2631.2</v>
      </c>
      <c r="I15" s="86">
        <f t="shared" si="1"/>
        <v>8.2321844704389066E-2</v>
      </c>
      <c r="L15" s="33"/>
      <c r="M15" s="35"/>
      <c r="N15" s="34"/>
    </row>
    <row r="16" spans="1:14" s="6" customFormat="1">
      <c r="A16" s="7" t="s">
        <v>22</v>
      </c>
      <c r="B16" s="87">
        <v>4155</v>
      </c>
      <c r="C16" s="88">
        <v>829</v>
      </c>
      <c r="D16" s="89">
        <f t="shared" si="0"/>
        <v>0.19951865222623347</v>
      </c>
      <c r="E16" s="9">
        <f t="shared" si="2"/>
        <v>7.228906185318893</v>
      </c>
      <c r="F16" s="9">
        <f t="shared" si="3"/>
        <v>2.9007237635705669</v>
      </c>
      <c r="G16" s="84">
        <v>30036.105200000002</v>
      </c>
      <c r="H16" s="85">
        <v>2404.6999999999998</v>
      </c>
      <c r="I16" s="86">
        <f t="shared" si="1"/>
        <v>8.0060313545579131E-2</v>
      </c>
      <c r="L16" s="33"/>
      <c r="M16" s="35"/>
      <c r="N16" s="34"/>
    </row>
    <row r="17" spans="1:14" s="11" customFormat="1">
      <c r="A17" s="10" t="s">
        <v>23</v>
      </c>
      <c r="B17" s="87">
        <v>3110</v>
      </c>
      <c r="C17" s="88">
        <v>385</v>
      </c>
      <c r="D17" s="89">
        <f t="shared" si="0"/>
        <v>0.12379421221864952</v>
      </c>
      <c r="E17" s="9">
        <f t="shared" si="2"/>
        <v>6.4828075562700969</v>
      </c>
      <c r="F17" s="9">
        <f t="shared" si="3"/>
        <v>3.5161038961038962</v>
      </c>
      <c r="G17" s="84">
        <v>20161.531500000001</v>
      </c>
      <c r="H17" s="85">
        <v>1353.7</v>
      </c>
      <c r="I17" s="86">
        <f t="shared" si="1"/>
        <v>6.7142716811964404E-2</v>
      </c>
      <c r="L17" s="33"/>
      <c r="M17" s="35"/>
      <c r="N17" s="34"/>
    </row>
    <row r="18" spans="1:14" s="11" customFormat="1">
      <c r="A18" s="10" t="s">
        <v>50</v>
      </c>
      <c r="B18" s="87">
        <v>3598</v>
      </c>
      <c r="C18" s="88">
        <v>464</v>
      </c>
      <c r="D18" s="89">
        <f>C18/B18</f>
        <v>0.12896053362979434</v>
      </c>
      <c r="E18" s="9">
        <f t="shared" si="2"/>
        <v>6.4989192329071708</v>
      </c>
      <c r="F18" s="9">
        <f t="shared" si="3"/>
        <v>4.0853448275862068</v>
      </c>
      <c r="G18" s="84">
        <v>23383.111400000002</v>
      </c>
      <c r="H18" s="85">
        <v>1895.6</v>
      </c>
      <c r="I18" s="86">
        <f t="shared" si="1"/>
        <v>8.1067055943632879E-2</v>
      </c>
      <c r="L18" s="33"/>
      <c r="M18" s="35"/>
      <c r="N18" s="34"/>
    </row>
    <row r="19" spans="1:14" s="11" customFormat="1">
      <c r="A19" s="36">
        <v>2011</v>
      </c>
      <c r="B19" s="87">
        <v>3838</v>
      </c>
      <c r="C19" s="88">
        <v>565</v>
      </c>
      <c r="D19" s="89">
        <f>C19/B19</f>
        <v>0.14721208963001564</v>
      </c>
      <c r="E19" s="9">
        <f t="shared" si="2"/>
        <v>7.6977655810317875</v>
      </c>
      <c r="F19" s="9">
        <f t="shared" si="3"/>
        <v>4.0088495575221241</v>
      </c>
      <c r="G19" s="84">
        <v>29544.024300000001</v>
      </c>
      <c r="H19" s="85">
        <v>2265</v>
      </c>
      <c r="I19" s="86">
        <f t="shared" si="1"/>
        <v>7.666524969653507E-2</v>
      </c>
      <c r="L19" s="33"/>
      <c r="M19" s="35"/>
      <c r="N19" s="34"/>
    </row>
    <row r="20" spans="1:14" s="11" customFormat="1">
      <c r="A20" s="36" t="s">
        <v>96</v>
      </c>
      <c r="B20" s="87">
        <v>1719</v>
      </c>
      <c r="C20" s="88">
        <v>280</v>
      </c>
      <c r="D20" s="89">
        <f>C20/B20</f>
        <v>0.16288539848749273</v>
      </c>
      <c r="E20" s="9">
        <f t="shared" si="2"/>
        <v>7.6699433973240261</v>
      </c>
      <c r="F20" s="9">
        <f t="shared" si="3"/>
        <v>3.6667857142857145</v>
      </c>
      <c r="G20" s="84">
        <v>13184.6327</v>
      </c>
      <c r="H20" s="85">
        <v>1026.7</v>
      </c>
      <c r="I20" s="86">
        <f t="shared" si="1"/>
        <v>7.7870959575536761E-2</v>
      </c>
      <c r="L20" s="37"/>
      <c r="M20" s="35"/>
      <c r="N20" s="35"/>
    </row>
    <row r="21" spans="1:14" s="50" customFormat="1">
      <c r="A21" s="60"/>
      <c r="B21" s="61"/>
      <c r="C21" s="61"/>
      <c r="D21" s="47"/>
      <c r="E21" s="48"/>
      <c r="F21" s="48"/>
      <c r="G21" s="49"/>
      <c r="H21" s="49"/>
      <c r="I21" s="47"/>
      <c r="L21" s="62"/>
      <c r="M21" s="35"/>
      <c r="N21" s="35"/>
    </row>
    <row r="22" spans="1:14" s="50" customFormat="1">
      <c r="A22" s="45" t="s">
        <v>9</v>
      </c>
      <c r="B22" s="46"/>
      <c r="C22" s="46"/>
      <c r="D22" s="47"/>
      <c r="E22" s="48"/>
      <c r="F22" s="48"/>
      <c r="G22" s="49"/>
      <c r="H22" s="49"/>
      <c r="I22" s="47"/>
    </row>
    <row r="23" spans="1:14" s="50" customFormat="1">
      <c r="A23" s="51"/>
      <c r="B23" s="46"/>
      <c r="C23" s="46"/>
      <c r="D23" s="47"/>
      <c r="E23" s="48"/>
      <c r="F23" s="48"/>
      <c r="G23" s="49"/>
      <c r="H23" s="49"/>
      <c r="I23" s="47"/>
    </row>
    <row r="24" spans="1:14" s="58" customFormat="1" ht="15">
      <c r="A24" s="52"/>
      <c r="B24" s="53"/>
      <c r="C24" s="53"/>
      <c r="D24" s="54"/>
      <c r="E24" s="55"/>
      <c r="F24" s="55"/>
      <c r="G24" s="56"/>
      <c r="H24" s="56"/>
      <c r="I24" s="57"/>
    </row>
    <row r="25" spans="1:14">
      <c r="A25" s="81" t="s">
        <v>95</v>
      </c>
      <c r="B25" s="2"/>
      <c r="C25" s="3"/>
      <c r="E25" s="3"/>
      <c r="F25" s="3"/>
      <c r="G25" s="18"/>
      <c r="H25" s="18"/>
    </row>
    <row r="26" spans="1:14" ht="76.5">
      <c r="A26" s="4" t="s">
        <v>10</v>
      </c>
      <c r="B26" s="90" t="s">
        <v>1</v>
      </c>
      <c r="C26" s="90" t="s">
        <v>2</v>
      </c>
      <c r="D26" s="90" t="s">
        <v>3</v>
      </c>
      <c r="E26" s="8" t="s">
        <v>8</v>
      </c>
      <c r="F26" s="8" t="s">
        <v>4</v>
      </c>
      <c r="G26" s="101" t="s">
        <v>5</v>
      </c>
      <c r="H26" s="101" t="s">
        <v>6</v>
      </c>
      <c r="I26" s="83" t="s">
        <v>7</v>
      </c>
    </row>
    <row r="27" spans="1:14" ht="15" customHeight="1">
      <c r="A27" s="37" t="s">
        <v>59</v>
      </c>
      <c r="B27" s="91">
        <v>904</v>
      </c>
      <c r="C27" s="92">
        <v>167</v>
      </c>
      <c r="D27" s="93">
        <f t="shared" ref="D27:D45" si="4">C27/B27</f>
        <v>0.18473451327433629</v>
      </c>
      <c r="E27" s="9">
        <f>G27/B27</f>
        <v>8.3439159292035399</v>
      </c>
      <c r="F27" s="9">
        <f>H27/C27</f>
        <v>3.6970059880239519</v>
      </c>
      <c r="G27" s="102">
        <v>7542.9</v>
      </c>
      <c r="H27" s="85">
        <v>617.4</v>
      </c>
      <c r="I27" s="86">
        <f t="shared" ref="I27:I47" si="5">H27/G27</f>
        <v>8.1851807660183754E-2</v>
      </c>
      <c r="K27" s="30"/>
      <c r="L27" s="31"/>
      <c r="M27" s="32"/>
    </row>
    <row r="28" spans="1:14" ht="15" customHeight="1">
      <c r="A28" s="37" t="s">
        <v>60</v>
      </c>
      <c r="B28" s="91">
        <v>1100</v>
      </c>
      <c r="C28" s="92">
        <v>221</v>
      </c>
      <c r="D28" s="93">
        <f t="shared" si="4"/>
        <v>0.2009090909090909</v>
      </c>
      <c r="E28" s="9">
        <f t="shared" ref="E28:E48" si="6">G28/B28</f>
        <v>7.0508181818181814</v>
      </c>
      <c r="F28" s="9">
        <f t="shared" ref="F28:F48" si="7">H28/C28</f>
        <v>3.3968325791855207</v>
      </c>
      <c r="G28" s="102">
        <v>7755.9</v>
      </c>
      <c r="H28" s="85">
        <v>750.7</v>
      </c>
      <c r="I28" s="86">
        <f t="shared" si="5"/>
        <v>9.6790830206681375E-2</v>
      </c>
      <c r="K28" s="30"/>
      <c r="L28" s="31"/>
      <c r="M28" s="32"/>
    </row>
    <row r="29" spans="1:14" ht="15" customHeight="1">
      <c r="A29" s="37" t="s">
        <v>61</v>
      </c>
      <c r="B29" s="91">
        <v>1041</v>
      </c>
      <c r="C29" s="92">
        <v>184</v>
      </c>
      <c r="D29" s="93">
        <f t="shared" si="4"/>
        <v>0.17675312199807877</v>
      </c>
      <c r="E29" s="9">
        <f t="shared" si="6"/>
        <v>7.8988472622478394</v>
      </c>
      <c r="F29" s="9">
        <f t="shared" si="7"/>
        <v>3.3130434782608695</v>
      </c>
      <c r="G29" s="102">
        <v>8222.7000000000007</v>
      </c>
      <c r="H29" s="85">
        <v>609.6</v>
      </c>
      <c r="I29" s="86">
        <f t="shared" si="5"/>
        <v>7.4136232624320481E-2</v>
      </c>
      <c r="K29" s="30"/>
      <c r="L29" s="31"/>
      <c r="M29" s="32"/>
    </row>
    <row r="30" spans="1:14" ht="15" customHeight="1">
      <c r="A30" s="37" t="s">
        <v>62</v>
      </c>
      <c r="B30" s="91">
        <v>1137</v>
      </c>
      <c r="C30" s="92">
        <v>201</v>
      </c>
      <c r="D30" s="93">
        <f t="shared" si="4"/>
        <v>0.17678100263852242</v>
      </c>
      <c r="E30" s="9">
        <f t="shared" si="6"/>
        <v>7.4238346525945467</v>
      </c>
      <c r="F30" s="9">
        <f t="shared" si="7"/>
        <v>3.2512437810945274</v>
      </c>
      <c r="G30" s="102">
        <v>8440.9</v>
      </c>
      <c r="H30" s="85">
        <v>653.5</v>
      </c>
      <c r="I30" s="86">
        <f t="shared" si="5"/>
        <v>7.7420654195642646E-2</v>
      </c>
      <c r="K30" s="30"/>
      <c r="L30" s="31"/>
      <c r="M30" s="32"/>
    </row>
    <row r="31" spans="1:14" ht="15" customHeight="1">
      <c r="A31" s="37" t="s">
        <v>63</v>
      </c>
      <c r="B31" s="91">
        <v>1054</v>
      </c>
      <c r="C31" s="92">
        <v>207</v>
      </c>
      <c r="D31" s="93">
        <f t="shared" si="4"/>
        <v>0.19639468690702086</v>
      </c>
      <c r="E31" s="9">
        <f t="shared" si="6"/>
        <v>7.716508538899431</v>
      </c>
      <c r="F31" s="9">
        <f t="shared" si="7"/>
        <v>2.7932367149758455</v>
      </c>
      <c r="G31" s="102">
        <v>8133.2</v>
      </c>
      <c r="H31" s="85">
        <v>578.20000000000005</v>
      </c>
      <c r="I31" s="86">
        <f t="shared" si="5"/>
        <v>7.1091329366055195E-2</v>
      </c>
      <c r="K31" s="30"/>
      <c r="L31" s="31"/>
      <c r="M31" s="32"/>
    </row>
    <row r="32" spans="1:14" ht="15" customHeight="1">
      <c r="A32" s="37" t="s">
        <v>64</v>
      </c>
      <c r="B32" s="91">
        <v>1103</v>
      </c>
      <c r="C32" s="92">
        <v>222</v>
      </c>
      <c r="D32" s="93">
        <f t="shared" si="4"/>
        <v>0.20126926563916592</v>
      </c>
      <c r="E32" s="9">
        <f t="shared" si="6"/>
        <v>7.2918404351767903</v>
      </c>
      <c r="F32" s="9">
        <f t="shared" si="7"/>
        <v>2.5698198198198199</v>
      </c>
      <c r="G32" s="102">
        <v>8042.9</v>
      </c>
      <c r="H32" s="85">
        <v>570.5</v>
      </c>
      <c r="I32" s="86">
        <f t="shared" si="5"/>
        <v>7.0932126471795004E-2</v>
      </c>
      <c r="K32" s="30"/>
      <c r="L32" s="31"/>
      <c r="M32" s="32"/>
    </row>
    <row r="33" spans="1:13" ht="15" customHeight="1">
      <c r="A33" s="37" t="s">
        <v>65</v>
      </c>
      <c r="B33" s="91">
        <v>1044</v>
      </c>
      <c r="C33" s="92">
        <v>251</v>
      </c>
      <c r="D33" s="93">
        <f t="shared" si="4"/>
        <v>0.24042145593869732</v>
      </c>
      <c r="E33" s="9">
        <f t="shared" si="6"/>
        <v>7.3361111111111104</v>
      </c>
      <c r="F33" s="9">
        <f t="shared" si="7"/>
        <v>3.3553784860557769</v>
      </c>
      <c r="G33" s="102">
        <v>7658.9</v>
      </c>
      <c r="H33" s="85">
        <v>842.2</v>
      </c>
      <c r="I33" s="86">
        <f t="shared" si="5"/>
        <v>0.10996357179229395</v>
      </c>
      <c r="K33" s="30"/>
      <c r="L33" s="31"/>
      <c r="M33" s="32"/>
    </row>
    <row r="34" spans="1:13" ht="15" customHeight="1">
      <c r="A34" s="37" t="s">
        <v>66</v>
      </c>
      <c r="B34" s="91">
        <v>954</v>
      </c>
      <c r="C34" s="92">
        <v>149</v>
      </c>
      <c r="D34" s="93">
        <f t="shared" si="4"/>
        <v>0.15618448637316562</v>
      </c>
      <c r="E34" s="9">
        <f t="shared" si="6"/>
        <v>6.5001048218029354</v>
      </c>
      <c r="F34" s="9">
        <f t="shared" si="7"/>
        <v>2.7771812080536913</v>
      </c>
      <c r="G34" s="102">
        <v>6201.1</v>
      </c>
      <c r="H34" s="85">
        <v>413.8</v>
      </c>
      <c r="I34" s="86">
        <f t="shared" si="5"/>
        <v>6.6730096273241848E-2</v>
      </c>
      <c r="K34" s="30"/>
      <c r="L34" s="31"/>
      <c r="M34" s="32"/>
    </row>
    <row r="35" spans="1:13" ht="15" customHeight="1">
      <c r="A35" s="37" t="s">
        <v>67</v>
      </c>
      <c r="B35" s="94">
        <v>674</v>
      </c>
      <c r="C35" s="92">
        <v>87</v>
      </c>
      <c r="D35" s="93">
        <f>C35/B35</f>
        <v>0.12908011869436201</v>
      </c>
      <c r="E35" s="9">
        <f t="shared" si="6"/>
        <v>5.7390207715133528</v>
      </c>
      <c r="F35" s="9">
        <f t="shared" si="7"/>
        <v>2.62183908045977</v>
      </c>
      <c r="G35" s="102">
        <v>3868.1</v>
      </c>
      <c r="H35" s="85">
        <v>228.1</v>
      </c>
      <c r="I35" s="86">
        <f t="shared" si="5"/>
        <v>5.8969519919340248E-2</v>
      </c>
      <c r="K35" s="30"/>
      <c r="L35" s="31"/>
      <c r="M35" s="32"/>
    </row>
    <row r="36" spans="1:13" ht="15" customHeight="1">
      <c r="A36" s="37" t="s">
        <v>68</v>
      </c>
      <c r="B36" s="95">
        <v>758</v>
      </c>
      <c r="C36" s="92">
        <v>93</v>
      </c>
      <c r="D36" s="93">
        <f t="shared" si="4"/>
        <v>0.12269129287598944</v>
      </c>
      <c r="E36" s="9">
        <f t="shared" si="6"/>
        <v>6.6672823218997364</v>
      </c>
      <c r="F36" s="9">
        <f t="shared" si="7"/>
        <v>4.0150537634408598</v>
      </c>
      <c r="G36" s="102">
        <v>5053.8</v>
      </c>
      <c r="H36" s="85">
        <v>373.4</v>
      </c>
      <c r="I36" s="86">
        <f t="shared" si="5"/>
        <v>7.3884997427678178E-2</v>
      </c>
      <c r="K36" s="30"/>
      <c r="L36" s="31"/>
      <c r="M36" s="32"/>
    </row>
    <row r="37" spans="1:13" ht="15" customHeight="1">
      <c r="A37" s="37" t="s">
        <v>69</v>
      </c>
      <c r="B37" s="95">
        <v>749</v>
      </c>
      <c r="C37" s="92">
        <v>82</v>
      </c>
      <c r="D37" s="93">
        <f t="shared" si="4"/>
        <v>0.10947930574098798</v>
      </c>
      <c r="E37" s="9">
        <f t="shared" si="6"/>
        <v>7.1586114819759681</v>
      </c>
      <c r="F37" s="9">
        <f t="shared" si="7"/>
        <v>3.4621951219512193</v>
      </c>
      <c r="G37" s="102">
        <v>5361.8</v>
      </c>
      <c r="H37" s="85">
        <v>283.89999999999998</v>
      </c>
      <c r="I37" s="86">
        <f t="shared" si="5"/>
        <v>5.2948636651870634E-2</v>
      </c>
      <c r="K37" s="30"/>
      <c r="L37" s="31"/>
      <c r="M37" s="32"/>
    </row>
    <row r="38" spans="1:13" ht="15" customHeight="1">
      <c r="A38" s="37" t="s">
        <v>70</v>
      </c>
      <c r="B38" s="96">
        <v>929</v>
      </c>
      <c r="C38" s="92">
        <v>123</v>
      </c>
      <c r="D38" s="93">
        <f>C38/B38</f>
        <v>0.13240043057050593</v>
      </c>
      <c r="E38" s="9">
        <f t="shared" si="6"/>
        <v>6.3271259418729811</v>
      </c>
      <c r="F38" s="9">
        <f t="shared" si="7"/>
        <v>3.807317073170732</v>
      </c>
      <c r="G38" s="102">
        <v>5877.9</v>
      </c>
      <c r="H38" s="85">
        <v>468.3</v>
      </c>
      <c r="I38" s="86">
        <f t="shared" si="5"/>
        <v>7.9671311182565208E-2</v>
      </c>
      <c r="K38" s="30"/>
      <c r="L38" s="31"/>
      <c r="M38" s="32"/>
    </row>
    <row r="39" spans="1:13" ht="15" customHeight="1">
      <c r="A39" s="37" t="s">
        <v>71</v>
      </c>
      <c r="B39" s="97">
        <v>809</v>
      </c>
      <c r="C39" s="92">
        <v>98</v>
      </c>
      <c r="D39" s="93">
        <f t="shared" si="4"/>
        <v>0.12113720642768851</v>
      </c>
      <c r="E39" s="9">
        <f t="shared" si="6"/>
        <v>6.4221260815822001</v>
      </c>
      <c r="F39" s="9">
        <f t="shared" si="7"/>
        <v>3.8010204081632653</v>
      </c>
      <c r="G39" s="102">
        <v>5195.5</v>
      </c>
      <c r="H39" s="85">
        <v>372.5</v>
      </c>
      <c r="I39" s="86">
        <f t="shared" si="5"/>
        <v>7.1696660571648543E-2</v>
      </c>
      <c r="K39" s="30"/>
      <c r="L39" s="31"/>
      <c r="M39" s="32"/>
    </row>
    <row r="40" spans="1:13" ht="15" customHeight="1">
      <c r="A40" s="37" t="s">
        <v>72</v>
      </c>
      <c r="B40" s="99">
        <v>1015</v>
      </c>
      <c r="C40" s="92">
        <v>120</v>
      </c>
      <c r="D40" s="93">
        <f t="shared" si="4"/>
        <v>0.11822660098522167</v>
      </c>
      <c r="E40" s="9">
        <f t="shared" si="6"/>
        <v>7.0265024630541868</v>
      </c>
      <c r="F40" s="9">
        <f t="shared" si="7"/>
        <v>5.3108333333333331</v>
      </c>
      <c r="G40" s="102">
        <v>7131.9</v>
      </c>
      <c r="H40" s="85">
        <v>637.29999999999995</v>
      </c>
      <c r="I40" s="86">
        <f t="shared" si="5"/>
        <v>8.9359076823847777E-2</v>
      </c>
      <c r="K40" s="30"/>
      <c r="L40" s="31"/>
      <c r="M40" s="32"/>
    </row>
    <row r="41" spans="1:13" ht="15" customHeight="1">
      <c r="A41" s="37" t="s">
        <v>73</v>
      </c>
      <c r="B41" s="97">
        <v>879</v>
      </c>
      <c r="C41" s="92">
        <v>113</v>
      </c>
      <c r="D41" s="98">
        <f t="shared" si="4"/>
        <v>0.12855517633674629</v>
      </c>
      <c r="E41" s="9">
        <f t="shared" si="6"/>
        <v>6.1835039817974975</v>
      </c>
      <c r="F41" s="9">
        <f t="shared" si="7"/>
        <v>4.023008849557522</v>
      </c>
      <c r="G41" s="102">
        <v>5435.3</v>
      </c>
      <c r="H41" s="85">
        <v>454.6</v>
      </c>
      <c r="I41" s="103">
        <f t="shared" si="5"/>
        <v>8.3638437620738512E-2</v>
      </c>
      <c r="K41" s="30"/>
      <c r="L41" s="31"/>
      <c r="M41" s="32"/>
    </row>
    <row r="42" spans="1:13" ht="15" customHeight="1">
      <c r="A42" s="37" t="s">
        <v>74</v>
      </c>
      <c r="B42" s="99">
        <v>895</v>
      </c>
      <c r="C42" s="92">
        <v>133</v>
      </c>
      <c r="D42" s="98">
        <f t="shared" si="4"/>
        <v>0.14860335195530727</v>
      </c>
      <c r="E42" s="9">
        <f t="shared" si="6"/>
        <v>6.2797765363128484</v>
      </c>
      <c r="F42" s="9">
        <f t="shared" si="7"/>
        <v>3.2421052631578946</v>
      </c>
      <c r="G42" s="104">
        <v>5620.4</v>
      </c>
      <c r="H42" s="85">
        <v>431.2</v>
      </c>
      <c r="I42" s="103">
        <f t="shared" si="5"/>
        <v>7.6720518112589856E-2</v>
      </c>
      <c r="K42" s="30"/>
      <c r="L42" s="31"/>
      <c r="M42" s="32"/>
    </row>
    <row r="43" spans="1:13" s="17" customFormat="1" ht="15" customHeight="1">
      <c r="A43" s="37" t="s">
        <v>75</v>
      </c>
      <c r="B43" s="95">
        <v>887</v>
      </c>
      <c r="C43" s="92">
        <v>121</v>
      </c>
      <c r="D43" s="100">
        <f t="shared" si="4"/>
        <v>0.13641488162344984</v>
      </c>
      <c r="E43" s="9">
        <f t="shared" si="6"/>
        <v>7.6110484780157837</v>
      </c>
      <c r="F43" s="9">
        <f t="shared" si="7"/>
        <v>3.5826446280991737</v>
      </c>
      <c r="G43" s="104">
        <v>6751</v>
      </c>
      <c r="H43" s="85">
        <v>433.5</v>
      </c>
      <c r="I43" s="105">
        <f t="shared" si="5"/>
        <v>6.4212709228262485E-2</v>
      </c>
      <c r="K43" s="27"/>
      <c r="L43" s="32"/>
      <c r="M43" s="32"/>
    </row>
    <row r="44" spans="1:13" ht="15" customHeight="1">
      <c r="A44" s="37" t="s">
        <v>76</v>
      </c>
      <c r="B44" s="95">
        <v>1057</v>
      </c>
      <c r="C44" s="92">
        <v>160</v>
      </c>
      <c r="D44" s="98">
        <f t="shared" si="4"/>
        <v>0.15137180700094607</v>
      </c>
      <c r="E44" s="9">
        <f t="shared" si="6"/>
        <v>7.5744560075685898</v>
      </c>
      <c r="F44" s="9">
        <f t="shared" si="7"/>
        <v>4.5931249999999997</v>
      </c>
      <c r="G44" s="104">
        <v>8006.2</v>
      </c>
      <c r="H44" s="85">
        <v>734.9</v>
      </c>
      <c r="I44" s="103">
        <f t="shared" si="5"/>
        <v>9.1791361694686616E-2</v>
      </c>
      <c r="K44" s="30"/>
      <c r="L44" s="31"/>
      <c r="M44" s="32"/>
    </row>
    <row r="45" spans="1:13" ht="15" customHeight="1">
      <c r="A45" s="37" t="s">
        <v>77</v>
      </c>
      <c r="B45" s="95">
        <v>972</v>
      </c>
      <c r="C45" s="92">
        <v>152</v>
      </c>
      <c r="D45" s="98">
        <f t="shared" si="4"/>
        <v>0.15637860082304528</v>
      </c>
      <c r="E45" s="9">
        <f t="shared" si="6"/>
        <v>7.9136831275720168</v>
      </c>
      <c r="F45" s="9">
        <f t="shared" si="7"/>
        <v>3.6953947368421054</v>
      </c>
      <c r="G45" s="106">
        <v>7692.1</v>
      </c>
      <c r="H45" s="106">
        <v>561.70000000000005</v>
      </c>
      <c r="I45" s="103">
        <f t="shared" si="5"/>
        <v>7.3022971620233745E-2</v>
      </c>
    </row>
    <row r="46" spans="1:13">
      <c r="A46" s="2" t="s">
        <v>79</v>
      </c>
      <c r="B46" s="95">
        <v>922</v>
      </c>
      <c r="C46" s="92">
        <v>132</v>
      </c>
      <c r="D46" s="98">
        <f t="shared" ref="D46:D47" si="8">C46/B46</f>
        <v>0.14316702819956617</v>
      </c>
      <c r="E46" s="9">
        <f t="shared" si="6"/>
        <v>7.6949023861171364</v>
      </c>
      <c r="F46" s="9">
        <f t="shared" si="7"/>
        <v>4.0522727272727268</v>
      </c>
      <c r="G46" s="107">
        <v>7094.7</v>
      </c>
      <c r="H46" s="102">
        <v>534.9</v>
      </c>
      <c r="I46" s="103">
        <f t="shared" si="5"/>
        <v>7.539430842741765E-2</v>
      </c>
    </row>
    <row r="47" spans="1:13">
      <c r="A47" s="2" t="s">
        <v>80</v>
      </c>
      <c r="B47" s="95">
        <v>810</v>
      </c>
      <c r="C47" s="92">
        <v>140</v>
      </c>
      <c r="D47" s="98">
        <f t="shared" si="8"/>
        <v>0.1728395061728395</v>
      </c>
      <c r="E47" s="9">
        <f t="shared" si="6"/>
        <v>7.4635802469135806</v>
      </c>
      <c r="F47" s="9">
        <f t="shared" si="7"/>
        <v>3.5385714285714283</v>
      </c>
      <c r="G47" s="107">
        <v>6045.5</v>
      </c>
      <c r="H47" s="102">
        <v>495.4</v>
      </c>
      <c r="I47" s="103">
        <f t="shared" si="5"/>
        <v>8.1945248531965928E-2</v>
      </c>
    </row>
    <row r="48" spans="1:13">
      <c r="A48" s="36" t="s">
        <v>97</v>
      </c>
      <c r="B48" s="95">
        <v>909</v>
      </c>
      <c r="C48" s="92">
        <v>140</v>
      </c>
      <c r="D48" s="98">
        <f t="shared" ref="D48" si="9">C48/B48</f>
        <v>0.15401540154015403</v>
      </c>
      <c r="E48" s="9">
        <f t="shared" si="6"/>
        <v>7.8539053905390537</v>
      </c>
      <c r="F48" s="9">
        <f t="shared" si="7"/>
        <v>3.7942857142857145</v>
      </c>
      <c r="G48" s="107">
        <v>7139.2</v>
      </c>
      <c r="H48" s="102">
        <v>531.20000000000005</v>
      </c>
      <c r="I48" s="103">
        <f t="shared" ref="I48" si="10">H48/G48</f>
        <v>7.4406095921111623E-2</v>
      </c>
    </row>
    <row r="49" spans="1:2">
      <c r="A49" s="2"/>
      <c r="B49" s="2"/>
    </row>
    <row r="50" spans="1:2">
      <c r="A50" s="5" t="s">
        <v>9</v>
      </c>
      <c r="B50" s="1"/>
    </row>
  </sheetData>
  <phoneticPr fontId="0" type="noConversion"/>
  <pageMargins left="0.75" right="0.75" top="1" bottom="1" header="0.5" footer="0.5"/>
  <pageSetup fitToHeight="7" orientation="landscape" horizontalDpi="0" verticalDpi="0" r:id="rId1"/>
  <headerFooter alignWithMargins="0"/>
  <ignoredErrors>
    <ignoredError sqref="D27:D48 I27:I48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zoomScale="130" zoomScaleNormal="130" workbookViewId="0">
      <selection activeCell="A2" sqref="A2"/>
    </sheetView>
  </sheetViews>
  <sheetFormatPr defaultRowHeight="12.75"/>
  <cols>
    <col min="1" max="1" width="29.7109375" customWidth="1"/>
    <col min="2" max="7" width="12.5703125" customWidth="1"/>
    <col min="8" max="10" width="12.28515625" customWidth="1"/>
  </cols>
  <sheetData>
    <row r="1" spans="1:10">
      <c r="A1" s="38" t="s">
        <v>92</v>
      </c>
    </row>
    <row r="2" spans="1:10">
      <c r="A2" s="59" t="s">
        <v>91</v>
      </c>
    </row>
    <row r="3" spans="1:10" ht="76.5">
      <c r="A3" s="13" t="s">
        <v>24</v>
      </c>
      <c r="B3" s="14" t="s">
        <v>25</v>
      </c>
      <c r="C3" s="14" t="s">
        <v>26</v>
      </c>
      <c r="D3" s="14" t="s">
        <v>47</v>
      </c>
      <c r="E3" s="69" t="s">
        <v>27</v>
      </c>
      <c r="F3" s="69" t="s">
        <v>28</v>
      </c>
      <c r="G3" s="69" t="s">
        <v>29</v>
      </c>
      <c r="H3" s="66" t="s">
        <v>78</v>
      </c>
      <c r="I3" s="112" t="s">
        <v>81</v>
      </c>
      <c r="J3" s="70" t="s">
        <v>82</v>
      </c>
    </row>
    <row r="4" spans="1:10">
      <c r="A4" s="63" t="s">
        <v>30</v>
      </c>
      <c r="B4" s="64">
        <v>666</v>
      </c>
      <c r="C4" s="28">
        <f>D4/B4</f>
        <v>9.607057057057057</v>
      </c>
      <c r="D4" s="40">
        <v>6398.3</v>
      </c>
      <c r="E4" s="108">
        <v>129</v>
      </c>
      <c r="F4" s="109">
        <f>G4/E4</f>
        <v>3.8372093023255816</v>
      </c>
      <c r="G4" s="110">
        <v>495</v>
      </c>
      <c r="H4" s="67">
        <f>G4/G21</f>
        <v>0.15037365575065312</v>
      </c>
      <c r="I4" s="113">
        <f>E4/B4</f>
        <v>0.19369369369369369</v>
      </c>
      <c r="J4" s="71">
        <f>G4/D4</f>
        <v>7.7364299892158858E-2</v>
      </c>
    </row>
    <row r="5" spans="1:10">
      <c r="A5" s="63" t="s">
        <v>31</v>
      </c>
      <c r="B5" s="64">
        <v>85</v>
      </c>
      <c r="C5" s="28">
        <f t="shared" ref="C5:C21" si="0">D5/B5</f>
        <v>2.8576470588235297</v>
      </c>
      <c r="D5" s="40">
        <v>242.9</v>
      </c>
      <c r="E5" s="108">
        <v>5</v>
      </c>
      <c r="F5" s="109">
        <f t="shared" ref="F5:F21" si="1">G5/E5</f>
        <v>0.98000000000000009</v>
      </c>
      <c r="G5" s="110">
        <v>4.9000000000000004</v>
      </c>
      <c r="H5" s="67">
        <f t="shared" ref="H5:H21" si="2">G5/$G$21</f>
        <v>1.4885472993498997E-3</v>
      </c>
      <c r="I5" s="113">
        <f t="shared" ref="I5:I21" si="3">E5/B5</f>
        <v>5.8823529411764705E-2</v>
      </c>
      <c r="J5" s="71">
        <f t="shared" ref="J5:J21" si="4">G5/D5</f>
        <v>2.0172910662824207E-2</v>
      </c>
    </row>
    <row r="6" spans="1:10">
      <c r="A6" s="63" t="s">
        <v>32</v>
      </c>
      <c r="B6" s="64">
        <v>75</v>
      </c>
      <c r="C6" s="28">
        <f t="shared" si="0"/>
        <v>7.3213333333333335</v>
      </c>
      <c r="D6" s="40">
        <v>549.1</v>
      </c>
      <c r="E6" s="108">
        <v>15</v>
      </c>
      <c r="F6" s="109">
        <f t="shared" si="1"/>
        <v>2.8266666666666667</v>
      </c>
      <c r="G6" s="110">
        <v>42.4</v>
      </c>
      <c r="H6" s="67">
        <f t="shared" si="2"/>
        <v>1.2880490916823622E-2</v>
      </c>
      <c r="I6" s="113">
        <f t="shared" si="3"/>
        <v>0.2</v>
      </c>
      <c r="J6" s="71">
        <f t="shared" si="4"/>
        <v>7.7217264614824255E-2</v>
      </c>
    </row>
    <row r="7" spans="1:10">
      <c r="A7" s="63" t="s">
        <v>33</v>
      </c>
      <c r="B7" s="64">
        <v>199</v>
      </c>
      <c r="C7" s="28">
        <f t="shared" si="0"/>
        <v>9.7582914572864325</v>
      </c>
      <c r="D7" s="40">
        <v>1941.9</v>
      </c>
      <c r="E7" s="108">
        <v>12</v>
      </c>
      <c r="F7" s="109">
        <f t="shared" si="1"/>
        <v>7.1583333333333341</v>
      </c>
      <c r="G7" s="110">
        <v>85.9</v>
      </c>
      <c r="H7" s="67">
        <f t="shared" si="2"/>
        <v>2.6095145513093141E-2</v>
      </c>
      <c r="I7" s="113">
        <f t="shared" si="3"/>
        <v>6.030150753768844E-2</v>
      </c>
      <c r="J7" s="71">
        <f t="shared" si="4"/>
        <v>4.42350275503373E-2</v>
      </c>
    </row>
    <row r="8" spans="1:10">
      <c r="A8" s="63" t="s">
        <v>34</v>
      </c>
      <c r="B8" s="64">
        <v>90</v>
      </c>
      <c r="C8" s="28">
        <f t="shared" si="0"/>
        <v>8.4111111111111114</v>
      </c>
      <c r="D8" s="40">
        <v>757</v>
      </c>
      <c r="E8" s="108">
        <v>13</v>
      </c>
      <c r="F8" s="109">
        <f t="shared" si="1"/>
        <v>2.2999999999999998</v>
      </c>
      <c r="G8" s="110">
        <v>29.9</v>
      </c>
      <c r="H8" s="67">
        <f t="shared" si="2"/>
        <v>9.083176377665713E-3</v>
      </c>
      <c r="I8" s="113">
        <f t="shared" si="3"/>
        <v>0.14444444444444443</v>
      </c>
      <c r="J8" s="71">
        <f t="shared" si="4"/>
        <v>3.949801849405548E-2</v>
      </c>
    </row>
    <row r="9" spans="1:10">
      <c r="A9" s="63" t="s">
        <v>35</v>
      </c>
      <c r="B9" s="64">
        <v>83</v>
      </c>
      <c r="C9" s="28">
        <f t="shared" si="0"/>
        <v>6.0096385542168678</v>
      </c>
      <c r="D9" s="40">
        <v>498.8</v>
      </c>
      <c r="E9" s="108">
        <v>6</v>
      </c>
      <c r="F9" s="109">
        <f t="shared" si="1"/>
        <v>3.1833333333333336</v>
      </c>
      <c r="G9" s="110">
        <v>19.100000000000001</v>
      </c>
      <c r="H9" s="67">
        <f t="shared" si="2"/>
        <v>5.802296615833283E-3</v>
      </c>
      <c r="I9" s="113">
        <f t="shared" si="3"/>
        <v>7.2289156626506021E-2</v>
      </c>
      <c r="J9" s="71">
        <f t="shared" si="4"/>
        <v>3.8291900561347236E-2</v>
      </c>
    </row>
    <row r="10" spans="1:10">
      <c r="A10" s="63" t="s">
        <v>36</v>
      </c>
      <c r="B10" s="64">
        <v>63</v>
      </c>
      <c r="C10" s="28">
        <f t="shared" si="0"/>
        <v>7.2253968253968255</v>
      </c>
      <c r="D10" s="40">
        <v>455.2</v>
      </c>
      <c r="E10" s="108">
        <v>5</v>
      </c>
      <c r="F10" s="109">
        <f t="shared" si="1"/>
        <v>1.2</v>
      </c>
      <c r="G10" s="110">
        <v>6</v>
      </c>
      <c r="H10" s="67">
        <f t="shared" si="2"/>
        <v>1.8227109787957955E-3</v>
      </c>
      <c r="I10" s="113">
        <f t="shared" si="3"/>
        <v>7.9365079365079361E-2</v>
      </c>
      <c r="J10" s="71">
        <f t="shared" si="4"/>
        <v>1.3181019332161687E-2</v>
      </c>
    </row>
    <row r="11" spans="1:10">
      <c r="A11" s="63" t="s">
        <v>37</v>
      </c>
      <c r="B11" s="64">
        <v>424</v>
      </c>
      <c r="C11" s="28">
        <f t="shared" si="0"/>
        <v>13.21367924528302</v>
      </c>
      <c r="D11" s="40">
        <v>5602.6</v>
      </c>
      <c r="E11" s="108">
        <v>83</v>
      </c>
      <c r="F11" s="109">
        <f t="shared" si="1"/>
        <v>7.4566265060240964</v>
      </c>
      <c r="G11" s="110">
        <v>618.9</v>
      </c>
      <c r="H11" s="67">
        <f t="shared" si="2"/>
        <v>0.18801263746278629</v>
      </c>
      <c r="I11" s="113">
        <f t="shared" si="3"/>
        <v>0.19575471698113209</v>
      </c>
      <c r="J11" s="71">
        <f t="shared" si="4"/>
        <v>0.11046656909292113</v>
      </c>
    </row>
    <row r="12" spans="1:10">
      <c r="A12" s="63" t="s">
        <v>38</v>
      </c>
      <c r="B12" s="64">
        <v>534</v>
      </c>
      <c r="C12" s="28">
        <f t="shared" si="0"/>
        <v>6.6084269662921349</v>
      </c>
      <c r="D12" s="40">
        <v>3528.9</v>
      </c>
      <c r="E12" s="108">
        <v>77</v>
      </c>
      <c r="F12" s="109">
        <f t="shared" si="1"/>
        <v>3.3688311688311687</v>
      </c>
      <c r="G12" s="110">
        <v>259.39999999999998</v>
      </c>
      <c r="H12" s="67">
        <f t="shared" si="2"/>
        <v>7.8801871316604891E-2</v>
      </c>
      <c r="I12" s="113">
        <f t="shared" si="3"/>
        <v>0.14419475655430711</v>
      </c>
      <c r="J12" s="71">
        <f t="shared" si="4"/>
        <v>7.3507325228824832E-2</v>
      </c>
    </row>
    <row r="13" spans="1:10">
      <c r="A13" s="63" t="s">
        <v>39</v>
      </c>
      <c r="B13" s="64">
        <v>623</v>
      </c>
      <c r="C13" s="28">
        <f t="shared" si="0"/>
        <v>5.3512038523274486</v>
      </c>
      <c r="D13" s="40">
        <v>3333.8</v>
      </c>
      <c r="E13" s="108">
        <v>78</v>
      </c>
      <c r="F13" s="109">
        <f t="shared" si="1"/>
        <v>2.3653846153846154</v>
      </c>
      <c r="G13" s="110">
        <v>184.5</v>
      </c>
      <c r="H13" s="67">
        <f t="shared" si="2"/>
        <v>5.6048362597970712E-2</v>
      </c>
      <c r="I13" s="113">
        <f t="shared" si="3"/>
        <v>0.12520064205457465</v>
      </c>
      <c r="J13" s="71">
        <f t="shared" si="4"/>
        <v>5.5342252084708138E-2</v>
      </c>
    </row>
    <row r="14" spans="1:10">
      <c r="A14" s="63" t="s">
        <v>40</v>
      </c>
      <c r="B14" s="64">
        <v>516</v>
      </c>
      <c r="C14" s="28">
        <f t="shared" si="0"/>
        <v>8.173255813953487</v>
      </c>
      <c r="D14" s="40">
        <v>4217.3999999999996</v>
      </c>
      <c r="E14" s="108">
        <v>78</v>
      </c>
      <c r="F14" s="109">
        <f t="shared" si="1"/>
        <v>4.0410256410256409</v>
      </c>
      <c r="G14" s="110">
        <v>315.2</v>
      </c>
      <c r="H14" s="67">
        <f t="shared" si="2"/>
        <v>9.5753083419405791E-2</v>
      </c>
      <c r="I14" s="113">
        <f t="shared" si="3"/>
        <v>0.15116279069767441</v>
      </c>
      <c r="J14" s="71">
        <f t="shared" si="4"/>
        <v>7.4737990230947987E-2</v>
      </c>
    </row>
    <row r="15" spans="1:10">
      <c r="A15" s="63" t="s">
        <v>41</v>
      </c>
      <c r="B15" s="64">
        <v>71</v>
      </c>
      <c r="C15" s="28">
        <f t="shared" si="0"/>
        <v>6.8154929577464785</v>
      </c>
      <c r="D15" s="40">
        <v>483.9</v>
      </c>
      <c r="E15" s="108">
        <v>14</v>
      </c>
      <c r="F15" s="109">
        <f t="shared" si="1"/>
        <v>2.0357142857142856</v>
      </c>
      <c r="G15" s="110">
        <v>28.5</v>
      </c>
      <c r="H15" s="67">
        <f t="shared" si="2"/>
        <v>8.6578771492800289E-3</v>
      </c>
      <c r="I15" s="113">
        <f t="shared" si="3"/>
        <v>0.19718309859154928</v>
      </c>
      <c r="J15" s="71">
        <f t="shared" si="4"/>
        <v>5.8896466212027279E-2</v>
      </c>
    </row>
    <row r="16" spans="1:10">
      <c r="A16" s="63" t="s">
        <v>46</v>
      </c>
      <c r="B16" s="64">
        <v>30</v>
      </c>
      <c r="C16" s="28">
        <f t="shared" si="0"/>
        <v>1.8900000000000001</v>
      </c>
      <c r="D16" s="40">
        <v>56.7</v>
      </c>
      <c r="E16" s="108">
        <v>2</v>
      </c>
      <c r="F16" s="109">
        <f t="shared" si="1"/>
        <v>2.5</v>
      </c>
      <c r="G16" s="110">
        <v>5</v>
      </c>
      <c r="H16" s="67">
        <f t="shared" si="2"/>
        <v>1.5189258156631628E-3</v>
      </c>
      <c r="I16" s="113">
        <f t="shared" si="3"/>
        <v>6.6666666666666666E-2</v>
      </c>
      <c r="J16" s="71">
        <f t="shared" si="4"/>
        <v>8.8183421516754845E-2</v>
      </c>
    </row>
    <row r="17" spans="1:10">
      <c r="A17" s="63" t="s">
        <v>42</v>
      </c>
      <c r="B17" s="64">
        <v>83</v>
      </c>
      <c r="C17" s="28">
        <f t="shared" si="0"/>
        <v>7.0204819277108443</v>
      </c>
      <c r="D17" s="40">
        <v>582.70000000000005</v>
      </c>
      <c r="E17" s="108">
        <v>8</v>
      </c>
      <c r="F17" s="109">
        <f t="shared" si="1"/>
        <v>0.75</v>
      </c>
      <c r="G17" s="110">
        <v>6</v>
      </c>
      <c r="H17" s="67">
        <f t="shared" si="2"/>
        <v>1.8227109787957955E-3</v>
      </c>
      <c r="I17" s="113">
        <f t="shared" si="3"/>
        <v>9.6385542168674704E-2</v>
      </c>
      <c r="J17" s="71">
        <f t="shared" si="4"/>
        <v>1.0296893770379269E-2</v>
      </c>
    </row>
    <row r="18" spans="1:10">
      <c r="A18" s="63" t="s">
        <v>43</v>
      </c>
      <c r="B18" s="64">
        <v>188</v>
      </c>
      <c r="C18" s="28">
        <f t="shared" si="0"/>
        <v>10.204255319148936</v>
      </c>
      <c r="D18" s="40">
        <v>1918.4</v>
      </c>
      <c r="E18" s="108">
        <v>32</v>
      </c>
      <c r="F18" s="109">
        <f t="shared" si="1"/>
        <v>6.3562500000000002</v>
      </c>
      <c r="G18" s="110">
        <v>203.4</v>
      </c>
      <c r="H18" s="67">
        <f t="shared" si="2"/>
        <v>6.178990218117747E-2</v>
      </c>
      <c r="I18" s="113">
        <f t="shared" si="3"/>
        <v>0.1702127659574468</v>
      </c>
      <c r="J18" s="71">
        <f t="shared" si="4"/>
        <v>0.10602585487906589</v>
      </c>
    </row>
    <row r="19" spans="1:10">
      <c r="A19" s="63" t="s">
        <v>44</v>
      </c>
      <c r="B19" s="64">
        <v>1636</v>
      </c>
      <c r="C19" s="28">
        <f t="shared" si="0"/>
        <v>6.7383251833740827</v>
      </c>
      <c r="D19" s="40">
        <v>11023.9</v>
      </c>
      <c r="E19" s="108">
        <v>251</v>
      </c>
      <c r="F19" s="109">
        <f t="shared" si="1"/>
        <v>3.5545816733067732</v>
      </c>
      <c r="G19" s="110">
        <v>892.2</v>
      </c>
      <c r="H19" s="67">
        <f t="shared" si="2"/>
        <v>0.27103712254693479</v>
      </c>
      <c r="I19" s="113">
        <f t="shared" si="3"/>
        <v>0.15342298288508557</v>
      </c>
      <c r="J19" s="71">
        <f t="shared" si="4"/>
        <v>8.0933245040321497E-2</v>
      </c>
    </row>
    <row r="20" spans="1:10">
      <c r="A20" s="63" t="s">
        <v>45</v>
      </c>
      <c r="B20" s="115">
        <v>191</v>
      </c>
      <c r="C20" s="41">
        <f t="shared" si="0"/>
        <v>5.9539267015706807</v>
      </c>
      <c r="D20" s="42">
        <v>1137.2</v>
      </c>
      <c r="E20" s="116">
        <v>37</v>
      </c>
      <c r="F20" s="117">
        <f t="shared" si="1"/>
        <v>2.5810810810810811</v>
      </c>
      <c r="G20" s="111">
        <v>95.5</v>
      </c>
      <c r="H20" s="68">
        <f t="shared" si="2"/>
        <v>2.9011483079166411E-2</v>
      </c>
      <c r="I20" s="114">
        <f t="shared" si="3"/>
        <v>0.193717277486911</v>
      </c>
      <c r="J20" s="72">
        <f t="shared" si="4"/>
        <v>8.3978192050650713E-2</v>
      </c>
    </row>
    <row r="21" spans="1:10">
      <c r="A21" s="12"/>
      <c r="B21" s="64">
        <f>SUM(B4:B20)</f>
        <v>5557</v>
      </c>
      <c r="C21" s="28">
        <f t="shared" si="0"/>
        <v>7.6891668166276776</v>
      </c>
      <c r="D21" s="40">
        <f>SUM(D4:D20)</f>
        <v>42728.700000000004</v>
      </c>
      <c r="E21" s="108">
        <f>SUM(E4:E20)</f>
        <v>845</v>
      </c>
      <c r="F21" s="109">
        <f t="shared" si="1"/>
        <v>3.8956213017751482</v>
      </c>
      <c r="G21" s="110">
        <f>SUM(G4:G20)</f>
        <v>3291.8</v>
      </c>
      <c r="H21" s="67">
        <f t="shared" si="2"/>
        <v>1</v>
      </c>
      <c r="I21" s="113">
        <f t="shared" si="3"/>
        <v>0.15206046427928738</v>
      </c>
      <c r="J21" s="71">
        <f t="shared" si="4"/>
        <v>7.7039554210635935E-2</v>
      </c>
    </row>
    <row r="22" spans="1:10">
      <c r="B22" s="15"/>
      <c r="D22" s="16"/>
      <c r="E22" s="65"/>
      <c r="F22" s="29"/>
    </row>
    <row r="24" spans="1:10">
      <c r="A24" s="5" t="s">
        <v>9</v>
      </c>
    </row>
  </sheetData>
  <pageMargins left="0.7" right="0.7" top="0.75" bottom="0.75" header="0.3" footer="0.3"/>
  <pageSetup orientation="portrait" horizontalDpi="0" verticalDpi="0" r:id="rId1"/>
  <ignoredErrors>
    <ignoredError sqref="H5:H21 I4 I5:J2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zoomScale="145" zoomScaleNormal="145" workbookViewId="0"/>
  </sheetViews>
  <sheetFormatPr defaultRowHeight="12.75"/>
  <cols>
    <col min="1" max="1" width="56" customWidth="1"/>
    <col min="2" max="8" width="17.5703125" customWidth="1"/>
  </cols>
  <sheetData>
    <row r="1" spans="1:8">
      <c r="A1" s="38" t="s">
        <v>93</v>
      </c>
    </row>
    <row r="2" spans="1:8">
      <c r="A2" s="39" t="s">
        <v>94</v>
      </c>
      <c r="F2" s="22"/>
    </row>
    <row r="3" spans="1:8">
      <c r="A3" s="39"/>
      <c r="F3" s="22"/>
    </row>
    <row r="4" spans="1:8">
      <c r="A4" s="38" t="s">
        <v>86</v>
      </c>
      <c r="F4" s="22"/>
    </row>
    <row r="5" spans="1:8" ht="25.5">
      <c r="A5" s="13" t="s">
        <v>24</v>
      </c>
      <c r="B5" s="20" t="s">
        <v>52</v>
      </c>
      <c r="C5" s="14" t="s">
        <v>53</v>
      </c>
      <c r="D5" s="14" t="s">
        <v>57</v>
      </c>
      <c r="E5" s="20" t="s">
        <v>54</v>
      </c>
      <c r="F5" s="14" t="s">
        <v>55</v>
      </c>
      <c r="G5" s="14" t="s">
        <v>58</v>
      </c>
      <c r="H5" s="14"/>
    </row>
    <row r="6" spans="1:8">
      <c r="A6" s="12" t="s">
        <v>51</v>
      </c>
      <c r="B6" s="21">
        <f>'CVC by Year and Quarter'!B20+'CVC by Year and Quarter'!B19</f>
        <v>5557</v>
      </c>
      <c r="C6" s="24">
        <f>B6/$B$6</f>
        <v>1</v>
      </c>
      <c r="D6" s="24"/>
      <c r="E6" s="44">
        <f>'CVC by Year and Quarter'!G20+'CVC by Year and Quarter'!G19</f>
        <v>42728.656999999999</v>
      </c>
      <c r="F6" s="25">
        <f>E6/$E$6</f>
        <v>1</v>
      </c>
      <c r="G6" s="26"/>
      <c r="H6" s="16"/>
    </row>
    <row r="7" spans="1:8">
      <c r="A7" s="73" t="s">
        <v>83</v>
      </c>
      <c r="B7" s="21">
        <v>875</v>
      </c>
      <c r="C7" s="24">
        <f>B7/$B$6</f>
        <v>0.15745906064423251</v>
      </c>
      <c r="D7" s="24">
        <f>B7/$B$7</f>
        <v>1</v>
      </c>
      <c r="E7" s="43">
        <v>7053.45</v>
      </c>
      <c r="F7" s="25">
        <f>E7/$E$6</f>
        <v>0.16507539658922582</v>
      </c>
      <c r="G7" s="26">
        <f>E7/$E$7</f>
        <v>1</v>
      </c>
      <c r="H7" s="16"/>
    </row>
    <row r="8" spans="1:8">
      <c r="A8" s="73" t="s">
        <v>84</v>
      </c>
      <c r="B8" s="21">
        <v>120</v>
      </c>
      <c r="C8" s="24">
        <f>B8/$B$6</f>
        <v>2.1594385459780457E-2</v>
      </c>
      <c r="D8" s="24">
        <f>B8/$B$7</f>
        <v>0.13714285714285715</v>
      </c>
      <c r="E8" s="43">
        <v>767.55</v>
      </c>
      <c r="F8" s="25">
        <f>E8/$E$6</f>
        <v>1.7963354195756724E-2</v>
      </c>
      <c r="G8" s="26">
        <f>E8/$E$7</f>
        <v>0.10881908853114433</v>
      </c>
      <c r="H8" s="16"/>
    </row>
    <row r="9" spans="1:8">
      <c r="A9" s="73"/>
      <c r="B9" s="23"/>
      <c r="C9" s="25"/>
      <c r="D9" s="25"/>
      <c r="E9" s="77"/>
      <c r="F9" s="25"/>
      <c r="G9" s="26"/>
      <c r="H9" s="16"/>
    </row>
    <row r="10" spans="1:8">
      <c r="A10" s="73"/>
      <c r="B10" s="23"/>
      <c r="C10" s="25"/>
      <c r="D10" s="25"/>
      <c r="E10" s="77"/>
      <c r="F10" s="25"/>
      <c r="G10" s="26"/>
      <c r="H10" s="16"/>
    </row>
    <row r="11" spans="1:8">
      <c r="A11" s="73" t="s">
        <v>87</v>
      </c>
      <c r="B11" s="23"/>
      <c r="C11" s="25"/>
      <c r="D11" s="25"/>
      <c r="E11" s="77"/>
      <c r="F11" s="25"/>
      <c r="G11" s="26"/>
      <c r="H11" s="16"/>
    </row>
    <row r="12" spans="1:8">
      <c r="A12" s="12"/>
      <c r="B12" s="70" t="s">
        <v>88</v>
      </c>
      <c r="C12" s="24" t="s">
        <v>56</v>
      </c>
      <c r="D12" s="24"/>
      <c r="E12" s="78" t="s">
        <v>54</v>
      </c>
      <c r="F12" s="25"/>
      <c r="G12" s="26"/>
      <c r="H12" s="16"/>
    </row>
    <row r="13" spans="1:8">
      <c r="A13" s="74" t="s">
        <v>85</v>
      </c>
      <c r="B13" s="75">
        <f>'CVC by Year and Quarter'!C20+'CVC by Year and Quarter'!C19</f>
        <v>845</v>
      </c>
      <c r="C13" s="19"/>
      <c r="D13" s="19"/>
      <c r="E13" s="79">
        <f>'CVC by Year and Quarter'!H20+'CVC by Year and Quarter'!H19</f>
        <v>3291.7</v>
      </c>
      <c r="F13" s="23"/>
      <c r="G13" s="16"/>
      <c r="H13" s="16"/>
    </row>
    <row r="14" spans="1:8">
      <c r="A14" s="74" t="str">
        <f>A8</f>
        <v>Corporate VC Investment Deals  in Clean Technology companies</v>
      </c>
      <c r="B14" s="75">
        <f>B8</f>
        <v>120</v>
      </c>
      <c r="C14" s="74"/>
      <c r="D14" s="74"/>
      <c r="E14" s="79">
        <f>E8</f>
        <v>767.55</v>
      </c>
      <c r="F14" s="74"/>
      <c r="G14" s="74"/>
    </row>
    <row r="15" spans="1:8">
      <c r="A15" s="73" t="s">
        <v>89</v>
      </c>
      <c r="B15" s="76">
        <f>B14/B13</f>
        <v>0.14201183431952663</v>
      </c>
      <c r="C15" s="74"/>
      <c r="D15" s="74"/>
      <c r="E15" s="80">
        <f>E14/E13</f>
        <v>0.23317738554546283</v>
      </c>
      <c r="F15" s="74"/>
      <c r="G15" s="74"/>
    </row>
    <row r="17" spans="1:1">
      <c r="A17" s="5" t="s">
        <v>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CVC by Year and Quarter</vt:lpstr>
      <vt:lpstr>Corporate VC Sectors</vt:lpstr>
      <vt:lpstr>Clean Tech &amp; Corporate VC</vt:lpstr>
      <vt:lpstr>'CVC by Year and Quarter'!Print_Area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John.Taylor</cp:lastModifiedBy>
  <cp:lastPrinted>2010-10-22T17:53:29Z</cp:lastPrinted>
  <dcterms:created xsi:type="dcterms:W3CDTF">2011-08-17T22:20:21Z</dcterms:created>
  <dcterms:modified xsi:type="dcterms:W3CDTF">2012-07-25T18:56:57Z</dcterms:modified>
</cp:coreProperties>
</file>