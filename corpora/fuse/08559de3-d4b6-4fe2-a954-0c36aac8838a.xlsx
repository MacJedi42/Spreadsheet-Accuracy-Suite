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firstSheet="5" activeTab="8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44525"/>
</workbook>
</file>

<file path=xl/calcChain.xml><?xml version="1.0" encoding="utf-8"?>
<calcChain xmlns="http://schemas.openxmlformats.org/spreadsheetml/2006/main">
  <c r="AS17" i="1" l="1"/>
  <c r="AS16" i="1"/>
  <c r="AS12" i="1"/>
  <c r="AS14" i="1"/>
  <c r="AS10" i="1"/>
  <c r="AS9" i="1"/>
  <c r="AS7" i="1"/>
  <c r="AS6" i="1"/>
  <c r="AS4" i="1"/>
  <c r="AS3" i="1"/>
  <c r="AR17" i="1" l="1"/>
  <c r="AR16" i="1"/>
  <c r="AR14" i="1"/>
  <c r="AR9" i="1"/>
  <c r="AR10" i="1" s="1"/>
  <c r="AR12" i="1"/>
  <c r="AR7" i="1"/>
  <c r="AR6" i="1"/>
  <c r="AR4" i="1"/>
  <c r="AR3" i="1"/>
  <c r="AQ14" i="1"/>
  <c r="AQ17" i="1"/>
  <c r="AQ16" i="1"/>
  <c r="AQ12" i="1"/>
  <c r="AQ10" i="1"/>
  <c r="AQ9" i="1"/>
  <c r="AQ7" i="1"/>
  <c r="AQ6" i="1"/>
  <c r="AQ4" i="1"/>
  <c r="AQ3" i="1"/>
  <c r="AP12" i="1"/>
  <c r="AP16" i="1"/>
  <c r="AP17" i="1"/>
  <c r="AP14" i="1"/>
  <c r="AP10" i="1"/>
  <c r="AP9" i="1"/>
  <c r="AP4" i="1"/>
  <c r="AP3" i="1"/>
  <c r="AP7" i="1"/>
  <c r="AP6" i="1"/>
  <c r="AO17" i="1"/>
  <c r="AO16" i="1"/>
  <c r="AO14" i="1"/>
  <c r="AO12" i="1"/>
  <c r="AO10" i="1"/>
  <c r="AO9" i="1"/>
  <c r="AO7" i="1"/>
  <c r="AO6" i="1"/>
  <c r="AO4" i="1"/>
  <c r="AO3" i="1"/>
  <c r="AN16" i="1"/>
  <c r="AN14" i="1"/>
  <c r="AN17" i="1"/>
  <c r="AN12" i="1"/>
  <c r="AN10" i="1"/>
  <c r="AN9" i="1"/>
  <c r="AN7" i="1"/>
  <c r="AN6" i="1"/>
  <c r="AN4" i="1"/>
  <c r="AN3" i="1"/>
  <c r="AM17" i="1"/>
  <c r="AM16" i="1"/>
  <c r="AM14" i="1"/>
  <c r="AM12" i="1"/>
  <c r="AM10" i="1"/>
  <c r="AM9" i="1"/>
  <c r="AM7" i="1"/>
  <c r="AM6" i="1"/>
  <c r="AM4" i="1"/>
  <c r="AM3" i="1"/>
  <c r="AL17" i="1"/>
  <c r="AL16" i="1"/>
  <c r="AL14" i="1"/>
  <c r="AL12" i="1"/>
  <c r="AL10" i="1"/>
  <c r="AL9" i="1"/>
  <c r="AL7" i="1"/>
  <c r="AL6" i="1"/>
  <c r="AL4" i="1"/>
  <c r="AL3" i="1"/>
  <c r="AK16" i="1"/>
  <c r="AK17" i="1"/>
  <c r="AK14" i="1"/>
  <c r="AK9" i="1"/>
  <c r="AK10" i="1" s="1"/>
  <c r="AK12" i="1"/>
  <c r="AK6" i="1"/>
  <c r="AK7" i="1" s="1"/>
  <c r="AK3" i="1"/>
  <c r="AK4" i="1" s="1"/>
  <c r="AJ16" i="1"/>
  <c r="AJ14" i="1"/>
  <c r="AJ17" i="1"/>
  <c r="AJ12" i="1"/>
  <c r="AJ9" i="1"/>
  <c r="AJ10" i="1" s="1"/>
  <c r="AJ6" i="1"/>
  <c r="AJ7" i="1" s="1"/>
  <c r="AJ3" i="1"/>
  <c r="AJ4" i="1" s="1"/>
  <c r="AI16" i="1"/>
  <c r="AI14" i="1"/>
  <c r="AI17" i="1"/>
  <c r="AI12" i="1"/>
  <c r="AG12" i="1"/>
  <c r="AI9" i="1"/>
  <c r="AI10" i="1" s="1"/>
  <c r="AI6" i="1"/>
  <c r="AI7" i="1" s="1"/>
  <c r="AI3" i="1"/>
  <c r="AI4" i="1" s="1"/>
  <c r="AH16" i="1"/>
  <c r="AH14" i="1"/>
  <c r="AH17" i="1"/>
  <c r="AH12" i="1"/>
  <c r="AH9" i="1"/>
  <c r="AH10" i="1" s="1"/>
  <c r="AH6" i="1"/>
  <c r="AH7" i="1" s="1"/>
  <c r="AH3" i="1"/>
  <c r="AH4" i="1" s="1"/>
  <c r="AG16" i="1"/>
  <c r="AG14" i="1"/>
  <c r="AG17" i="1"/>
  <c r="AG9" i="1"/>
  <c r="AG10" i="1" s="1"/>
  <c r="AG6" i="1"/>
  <c r="AG7" i="1" s="1"/>
  <c r="AG3" i="1"/>
  <c r="AG4" i="1" s="1"/>
  <c r="AF16" i="1"/>
  <c r="AF14" i="1"/>
  <c r="AF17" i="1"/>
  <c r="AF12" i="1"/>
  <c r="AF9" i="1"/>
  <c r="AF10" i="1" s="1"/>
  <c r="AF6" i="1"/>
  <c r="AF7" i="1" s="1"/>
  <c r="AF3" i="1"/>
  <c r="AF4" i="1" s="1"/>
  <c r="AE17" i="1"/>
  <c r="AE16" i="1"/>
  <c r="AE14" i="1"/>
  <c r="AE12" i="1"/>
  <c r="AE9" i="1"/>
  <c r="AE10" i="1" s="1"/>
  <c r="AE6" i="1"/>
  <c r="AE7" i="1" s="1"/>
  <c r="AE3" i="1"/>
  <c r="AE4" i="1" s="1"/>
  <c r="AD17" i="1"/>
  <c r="AD16" i="1"/>
  <c r="AD14" i="1"/>
  <c r="AD12" i="1"/>
  <c r="AD9" i="1"/>
  <c r="AD10" i="1" s="1"/>
  <c r="AD6" i="1"/>
  <c r="AD7" i="1" s="1"/>
  <c r="AD3" i="1"/>
  <c r="AD4" i="1" s="1"/>
  <c r="AC16" i="1"/>
  <c r="AC14" i="1"/>
  <c r="AC9" i="1"/>
  <c r="AC10" i="1" s="1"/>
  <c r="AC17" i="1"/>
  <c r="AC12" i="1"/>
  <c r="AC6" i="1"/>
  <c r="AC7" i="1" s="1"/>
  <c r="AC3" i="1"/>
  <c r="AC4" i="1" s="1"/>
  <c r="AB16" i="1"/>
  <c r="AB14" i="1"/>
  <c r="AB17" i="1"/>
  <c r="AB12" i="1"/>
  <c r="AB9" i="1"/>
  <c r="AB10" i="1" s="1"/>
  <c r="AB6" i="1"/>
  <c r="AB7" i="1" s="1"/>
  <c r="AB3" i="1"/>
  <c r="AB4" i="1" s="1"/>
  <c r="AA16" i="1"/>
  <c r="AA14" i="1"/>
  <c r="AA17" i="1"/>
  <c r="AA12" i="1"/>
  <c r="AA9" i="1"/>
  <c r="AA10" i="1" s="1"/>
  <c r="AA6" i="1"/>
  <c r="AA7" i="1" s="1"/>
  <c r="AA3" i="1"/>
  <c r="AA4" i="1" s="1"/>
  <c r="Z17" i="1"/>
  <c r="Z16" i="1"/>
  <c r="Z14" i="1"/>
  <c r="Z12" i="1"/>
  <c r="Z9" i="1"/>
  <c r="Z10" i="1" s="1"/>
  <c r="Z6" i="1"/>
  <c r="Z7" i="1" s="1"/>
  <c r="Z3" i="1"/>
  <c r="Z4" i="1" s="1"/>
  <c r="Y16" i="1"/>
  <c r="Y14" i="1"/>
  <c r="Y12" i="1"/>
  <c r="Y10" i="1"/>
  <c r="Y9" i="1"/>
  <c r="Y17" i="1"/>
  <c r="Y3" i="1"/>
  <c r="Y4" i="1" s="1"/>
  <c r="Y6" i="1"/>
  <c r="Y7" i="1" s="1"/>
  <c r="X16" i="1"/>
  <c r="X14" i="1"/>
  <c r="X17" i="1"/>
  <c r="X12" i="1"/>
  <c r="X9" i="1"/>
  <c r="X10" i="1" s="1"/>
  <c r="X6" i="1"/>
  <c r="X7" i="1" s="1"/>
  <c r="X3" i="1"/>
  <c r="X4" i="1" s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B17" i="1"/>
  <c r="W14" i="1"/>
  <c r="W16" i="1"/>
  <c r="W12" i="1"/>
  <c r="W10" i="1"/>
  <c r="W9" i="1"/>
  <c r="W7" i="1"/>
  <c r="W6" i="1"/>
  <c r="W3" i="1"/>
  <c r="W4" i="1" s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B16" i="1"/>
  <c r="V14" i="1"/>
  <c r="V12" i="1"/>
  <c r="V10" i="1"/>
  <c r="V9" i="1"/>
  <c r="V7" i="1"/>
  <c r="V6" i="1"/>
  <c r="V3" i="1"/>
  <c r="V4" i="1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B14" i="1"/>
  <c r="U12" i="1"/>
  <c r="U10" i="1"/>
  <c r="U9" i="1"/>
  <c r="U7" i="1"/>
  <c r="U6" i="1"/>
  <c r="U4" i="1"/>
  <c r="U3" i="1"/>
  <c r="T12" i="1"/>
  <c r="T9" i="1"/>
  <c r="T10" i="1" s="1"/>
  <c r="T6" i="1"/>
  <c r="T7" i="1" s="1"/>
  <c r="T3" i="1"/>
  <c r="T4" i="1" s="1"/>
  <c r="S3" i="1"/>
  <c r="S4" i="1" s="1"/>
  <c r="S6" i="1"/>
  <c r="S7" i="1"/>
  <c r="S9" i="1"/>
  <c r="S10" i="1" s="1"/>
  <c r="E9" i="1"/>
  <c r="D6" i="1"/>
  <c r="E6" i="1"/>
  <c r="E7" i="1" s="1"/>
  <c r="F6" i="1"/>
  <c r="G6" i="1"/>
  <c r="H6" i="1"/>
  <c r="I6" i="1"/>
  <c r="J6" i="1"/>
  <c r="K6" i="1"/>
  <c r="L6" i="1"/>
  <c r="M6" i="1"/>
  <c r="N6" i="1"/>
  <c r="O6" i="1"/>
  <c r="P6" i="1"/>
  <c r="Q6" i="1"/>
  <c r="R6" i="1"/>
  <c r="C6" i="1"/>
  <c r="C7" i="1" s="1"/>
  <c r="R7" i="1"/>
  <c r="L3" i="1"/>
  <c r="L4" i="1" s="1"/>
  <c r="M3" i="1"/>
  <c r="M4" i="1" s="1"/>
  <c r="N3" i="1"/>
  <c r="N4" i="1" s="1"/>
  <c r="O3" i="1"/>
  <c r="O4" i="1" s="1"/>
  <c r="P3" i="1"/>
  <c r="P4" i="1" s="1"/>
  <c r="K3" i="1"/>
  <c r="K4" i="1" s="1"/>
  <c r="H9" i="1"/>
  <c r="H10" i="1" s="1"/>
  <c r="I9" i="1"/>
  <c r="I10" i="1" s="1"/>
  <c r="J9" i="1"/>
  <c r="J10" i="1" s="1"/>
  <c r="K9" i="1"/>
  <c r="K10" i="1" s="1"/>
  <c r="L9" i="1"/>
  <c r="L10" i="1" s="1"/>
  <c r="M9" i="1"/>
  <c r="M10" i="1" s="1"/>
  <c r="N9" i="1"/>
  <c r="N10" i="1" s="1"/>
  <c r="O9" i="1"/>
  <c r="O10" i="1" s="1"/>
  <c r="P9" i="1"/>
  <c r="P10" i="1" s="1"/>
  <c r="Q9" i="1"/>
  <c r="Q10" i="1" s="1"/>
  <c r="R9" i="1"/>
  <c r="R10" i="1" s="1"/>
  <c r="G9" i="1"/>
  <c r="G10" i="1" s="1"/>
  <c r="D3" i="1"/>
  <c r="D4" i="1" s="1"/>
  <c r="E3" i="1"/>
  <c r="E4" i="1" s="1"/>
  <c r="F3" i="1"/>
  <c r="F4" i="1" s="1"/>
  <c r="G3" i="1"/>
  <c r="G4" i="1" s="1"/>
  <c r="H3" i="1"/>
  <c r="H4" i="1" s="1"/>
  <c r="I3" i="1"/>
  <c r="I4" i="1" s="1"/>
  <c r="J3" i="1"/>
  <c r="J4" i="1" s="1"/>
  <c r="Q3" i="1"/>
  <c r="Q4" i="1" s="1"/>
  <c r="R3" i="1"/>
  <c r="R4" i="1" s="1"/>
  <c r="C3" i="1"/>
  <c r="C4" i="1" s="1"/>
  <c r="D7" i="1"/>
  <c r="F7" i="1"/>
  <c r="G7" i="1"/>
  <c r="H7" i="1"/>
  <c r="I7" i="1"/>
  <c r="J7" i="1"/>
  <c r="K7" i="1"/>
  <c r="L7" i="1"/>
  <c r="M7" i="1"/>
  <c r="N7" i="1"/>
  <c r="O7" i="1"/>
  <c r="P7" i="1"/>
  <c r="Q7" i="1"/>
</calcChain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<sst xmlns="http://schemas.openxmlformats.org/spreadsheetml/2006/main" count="64" uniqueCount="17">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</sst>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5" xfId="2" applyFill="1" applyBorder="1" applyAlignment="1"/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Data!$D$1:$AS$1</c:f>
              <c:numCache>
                <c:formatCode>mmm\-yy</c:formatCode>
                <c:ptCount val="42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  <c:pt idx="35">
                  <c:v>40422</c:v>
                </c:pt>
                <c:pt idx="36">
                  <c:v>40452</c:v>
                </c:pt>
                <c:pt idx="37">
                  <c:v>40483</c:v>
                </c:pt>
                <c:pt idx="38">
                  <c:v>40513</c:v>
                </c:pt>
                <c:pt idx="39">
                  <c:v>40544</c:v>
                </c:pt>
                <c:pt idx="40">
                  <c:v>40575</c:v>
                </c:pt>
                <c:pt idx="41">
                  <c:v>40603</c:v>
                </c:pt>
              </c:numCache>
            </c:numRef>
          </c:cat>
          <c:val>
            <c:numRef>
              <c:f>Data!$D$8:$AS$8</c:f>
              <c:numCache>
                <c:formatCode>General</c:formatCode>
                <c:ptCount val="42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  <c:pt idx="35">
                  <c:v>1160</c:v>
                </c:pt>
                <c:pt idx="36">
                  <c:v>1167</c:v>
                </c:pt>
                <c:pt idx="37">
                  <c:v>1187</c:v>
                </c:pt>
                <c:pt idx="38">
                  <c:v>1220</c:v>
                </c:pt>
                <c:pt idx="39">
                  <c:v>1231</c:v>
                </c:pt>
                <c:pt idx="40">
                  <c:v>1246</c:v>
                </c:pt>
                <c:pt idx="41">
                  <c:v>1242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35"/>
        <c:shape val="cylinder"/>
        <c:axId val="27844992"/>
        <c:axId val="27846528"/>
        <c:axId val="0"/>
      </c:bar3DChart>
      <c:dateAx>
        <c:axId val="2784499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27846528"/>
        <c:crosses val="autoZero"/>
        <c:auto val="1"/>
        <c:lblOffset val="100"/>
        <c:baseTimeUnit val="months"/>
      </c:dateAx>
      <c:valAx>
        <c:axId val="278465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7844992"/>
        <c:crosses val="autoZero"/>
        <c:crossBetween val="between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cat>
            <c:numRef>
              <c:f>Data!$B$1:$AS$1</c:f>
              <c:numCache>
                <c:formatCode>mmm\-yy</c:formatCode>
                <c:ptCount val="4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</c:numCache>
            </c:numRef>
          </c:cat>
          <c:val>
            <c:numRef>
              <c:f>Data!$B$2:$AS$2</c:f>
              <c:numCache>
                <c:formatCode>General</c:formatCode>
                <c:ptCount val="44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8056576"/>
        <c:axId val="28091136"/>
        <c:axId val="0"/>
      </c:bar3DChart>
      <c:dateAx>
        <c:axId val="2805657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28091136"/>
        <c:crosses val="autoZero"/>
        <c:auto val="1"/>
        <c:lblOffset val="100"/>
        <c:baseTimeUnit val="months"/>
      </c:dateAx>
      <c:valAx>
        <c:axId val="280911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8056576"/>
        <c:crosses val="autoZero"/>
        <c:crossBetween val="between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6"/>
    </mc:Choice>
    <mc:Fallback>
      <c:style val="3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Data!$B$1:$AS$1</c:f>
              <c:numCache>
                <c:formatCode>mmm\-yy</c:formatCode>
                <c:ptCount val="4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</c:numCache>
            </c:numRef>
          </c:cat>
          <c:val>
            <c:numRef>
              <c:f>Data!$B$5:$AS$5</c:f>
              <c:numCache>
                <c:formatCode>General</c:formatCode>
                <c:ptCount val="44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  <c:pt idx="37">
                  <c:v>339102</c:v>
                </c:pt>
                <c:pt idx="38">
                  <c:v>378445</c:v>
                </c:pt>
                <c:pt idx="39">
                  <c:v>422419</c:v>
                </c:pt>
                <c:pt idx="40">
                  <c:v>457918</c:v>
                </c:pt>
                <c:pt idx="41">
                  <c:v>493251</c:v>
                </c:pt>
                <c:pt idx="42">
                  <c:v>536630</c:v>
                </c:pt>
                <c:pt idx="43">
                  <c:v>595225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19584"/>
        <c:axId val="28421120"/>
      </c:lineChart>
      <c:dateAx>
        <c:axId val="2841958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28421120"/>
        <c:crosses val="autoZero"/>
        <c:auto val="1"/>
        <c:lblOffset val="100"/>
        <c:baseTimeUnit val="months"/>
      </c:dateAx>
      <c:valAx>
        <c:axId val="284211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84195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Data!$B$1:$AS$1</c:f>
              <c:numCache>
                <c:formatCode>mmm\-yy</c:formatCode>
                <c:ptCount val="4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</c:numCache>
            </c:numRef>
          </c:cat>
          <c:val>
            <c:numRef>
              <c:f>Data!$B$6:$AS$6</c:f>
              <c:numCache>
                <c:formatCode>General</c:formatCode>
                <c:ptCount val="44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  <c:pt idx="37">
                  <c:v>36917</c:v>
                </c:pt>
                <c:pt idx="38">
                  <c:v>39343</c:v>
                </c:pt>
                <c:pt idx="39">
                  <c:v>43974</c:v>
                </c:pt>
                <c:pt idx="40">
                  <c:v>35499</c:v>
                </c:pt>
                <c:pt idx="41">
                  <c:v>35333</c:v>
                </c:pt>
                <c:pt idx="42">
                  <c:v>43379</c:v>
                </c:pt>
                <c:pt idx="43">
                  <c:v>58595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8144000"/>
        <c:axId val="28145536"/>
        <c:axId val="0"/>
      </c:bar3DChart>
      <c:dateAx>
        <c:axId val="2814400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28145536"/>
        <c:crosses val="autoZero"/>
        <c:auto val="1"/>
        <c:lblOffset val="100"/>
        <c:baseTimeUnit val="months"/>
      </c:dateAx>
      <c:valAx>
        <c:axId val="281455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8144000"/>
        <c:crosses val="autoZero"/>
        <c:crossBetween val="between"/>
      </c:valAx>
    </c:plotArea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986652141272835E-2"/>
          <c:y val="8.4907465107361052E-2"/>
          <c:w val="0.91530721807793236"/>
          <c:h val="0.8184920112607238"/>
        </c:manualLayout>
      </c:layout>
      <c:lineChart>
        <c:grouping val="standard"/>
        <c:varyColors val="0"/>
        <c:ser>
          <c:idx val="0"/>
          <c:order val="0"/>
          <c:tx>
            <c:v>Items to Date</c:v>
          </c:tx>
          <c:marker>
            <c:symbol val="none"/>
          </c:marker>
          <c:cat>
            <c:numRef>
              <c:f>Data!$B$1:$AS$1</c:f>
              <c:numCache>
                <c:formatCode>mmm\-yy</c:formatCode>
                <c:ptCount val="4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</c:numCache>
            </c:numRef>
          </c:cat>
          <c:val>
            <c:numRef>
              <c:f>Data!$B$2:$AS$2</c:f>
              <c:numCache>
                <c:formatCode>General</c:formatCode>
                <c:ptCount val="44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</c:numCache>
            </c:numRef>
          </c:val>
          <c:smooth val="0"/>
        </c:ser>
        <c:ser>
          <c:idx val="1"/>
          <c:order val="1"/>
          <c:tx>
            <c:v>Number of participants</c:v>
          </c:tx>
          <c:marker>
            <c:symbol val="none"/>
          </c:marker>
          <c:cat>
            <c:numRef>
              <c:f>Data!$B$1:$AS$1</c:f>
              <c:numCache>
                <c:formatCode>mmm\-yy</c:formatCode>
                <c:ptCount val="4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</c:numCache>
            </c:numRef>
          </c:cat>
          <c:val>
            <c:numRef>
              <c:f>Data!$B$8:$AS$8</c:f>
              <c:numCache>
                <c:formatCode>General</c:formatCode>
                <c:ptCount val="44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  <c:pt idx="37">
                  <c:v>1160</c:v>
                </c:pt>
                <c:pt idx="38">
                  <c:v>1167</c:v>
                </c:pt>
                <c:pt idx="39">
                  <c:v>1187</c:v>
                </c:pt>
                <c:pt idx="40">
                  <c:v>1220</c:v>
                </c:pt>
                <c:pt idx="41">
                  <c:v>1231</c:v>
                </c:pt>
                <c:pt idx="42">
                  <c:v>1246</c:v>
                </c:pt>
                <c:pt idx="43">
                  <c:v>1242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29632"/>
        <c:axId val="28231168"/>
      </c:lineChart>
      <c:dateAx>
        <c:axId val="2822963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28231168"/>
        <c:crosses val="autoZero"/>
        <c:auto val="1"/>
        <c:lblOffset val="100"/>
        <c:baseTimeUnit val="months"/>
      </c:dateAx>
      <c:valAx>
        <c:axId val="2823116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8229632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Percent of DC</c:v>
          </c:tx>
          <c:marker>
            <c:symbol val="none"/>
          </c:marker>
          <c:cat>
            <c:numRef>
              <c:f>Data!$B$1:$AS$1</c:f>
              <c:numCache>
                <c:formatCode>mmm\-yy</c:formatCode>
                <c:ptCount val="4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</c:numCache>
            </c:numRef>
          </c:cat>
          <c:val>
            <c:numRef>
              <c:f>Data!$B$14:$AS$14</c:f>
              <c:numCache>
                <c:formatCode>0%</c:formatCode>
                <c:ptCount val="44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  <c:pt idx="37">
                  <c:v>0.21671991480298189</c:v>
                </c:pt>
                <c:pt idx="38">
                  <c:v>0.21395106715252474</c:v>
                </c:pt>
                <c:pt idx="39">
                  <c:v>0.21209858103061988</c:v>
                </c:pt>
                <c:pt idx="40">
                  <c:v>0.21386285150468673</c:v>
                </c:pt>
                <c:pt idx="41">
                  <c:v>0.21021093000958774</c:v>
                </c:pt>
                <c:pt idx="42">
                  <c:v>0.20803005400328717</c:v>
                </c:pt>
                <c:pt idx="43">
                  <c:v>0.20807091205971542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28704"/>
        <c:axId val="28330240"/>
      </c:lineChart>
      <c:dateAx>
        <c:axId val="283287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28330240"/>
        <c:crosses val="autoZero"/>
        <c:auto val="1"/>
        <c:lblOffset val="100"/>
        <c:baseTimeUnit val="months"/>
      </c:dateAx>
      <c:valAx>
        <c:axId val="28330240"/>
        <c:scaling>
          <c:orientation val="minMax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8328704"/>
        <c:crosses val="autoZero"/>
        <c:crossBetween val="between"/>
      </c:valAx>
    </c:plotArea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varyColors val="0"/>
        <c:ser>
          <c:idx val="0"/>
          <c:order val="0"/>
          <c:marker>
            <c:symbol val="none"/>
          </c:marker>
          <c:cat>
            <c:numRef>
              <c:f>Data!$B$1:$AS$1</c:f>
              <c:numCache>
                <c:formatCode>mmm\-yy</c:formatCode>
                <c:ptCount val="4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</c:numCache>
            </c:numRef>
          </c:cat>
          <c:val>
            <c:numRef>
              <c:f>Data!$B$16:$AS$16</c:f>
              <c:numCache>
                <c:formatCode>0.0%</c:formatCode>
                <c:ptCount val="44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  <c:pt idx="37">
                  <c:v>0.42419390036036353</c:v>
                </c:pt>
                <c:pt idx="38">
                  <c:v>0.42839778567559356</c:v>
                </c:pt>
                <c:pt idx="39">
                  <c:v>0.42885855039664411</c:v>
                </c:pt>
                <c:pt idx="40">
                  <c:v>0.42667246100830281</c:v>
                </c:pt>
                <c:pt idx="41">
                  <c:v>0.42724089763629469</c:v>
                </c:pt>
                <c:pt idx="42">
                  <c:v>0.42651361273130461</c:v>
                </c:pt>
                <c:pt idx="43">
                  <c:v>0.42747532445713804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24224"/>
        <c:axId val="28730112"/>
      </c:lineChart>
      <c:dateAx>
        <c:axId val="287242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28730112"/>
        <c:crosses val="autoZero"/>
        <c:auto val="1"/>
        <c:lblOffset val="100"/>
        <c:baseTimeUnit val="months"/>
      </c:dateAx>
      <c:valAx>
        <c:axId val="28730112"/>
        <c:scaling>
          <c:orientation val="minMax"/>
          <c:min val="0.4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28724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733"/>
          <c:w val="0.11005280502029265"/>
          <c:h val="0.17371685842603662"/>
        </c:manualLayout>
      </c:layout>
      <c:overlay val="0"/>
    </c:legend>
    <c:plotVisOnly val="1"/>
    <c:dispBlanksAs val="zero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varyColors val="0"/>
        <c:ser>
          <c:idx val="0"/>
          <c:order val="0"/>
          <c:tx>
            <c:v>Ave. Downloads per item</c:v>
          </c:tx>
          <c:marker>
            <c:symbol val="none"/>
          </c:marker>
          <c:cat>
            <c:numRef>
              <c:f>Data!$B$1:$AS$1</c:f>
              <c:numCache>
                <c:formatCode>mmm\-yy</c:formatCode>
                <c:ptCount val="4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</c:numCache>
            </c:numRef>
          </c:cat>
          <c:val>
            <c:numRef>
              <c:f>Data!$B$17:$AS$17</c:f>
              <c:numCache>
                <c:formatCode>0.0</c:formatCode>
                <c:ptCount val="44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  <c:pt idx="37">
                  <c:v>90.282747603833869</c:v>
                </c:pt>
                <c:pt idx="38">
                  <c:v>98.502082248828728</c:v>
                </c:pt>
                <c:pt idx="39">
                  <c:v>105.15782922579039</c:v>
                </c:pt>
                <c:pt idx="40">
                  <c:v>112.95461272816971</c:v>
                </c:pt>
                <c:pt idx="41">
                  <c:v>118.22890699904123</c:v>
                </c:pt>
                <c:pt idx="42">
                  <c:v>125.99906081239727</c:v>
                </c:pt>
                <c:pt idx="43">
                  <c:v>138.84418007930955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48640"/>
        <c:axId val="28450176"/>
      </c:lineChart>
      <c:dateAx>
        <c:axId val="284486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28450176"/>
        <c:crosses val="autoZero"/>
        <c:auto val="1"/>
        <c:lblOffset val="100"/>
        <c:baseTimeUnit val="months"/>
      </c:dateAx>
      <c:valAx>
        <c:axId val="28450176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2844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701"/>
          <c:y val="0.48273800216865431"/>
          <c:w val="0.11018456971966505"/>
          <c:h val="0.10914028624709712"/>
        </c:manualLayout>
      </c:layout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tabSelected="1"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819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819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819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819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819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819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819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819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5"/>
  <sheetViews>
    <sheetView zoomScale="70" zoomScaleNormal="70" workbookViewId="0">
      <pane xSplit="1" ySplit="1" topLeftCell="Z2" activePane="bottomRight" state="frozen"/>
      <selection pane="topRight" activeCell="B1" sqref="B1"/>
      <selection pane="bottomLeft" activeCell="A2" sqref="A2"/>
      <selection pane="bottomRight" activeCell="AS18" sqref="AS18"/>
    </sheetView>
  </sheetViews>
  <sheetFormatPr defaultRowHeight="17.25" x14ac:dyDescent="0.25"/>
  <cols>
    <col min="1" max="1" width="19.5703125" style="26" customWidth="1"/>
    <col min="2" max="2" width="11" customWidth="1"/>
    <col min="3" max="3" width="11.85546875" bestFit="1" customWidth="1"/>
    <col min="4" max="4" width="9.42578125" bestFit="1" customWidth="1"/>
    <col min="5" max="5" width="9.5703125" bestFit="1" customWidth="1"/>
    <col min="6" max="6" width="10.28515625" bestFit="1" customWidth="1"/>
    <col min="7" max="7" width="9.42578125" bestFit="1" customWidth="1"/>
    <col min="8" max="8" width="10.140625" bestFit="1" customWidth="1"/>
    <col min="9" max="9" width="9.7109375" bestFit="1" customWidth="1"/>
    <col min="10" max="10" width="9.42578125" bestFit="1" customWidth="1"/>
    <col min="11" max="11" width="10" bestFit="1" customWidth="1"/>
    <col min="12" max="13" width="9.42578125" bestFit="1" customWidth="1"/>
    <col min="14" max="15" width="10.28515625" bestFit="1" customWidth="1"/>
    <col min="16" max="16" width="9.42578125" bestFit="1" customWidth="1"/>
    <col min="17" max="17" width="9.5703125" bestFit="1" customWidth="1"/>
    <col min="18" max="18" width="10.28515625" bestFit="1" customWidth="1"/>
    <col min="19" max="19" width="9.42578125" bestFit="1" customWidth="1"/>
    <col min="20" max="20" width="10.1406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27" width="10.28515625" bestFit="1" customWidth="1"/>
    <col min="28" max="28" width="10.28515625" customWidth="1"/>
    <col min="29" max="45" width="10.28515625" bestFit="1" customWidth="1"/>
  </cols>
  <sheetData>
    <row r="1" spans="1:49" s="3" customFormat="1" ht="27" customHeight="1" thickBot="1" x14ac:dyDescent="0.35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  <c r="AM1" s="6">
        <v>40422</v>
      </c>
      <c r="AN1" s="6">
        <v>40452</v>
      </c>
      <c r="AO1" s="6">
        <v>40483</v>
      </c>
      <c r="AP1" s="6">
        <v>40513</v>
      </c>
      <c r="AQ1" s="6">
        <v>40544</v>
      </c>
      <c r="AR1" s="6">
        <v>40575</v>
      </c>
      <c r="AS1" s="6">
        <v>40603</v>
      </c>
      <c r="AT1" s="6">
        <v>40634</v>
      </c>
      <c r="AU1" s="6">
        <v>40664</v>
      </c>
      <c r="AV1" s="6">
        <v>40695</v>
      </c>
      <c r="AW1" s="6">
        <v>40725</v>
      </c>
    </row>
    <row r="2" spans="1:49" ht="18" thickBot="1" x14ac:dyDescent="0.3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  <c r="AM2" s="10">
        <v>3756</v>
      </c>
      <c r="AN2" s="10">
        <v>3842</v>
      </c>
      <c r="AO2" s="10">
        <v>4017</v>
      </c>
      <c r="AP2" s="10">
        <v>4054</v>
      </c>
      <c r="AQ2" s="10">
        <v>4172</v>
      </c>
      <c r="AR2" s="10">
        <v>4259</v>
      </c>
      <c r="AS2" s="10">
        <v>4287</v>
      </c>
    </row>
    <row r="3" spans="1:49" s="4" customFormat="1" ht="35.25" thickBot="1" x14ac:dyDescent="0.3">
      <c r="A3" s="21" t="s">
        <v>1</v>
      </c>
      <c r="B3" s="11" t="s">
        <v>9</v>
      </c>
      <c r="C3" s="11">
        <f>C2-B2</f>
        <v>3</v>
      </c>
      <c r="D3" s="11">
        <f t="shared" ref="D3:AS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  <c r="AM3" s="11">
        <f t="shared" si="0"/>
        <v>72</v>
      </c>
      <c r="AN3" s="11">
        <f t="shared" si="0"/>
        <v>86</v>
      </c>
      <c r="AO3" s="11">
        <f t="shared" si="0"/>
        <v>175</v>
      </c>
      <c r="AP3" s="11">
        <f t="shared" si="0"/>
        <v>37</v>
      </c>
      <c r="AQ3" s="11">
        <f t="shared" si="0"/>
        <v>118</v>
      </c>
      <c r="AR3" s="11">
        <f t="shared" si="0"/>
        <v>87</v>
      </c>
      <c r="AS3" s="11">
        <f t="shared" si="0"/>
        <v>28</v>
      </c>
    </row>
    <row r="4" spans="1:49" s="1" customFormat="1" ht="18" thickBot="1" x14ac:dyDescent="0.3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S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  <c r="AM4" s="12">
        <f t="shared" si="14"/>
        <v>1.9543973941368076E-2</v>
      </c>
      <c r="AN4" s="12">
        <f t="shared" si="14"/>
        <v>2.2896698615548456E-2</v>
      </c>
      <c r="AO4" s="12">
        <f t="shared" si="14"/>
        <v>4.5549193128578865E-2</v>
      </c>
      <c r="AP4" s="12">
        <f t="shared" si="14"/>
        <v>9.2108538710480459E-3</v>
      </c>
      <c r="AQ4" s="12">
        <f t="shared" si="14"/>
        <v>2.9107054760730142E-2</v>
      </c>
      <c r="AR4" s="12">
        <f t="shared" si="14"/>
        <v>2.0853307766059443E-2</v>
      </c>
      <c r="AS4" s="12">
        <f t="shared" si="14"/>
        <v>6.574313219065508E-3</v>
      </c>
    </row>
    <row r="5" spans="1:49" ht="35.25" thickBot="1" x14ac:dyDescent="0.3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  <c r="AM5" s="10">
        <v>339102</v>
      </c>
      <c r="AN5" s="10">
        <v>378445</v>
      </c>
      <c r="AO5" s="10">
        <v>422419</v>
      </c>
      <c r="AP5" s="10">
        <v>457918</v>
      </c>
      <c r="AQ5" s="10">
        <v>493251</v>
      </c>
      <c r="AR5" s="10">
        <v>536630</v>
      </c>
      <c r="AS5" s="10">
        <v>595225</v>
      </c>
    </row>
    <row r="6" spans="1:49" ht="35.25" thickBot="1" x14ac:dyDescent="0.3">
      <c r="A6" s="20" t="s">
        <v>4</v>
      </c>
      <c r="B6" s="7"/>
      <c r="C6" s="7">
        <f>C5-B5</f>
        <v>1628</v>
      </c>
      <c r="D6" s="7">
        <f t="shared" ref="D6:AS6" si="15">D5-C5</f>
        <v>1969</v>
      </c>
      <c r="E6" s="7">
        <f t="shared" si="15"/>
        <v>1779</v>
      </c>
      <c r="F6" s="7">
        <f t="shared" si="15"/>
        <v>1599</v>
      </c>
      <c r="G6" s="7">
        <f t="shared" si="15"/>
        <v>1896</v>
      </c>
      <c r="H6" s="7">
        <f t="shared" si="15"/>
        <v>2016</v>
      </c>
      <c r="I6" s="7">
        <f t="shared" si="15"/>
        <v>2530</v>
      </c>
      <c r="J6" s="7">
        <f t="shared" si="15"/>
        <v>2893</v>
      </c>
      <c r="K6" s="7">
        <f t="shared" si="15"/>
        <v>3723</v>
      </c>
      <c r="L6" s="7">
        <f t="shared" si="15"/>
        <v>3969</v>
      </c>
      <c r="M6" s="7">
        <f t="shared" si="15"/>
        <v>4478</v>
      </c>
      <c r="N6" s="7">
        <f t="shared" si="15"/>
        <v>3628</v>
      </c>
      <c r="O6" s="7">
        <f t="shared" si="15"/>
        <v>4021</v>
      </c>
      <c r="P6" s="7">
        <f t="shared" si="15"/>
        <v>4482</v>
      </c>
      <c r="Q6" s="7">
        <f t="shared" si="15"/>
        <v>4586</v>
      </c>
      <c r="R6" s="7">
        <f t="shared" si="15"/>
        <v>3682</v>
      </c>
      <c r="S6" s="7">
        <f t="shared" si="15"/>
        <v>4154</v>
      </c>
      <c r="T6" s="7">
        <f t="shared" si="15"/>
        <v>4175</v>
      </c>
      <c r="U6" s="7">
        <f t="shared" si="15"/>
        <v>6323</v>
      </c>
      <c r="V6" s="7">
        <f t="shared" si="15"/>
        <v>7144</v>
      </c>
      <c r="W6" s="7">
        <f t="shared" si="15"/>
        <v>7033</v>
      </c>
      <c r="X6" s="7">
        <f t="shared" si="15"/>
        <v>6910</v>
      </c>
      <c r="Y6" s="7">
        <f t="shared" si="15"/>
        <v>8624</v>
      </c>
      <c r="Z6" s="7">
        <f t="shared" si="15"/>
        <v>9149</v>
      </c>
      <c r="AA6" s="7">
        <f t="shared" si="15"/>
        <v>10789</v>
      </c>
      <c r="AB6" s="7">
        <f t="shared" si="15"/>
        <v>15399</v>
      </c>
      <c r="AC6" s="7">
        <f t="shared" si="15"/>
        <v>15192</v>
      </c>
      <c r="AD6" s="7">
        <f t="shared" si="15"/>
        <v>12575</v>
      </c>
      <c r="AE6" s="7">
        <f t="shared" si="15"/>
        <v>7806</v>
      </c>
      <c r="AF6" s="7">
        <f t="shared" si="15"/>
        <v>17061</v>
      </c>
      <c r="AG6" s="7">
        <f t="shared" si="15"/>
        <v>18692</v>
      </c>
      <c r="AH6" s="7">
        <f t="shared" si="15"/>
        <v>16865</v>
      </c>
      <c r="AI6" s="7">
        <f t="shared" si="15"/>
        <v>15846</v>
      </c>
      <c r="AJ6" s="7">
        <f t="shared" si="15"/>
        <v>23114</v>
      </c>
      <c r="AK6" s="7">
        <f t="shared" si="15"/>
        <v>16942</v>
      </c>
      <c r="AL6" s="7">
        <f t="shared" si="15"/>
        <v>24484</v>
      </c>
      <c r="AM6" s="7">
        <f t="shared" si="15"/>
        <v>36917</v>
      </c>
      <c r="AN6" s="7">
        <f t="shared" si="15"/>
        <v>39343</v>
      </c>
      <c r="AO6" s="7">
        <f t="shared" si="15"/>
        <v>43974</v>
      </c>
      <c r="AP6" s="7">
        <f t="shared" si="15"/>
        <v>35499</v>
      </c>
      <c r="AQ6" s="7">
        <f t="shared" si="15"/>
        <v>35333</v>
      </c>
      <c r="AR6" s="7">
        <f t="shared" si="15"/>
        <v>43379</v>
      </c>
      <c r="AS6" s="7">
        <f t="shared" si="15"/>
        <v>58595</v>
      </c>
    </row>
    <row r="7" spans="1:49" s="1" customFormat="1" ht="18" thickBot="1" x14ac:dyDescent="0.3">
      <c r="A7" s="22" t="s">
        <v>2</v>
      </c>
      <c r="B7" s="12" t="s">
        <v>9</v>
      </c>
      <c r="C7" s="12">
        <f>C6/B5</f>
        <v>0.32372241002187313</v>
      </c>
      <c r="D7" s="12">
        <f t="shared" ref="D7:AS7" si="16">D6/C5</f>
        <v>0.29577887937509389</v>
      </c>
      <c r="E7" s="12">
        <f t="shared" si="16"/>
        <v>0.20623695803385114</v>
      </c>
      <c r="F7" s="12">
        <f t="shared" si="16"/>
        <v>0.15367611725132149</v>
      </c>
      <c r="G7" s="12">
        <f t="shared" si="16"/>
        <v>0.15794735088303899</v>
      </c>
      <c r="H7" s="12">
        <f t="shared" si="16"/>
        <v>0.14503597122302159</v>
      </c>
      <c r="I7" s="12">
        <f t="shared" si="16"/>
        <v>0.15895953757225434</v>
      </c>
      <c r="J7" s="12">
        <f t="shared" si="16"/>
        <v>0.15683617044345657</v>
      </c>
      <c r="K7" s="12">
        <f t="shared" si="16"/>
        <v>0.17446928159707578</v>
      </c>
      <c r="L7" s="12">
        <f t="shared" si="16"/>
        <v>0.1583672492219296</v>
      </c>
      <c r="M7" s="12">
        <f t="shared" si="16"/>
        <v>0.15424890634149702</v>
      </c>
      <c r="N7" s="12">
        <f t="shared" si="16"/>
        <v>0.10826942015577905</v>
      </c>
      <c r="O7" s="12">
        <f t="shared" si="16"/>
        <v>0.10827476640547164</v>
      </c>
      <c r="P7" s="12">
        <f t="shared" si="16"/>
        <v>0.10889741969969387</v>
      </c>
      <c r="Q7" s="12">
        <f t="shared" si="16"/>
        <v>0.1004820333041192</v>
      </c>
      <c r="R7" s="12">
        <f t="shared" si="16"/>
        <v>7.330864492493927E-2</v>
      </c>
      <c r="S7" s="12">
        <f t="shared" si="16"/>
        <v>7.7057208577576614E-2</v>
      </c>
      <c r="T7" s="12">
        <f t="shared" si="16"/>
        <v>7.1905893699838103E-2</v>
      </c>
      <c r="U7" s="12">
        <f t="shared" si="16"/>
        <v>0.10159551392258624</v>
      </c>
      <c r="V7" s="12">
        <f t="shared" si="16"/>
        <v>0.10420070011668611</v>
      </c>
      <c r="W7" s="12">
        <f t="shared" si="16"/>
        <v>9.2901299799218004E-2</v>
      </c>
      <c r="X7" s="12">
        <f t="shared" si="16"/>
        <v>8.3517652320001939E-2</v>
      </c>
      <c r="Y7" s="12">
        <f t="shared" si="16"/>
        <v>9.6199538188673356E-2</v>
      </c>
      <c r="Z7" s="12">
        <f t="shared" si="16"/>
        <v>9.3099693704144657E-2</v>
      </c>
      <c r="AA7" s="12">
        <f t="shared" si="16"/>
        <v>0.10043753490970024</v>
      </c>
      <c r="AB7" s="12">
        <f t="shared" si="16"/>
        <v>0.13026926883739817</v>
      </c>
      <c r="AC7" s="12">
        <f t="shared" si="16"/>
        <v>0.11370576612178912</v>
      </c>
      <c r="AD7" s="12">
        <f t="shared" si="16"/>
        <v>8.4509408602150532E-2</v>
      </c>
      <c r="AE7" s="12">
        <f t="shared" si="16"/>
        <v>4.8371804802478699E-2</v>
      </c>
      <c r="AF7" s="12">
        <f t="shared" si="16"/>
        <v>0.10084465749700025</v>
      </c>
      <c r="AG7" s="12">
        <f t="shared" si="16"/>
        <v>0.10036404248236167</v>
      </c>
      <c r="AH7" s="12">
        <f t="shared" si="16"/>
        <v>8.2294787590150978E-2</v>
      </c>
      <c r="AI7" s="12">
        <f t="shared" si="16"/>
        <v>7.1443063314081665E-2</v>
      </c>
      <c r="AJ7" s="12">
        <f t="shared" si="16"/>
        <v>9.7262723810726079E-2</v>
      </c>
      <c r="AK7" s="12">
        <f t="shared" si="16"/>
        <v>6.4971870577813229E-2</v>
      </c>
      <c r="AL7" s="12">
        <f t="shared" si="16"/>
        <v>8.8166769295033143E-2</v>
      </c>
      <c r="AM7" s="12">
        <f t="shared" si="16"/>
        <v>0.12216688452438076</v>
      </c>
      <c r="AN7" s="12">
        <f t="shared" si="16"/>
        <v>0.11602113818261173</v>
      </c>
      <c r="AO7" s="12">
        <f t="shared" si="16"/>
        <v>0.11619654110901188</v>
      </c>
      <c r="AP7" s="12">
        <f t="shared" si="16"/>
        <v>8.4037413089846816E-2</v>
      </c>
      <c r="AQ7" s="12">
        <f t="shared" si="16"/>
        <v>7.7160102900519306E-2</v>
      </c>
      <c r="AR7" s="12">
        <f t="shared" si="16"/>
        <v>8.7945082726644239E-2</v>
      </c>
      <c r="AS7" s="12">
        <f t="shared" si="16"/>
        <v>0.10919069004714607</v>
      </c>
    </row>
    <row r="8" spans="1:49" ht="35.25" thickBot="1" x14ac:dyDescent="0.3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  <c r="AM8" s="10">
        <v>1160</v>
      </c>
      <c r="AN8" s="10">
        <v>1167</v>
      </c>
      <c r="AO8" s="10">
        <v>1187</v>
      </c>
      <c r="AP8" s="10">
        <v>1220</v>
      </c>
      <c r="AQ8" s="10">
        <v>1231</v>
      </c>
      <c r="AR8" s="10">
        <v>1246</v>
      </c>
      <c r="AS8" s="10">
        <v>1242</v>
      </c>
    </row>
    <row r="9" spans="1:49" ht="35.25" thickBot="1" x14ac:dyDescent="0.3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AS9" si="17">H8-G8</f>
        <v>13</v>
      </c>
      <c r="I9" s="8">
        <f t="shared" si="17"/>
        <v>5</v>
      </c>
      <c r="J9" s="8">
        <f t="shared" si="17"/>
        <v>35</v>
      </c>
      <c r="K9" s="8">
        <f t="shared" si="17"/>
        <v>30</v>
      </c>
      <c r="L9" s="8">
        <f t="shared" si="17"/>
        <v>0</v>
      </c>
      <c r="M9" s="8">
        <f t="shared" si="17"/>
        <v>5</v>
      </c>
      <c r="N9" s="8">
        <f t="shared" si="17"/>
        <v>7</v>
      </c>
      <c r="O9" s="8">
        <f t="shared" si="17"/>
        <v>10</v>
      </c>
      <c r="P9" s="8">
        <f t="shared" si="17"/>
        <v>7</v>
      </c>
      <c r="Q9" s="8">
        <f t="shared" si="17"/>
        <v>14</v>
      </c>
      <c r="R9" s="8">
        <f t="shared" si="17"/>
        <v>23</v>
      </c>
      <c r="S9" s="8">
        <f t="shared" si="17"/>
        <v>34</v>
      </c>
      <c r="T9" s="8">
        <f t="shared" si="17"/>
        <v>24</v>
      </c>
      <c r="U9" s="8">
        <f t="shared" si="17"/>
        <v>36</v>
      </c>
      <c r="V9" s="8">
        <f t="shared" si="17"/>
        <v>44</v>
      </c>
      <c r="W9" s="8">
        <f t="shared" si="17"/>
        <v>61</v>
      </c>
      <c r="X9" s="8">
        <f t="shared" si="17"/>
        <v>86</v>
      </c>
      <c r="Y9" s="8">
        <f t="shared" si="17"/>
        <v>73</v>
      </c>
      <c r="Z9" s="8">
        <f t="shared" si="17"/>
        <v>61</v>
      </c>
      <c r="AA9" s="8">
        <f t="shared" si="17"/>
        <v>53</v>
      </c>
      <c r="AB9" s="8">
        <f t="shared" si="17"/>
        <v>26</v>
      </c>
      <c r="AC9" s="8">
        <f t="shared" si="17"/>
        <v>58</v>
      </c>
      <c r="AD9" s="8">
        <f t="shared" si="17"/>
        <v>33</v>
      </c>
      <c r="AE9" s="8">
        <f t="shared" si="17"/>
        <v>37</v>
      </c>
      <c r="AF9" s="8">
        <f t="shared" si="17"/>
        <v>32</v>
      </c>
      <c r="AG9" s="8">
        <f t="shared" si="17"/>
        <v>14</v>
      </c>
      <c r="AH9" s="8">
        <f t="shared" si="17"/>
        <v>32</v>
      </c>
      <c r="AI9" s="8">
        <f t="shared" si="17"/>
        <v>61</v>
      </c>
      <c r="AJ9" s="8">
        <f t="shared" si="17"/>
        <v>40</v>
      </c>
      <c r="AK9" s="8">
        <f t="shared" si="17"/>
        <v>18</v>
      </c>
      <c r="AL9" s="8">
        <f t="shared" si="17"/>
        <v>24</v>
      </c>
      <c r="AM9" s="8">
        <f t="shared" si="17"/>
        <v>21</v>
      </c>
      <c r="AN9" s="8">
        <f t="shared" si="17"/>
        <v>7</v>
      </c>
      <c r="AO9" s="8">
        <f t="shared" si="17"/>
        <v>20</v>
      </c>
      <c r="AP9" s="8">
        <f t="shared" si="17"/>
        <v>33</v>
      </c>
      <c r="AQ9" s="8">
        <f t="shared" si="17"/>
        <v>11</v>
      </c>
      <c r="AR9" s="8">
        <f t="shared" si="17"/>
        <v>15</v>
      </c>
      <c r="AS9" s="8">
        <f t="shared" si="17"/>
        <v>-4</v>
      </c>
    </row>
    <row r="10" spans="1:49" s="1" customFormat="1" ht="18" thickBot="1" x14ac:dyDescent="0.3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AS10" si="18">H9/G8</f>
        <v>9.0909090909090912E-2</v>
      </c>
      <c r="I10" s="13">
        <f t="shared" si="18"/>
        <v>3.2051282051282048E-2</v>
      </c>
      <c r="J10" s="13">
        <f t="shared" si="18"/>
        <v>0.21739130434782608</v>
      </c>
      <c r="K10" s="13">
        <f t="shared" si="18"/>
        <v>0.15306122448979592</v>
      </c>
      <c r="L10" s="13">
        <f t="shared" si="18"/>
        <v>0</v>
      </c>
      <c r="M10" s="13">
        <f t="shared" si="18"/>
        <v>2.2123893805309734E-2</v>
      </c>
      <c r="N10" s="13">
        <f t="shared" si="18"/>
        <v>3.0303030303030304E-2</v>
      </c>
      <c r="O10" s="13">
        <f t="shared" si="18"/>
        <v>4.2016806722689079E-2</v>
      </c>
      <c r="P10" s="13">
        <f t="shared" ref="P10" si="19">P9/O8</f>
        <v>2.8225806451612902E-2</v>
      </c>
      <c r="Q10" s="13">
        <f t="shared" ref="Q10" si="20">Q9/P8</f>
        <v>5.4901960784313725E-2</v>
      </c>
      <c r="R10" s="13">
        <f t="shared" si="18"/>
        <v>8.5501858736059477E-2</v>
      </c>
      <c r="S10" s="13">
        <f t="shared" si="18"/>
        <v>0.11643835616438356</v>
      </c>
      <c r="T10" s="13">
        <f t="shared" si="18"/>
        <v>7.3619631901840496E-2</v>
      </c>
      <c r="U10" s="13">
        <f t="shared" si="18"/>
        <v>0.10285714285714286</v>
      </c>
      <c r="V10" s="13">
        <f t="shared" si="18"/>
        <v>0.11398963730569948</v>
      </c>
      <c r="W10" s="13">
        <f t="shared" si="18"/>
        <v>0.14186046511627906</v>
      </c>
      <c r="X10" s="13">
        <f t="shared" si="18"/>
        <v>0.17515274949083504</v>
      </c>
      <c r="Y10" s="13">
        <f t="shared" si="18"/>
        <v>0.1265164644714038</v>
      </c>
      <c r="Z10" s="13">
        <f t="shared" si="18"/>
        <v>9.3846153846153843E-2</v>
      </c>
      <c r="AA10" s="13">
        <f t="shared" si="18"/>
        <v>7.4542897327707455E-2</v>
      </c>
      <c r="AB10" s="13">
        <f t="shared" si="18"/>
        <v>3.4031413612565446E-2</v>
      </c>
      <c r="AC10" s="13">
        <f t="shared" si="18"/>
        <v>7.3417721518987344E-2</v>
      </c>
      <c r="AD10" s="13">
        <f t="shared" si="18"/>
        <v>3.891509433962264E-2</v>
      </c>
      <c r="AE10" s="13">
        <f t="shared" si="18"/>
        <v>4.1997729852440407E-2</v>
      </c>
      <c r="AF10" s="13">
        <f t="shared" si="18"/>
        <v>3.4858387799564274E-2</v>
      </c>
      <c r="AG10" s="13">
        <f t="shared" si="18"/>
        <v>1.4736842105263158E-2</v>
      </c>
      <c r="AH10" s="13">
        <f t="shared" si="18"/>
        <v>3.3195020746887967E-2</v>
      </c>
      <c r="AI10" s="13">
        <f t="shared" si="18"/>
        <v>6.1244979919678713E-2</v>
      </c>
      <c r="AJ10" s="13">
        <f t="shared" si="18"/>
        <v>3.7842951750236518E-2</v>
      </c>
      <c r="AK10" s="13">
        <f t="shared" si="18"/>
        <v>1.6408386508659983E-2</v>
      </c>
      <c r="AL10" s="13">
        <f t="shared" si="18"/>
        <v>2.1524663677130046E-2</v>
      </c>
      <c r="AM10" s="13">
        <f t="shared" si="18"/>
        <v>1.8437225636523266E-2</v>
      </c>
      <c r="AN10" s="13">
        <f t="shared" si="18"/>
        <v>6.0344827586206896E-3</v>
      </c>
      <c r="AO10" s="13">
        <f t="shared" si="18"/>
        <v>1.713796058269066E-2</v>
      </c>
      <c r="AP10" s="13">
        <f t="shared" si="18"/>
        <v>2.780117944397641E-2</v>
      </c>
      <c r="AQ10" s="13">
        <f t="shared" si="18"/>
        <v>9.0163934426229515E-3</v>
      </c>
      <c r="AR10" s="13">
        <f t="shared" si="18"/>
        <v>1.2185215272136474E-2</v>
      </c>
      <c r="AS10" s="13">
        <f t="shared" si="18"/>
        <v>-3.2102728731942215E-3</v>
      </c>
    </row>
    <row r="11" spans="1:49" s="5" customFormat="1" ht="35.25" thickBot="1" x14ac:dyDescent="0.3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  <c r="AM11" s="16">
        <v>133</v>
      </c>
      <c r="AN11" s="16">
        <v>131</v>
      </c>
      <c r="AO11" s="16">
        <v>131</v>
      </c>
      <c r="AP11" s="16">
        <v>131</v>
      </c>
      <c r="AQ11" s="16">
        <v>131</v>
      </c>
      <c r="AR11" s="16">
        <v>131</v>
      </c>
      <c r="AS11" s="16">
        <v>131</v>
      </c>
    </row>
    <row r="12" spans="1:49" s="5" customFormat="1" ht="35.25" thickBot="1" x14ac:dyDescent="0.3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1">T11-S11</f>
        <v>12</v>
      </c>
      <c r="U12" s="15">
        <f t="shared" si="21"/>
        <v>4</v>
      </c>
      <c r="V12" s="15">
        <f t="shared" si="21"/>
        <v>6</v>
      </c>
      <c r="W12" s="15">
        <f t="shared" si="21"/>
        <v>7</v>
      </c>
      <c r="X12" s="15">
        <f t="shared" si="21"/>
        <v>9</v>
      </c>
      <c r="Y12" s="15">
        <f t="shared" si="21"/>
        <v>2</v>
      </c>
      <c r="Z12" s="15">
        <f t="shared" si="21"/>
        <v>2</v>
      </c>
      <c r="AA12" s="15">
        <f t="shared" si="21"/>
        <v>4</v>
      </c>
      <c r="AB12" s="15">
        <f t="shared" si="21"/>
        <v>2</v>
      </c>
      <c r="AC12" s="15">
        <f t="shared" si="21"/>
        <v>31</v>
      </c>
      <c r="AD12" s="15">
        <f t="shared" si="21"/>
        <v>1</v>
      </c>
      <c r="AE12" s="15">
        <f t="shared" si="21"/>
        <v>2</v>
      </c>
      <c r="AF12" s="15">
        <f t="shared" si="21"/>
        <v>2</v>
      </c>
      <c r="AG12" s="15">
        <f>AG11-AF11</f>
        <v>0</v>
      </c>
      <c r="AH12" s="15">
        <f t="shared" si="21"/>
        <v>0</v>
      </c>
      <c r="AI12" s="15">
        <f>AI11-AH11</f>
        <v>0</v>
      </c>
      <c r="AJ12" s="15">
        <f>AJ11-AI11</f>
        <v>0</v>
      </c>
      <c r="AK12" s="15">
        <f t="shared" ref="AK12" si="22">AK11-AJ11</f>
        <v>0</v>
      </c>
      <c r="AL12" s="15">
        <f>AL11-AK11</f>
        <v>3</v>
      </c>
      <c r="AM12" s="15">
        <f>AM11-AL11</f>
        <v>3</v>
      </c>
      <c r="AN12" s="15">
        <f t="shared" ref="AN12" si="23">AN11-AM11</f>
        <v>-2</v>
      </c>
      <c r="AO12" s="15">
        <f>AO11-AN11</f>
        <v>0</v>
      </c>
      <c r="AP12" s="15">
        <f>AP11-AO11</f>
        <v>0</v>
      </c>
      <c r="AQ12" s="15">
        <f t="shared" ref="AQ12" si="24">AQ11-AP11</f>
        <v>0</v>
      </c>
      <c r="AR12" s="15">
        <f>AR11-AQ11</f>
        <v>0</v>
      </c>
      <c r="AS12" s="15">
        <f>AS11-AR11</f>
        <v>0</v>
      </c>
    </row>
    <row r="13" spans="1:49" ht="18" thickBot="1" x14ac:dyDescent="0.3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  <c r="AM13" s="10">
        <v>814</v>
      </c>
      <c r="AN13" s="10">
        <v>822</v>
      </c>
      <c r="AO13" s="10">
        <v>852</v>
      </c>
      <c r="AP13" s="27">
        <v>867</v>
      </c>
      <c r="AQ13" s="27">
        <v>877</v>
      </c>
      <c r="AR13" s="27">
        <v>886</v>
      </c>
      <c r="AS13" s="27">
        <v>892</v>
      </c>
    </row>
    <row r="14" spans="1:49" s="1" customFormat="1" ht="35.25" thickBot="1" x14ac:dyDescent="0.3">
      <c r="A14" s="24" t="s">
        <v>13</v>
      </c>
      <c r="B14" s="13">
        <f>B13/B2</f>
        <v>0.39333333333333331</v>
      </c>
      <c r="C14" s="13">
        <f t="shared" ref="C14:AS14" si="25">C13/C2</f>
        <v>0.39215686274509803</v>
      </c>
      <c r="D14" s="13">
        <f t="shared" si="25"/>
        <v>0.38650306748466257</v>
      </c>
      <c r="E14" s="13">
        <f t="shared" si="25"/>
        <v>0.31840796019900497</v>
      </c>
      <c r="F14" s="13">
        <f t="shared" si="25"/>
        <v>0.34562211981566821</v>
      </c>
      <c r="G14" s="13">
        <f t="shared" si="25"/>
        <v>0.32608695652173914</v>
      </c>
      <c r="H14" s="13">
        <f t="shared" si="25"/>
        <v>0.31666666666666665</v>
      </c>
      <c r="I14" s="13">
        <f t="shared" si="25"/>
        <v>0.30555555555555558</v>
      </c>
      <c r="J14" s="13">
        <f t="shared" si="25"/>
        <v>0.32752613240418116</v>
      </c>
      <c r="K14" s="13">
        <f t="shared" si="25"/>
        <v>0.42900302114803623</v>
      </c>
      <c r="L14" s="13">
        <f t="shared" si="25"/>
        <v>0.45722713864306785</v>
      </c>
      <c r="M14" s="13">
        <f t="shared" si="25"/>
        <v>0.45402298850574713</v>
      </c>
      <c r="N14" s="13">
        <f t="shared" si="25"/>
        <v>0.44383561643835617</v>
      </c>
      <c r="O14" s="13">
        <f t="shared" si="25"/>
        <v>0.44210526315789472</v>
      </c>
      <c r="P14" s="13">
        <f t="shared" si="25"/>
        <v>0.4357682619647355</v>
      </c>
      <c r="Q14" s="13">
        <f t="shared" si="25"/>
        <v>0.4</v>
      </c>
      <c r="R14" s="13">
        <f t="shared" si="25"/>
        <v>0.43458980044345896</v>
      </c>
      <c r="S14" s="13">
        <f t="shared" si="25"/>
        <v>0.43434343434343436</v>
      </c>
      <c r="T14" s="13">
        <f t="shared" si="25"/>
        <v>0.35714285714285715</v>
      </c>
      <c r="U14" s="13">
        <f t="shared" si="25"/>
        <v>0.25154004106776179</v>
      </c>
      <c r="V14" s="13">
        <f t="shared" si="25"/>
        <v>0.27881040892193309</v>
      </c>
      <c r="W14" s="13">
        <f t="shared" si="25"/>
        <v>0.23071271124173401</v>
      </c>
      <c r="X14" s="13">
        <f t="shared" si="25"/>
        <v>0.20931758530183728</v>
      </c>
      <c r="Y14" s="13">
        <f t="shared" si="25"/>
        <v>0.21791907514450867</v>
      </c>
      <c r="Z14" s="13">
        <f t="shared" si="25"/>
        <v>0.21727609962904079</v>
      </c>
      <c r="AA14" s="13">
        <f t="shared" si="25"/>
        <v>0.19844179651695693</v>
      </c>
      <c r="AB14" s="13">
        <f t="shared" si="25"/>
        <v>0.18080446037435285</v>
      </c>
      <c r="AC14" s="13">
        <f t="shared" si="25"/>
        <v>0.21139776665383134</v>
      </c>
      <c r="AD14" s="13">
        <f t="shared" si="25"/>
        <v>0.19965337954939341</v>
      </c>
      <c r="AE14" s="13">
        <f t="shared" si="25"/>
        <v>0.20483980913428765</v>
      </c>
      <c r="AF14" s="13">
        <f t="shared" si="25"/>
        <v>0.20194805194805196</v>
      </c>
      <c r="AG14" s="13">
        <f t="shared" si="25"/>
        <v>0.20292156240076215</v>
      </c>
      <c r="AH14" s="13">
        <f t="shared" si="25"/>
        <v>0.20036155468514613</v>
      </c>
      <c r="AI14" s="13">
        <f t="shared" si="25"/>
        <v>0.21119446047316792</v>
      </c>
      <c r="AJ14" s="13">
        <f t="shared" si="25"/>
        <v>0.21554869492001122</v>
      </c>
      <c r="AK14" s="13">
        <f t="shared" si="25"/>
        <v>0.21874133629054615</v>
      </c>
      <c r="AL14" s="13">
        <f t="shared" si="25"/>
        <v>0.21661237785016288</v>
      </c>
      <c r="AM14" s="13">
        <f t="shared" si="25"/>
        <v>0.21671991480298189</v>
      </c>
      <c r="AN14" s="13">
        <f t="shared" si="25"/>
        <v>0.21395106715252474</v>
      </c>
      <c r="AO14" s="13">
        <f t="shared" si="25"/>
        <v>0.21209858103061988</v>
      </c>
      <c r="AP14" s="13">
        <f t="shared" si="25"/>
        <v>0.21386285150468673</v>
      </c>
      <c r="AQ14" s="13">
        <f t="shared" si="25"/>
        <v>0.21021093000958774</v>
      </c>
      <c r="AR14" s="13">
        <f t="shared" si="25"/>
        <v>0.20803005400328717</v>
      </c>
      <c r="AS14" s="13">
        <f t="shared" si="25"/>
        <v>0.20807091205971542</v>
      </c>
    </row>
    <row r="15" spans="1:49" ht="35.25" thickBot="1" x14ac:dyDescent="0.3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  <c r="AM15" s="10">
        <v>143845</v>
      </c>
      <c r="AN15" s="10">
        <v>162125</v>
      </c>
      <c r="AO15" s="10">
        <v>181158</v>
      </c>
      <c r="AP15" s="10">
        <v>195381</v>
      </c>
      <c r="AQ15" s="10">
        <v>210737</v>
      </c>
      <c r="AR15" s="10">
        <v>228880</v>
      </c>
      <c r="AS15" s="10">
        <v>254444</v>
      </c>
    </row>
    <row r="16" spans="1:49" ht="52.5" thickBot="1" x14ac:dyDescent="0.3">
      <c r="A16" s="23" t="s">
        <v>14</v>
      </c>
      <c r="B16" s="18">
        <f>B15/B5</f>
        <v>0.73056273613044342</v>
      </c>
      <c r="C16" s="18">
        <f t="shared" ref="C16:AS16" si="26">C15/C5</f>
        <v>0.72359921886735767</v>
      </c>
      <c r="D16" s="18">
        <f t="shared" si="26"/>
        <v>0.71319267331323899</v>
      </c>
      <c r="E16" s="18">
        <f t="shared" si="26"/>
        <v>0.70370014416146087</v>
      </c>
      <c r="F16" s="18">
        <f t="shared" si="26"/>
        <v>0.68760413195601466</v>
      </c>
      <c r="G16" s="18">
        <f t="shared" si="26"/>
        <v>0.66266187050359715</v>
      </c>
      <c r="H16" s="18">
        <f t="shared" si="26"/>
        <v>0.65330485046494091</v>
      </c>
      <c r="I16" s="18">
        <f t="shared" si="26"/>
        <v>0.64192778922259564</v>
      </c>
      <c r="J16" s="18">
        <f t="shared" si="26"/>
        <v>0.63423778058953095</v>
      </c>
      <c r="K16" s="18">
        <f t="shared" si="26"/>
        <v>0.63386800734179238</v>
      </c>
      <c r="L16" s="18">
        <f t="shared" si="26"/>
        <v>0.63738762013020567</v>
      </c>
      <c r="M16" s="18">
        <f t="shared" si="26"/>
        <v>0.63908203766152372</v>
      </c>
      <c r="N16" s="18">
        <f t="shared" si="26"/>
        <v>0.62490238845356383</v>
      </c>
      <c r="O16" s="18">
        <f t="shared" si="26"/>
        <v>0.62221196365226683</v>
      </c>
      <c r="P16" s="18">
        <f t="shared" si="26"/>
        <v>0.61906222611744088</v>
      </c>
      <c r="Q16" s="18">
        <f t="shared" si="26"/>
        <v>0.61523911918130048</v>
      </c>
      <c r="R16" s="18">
        <f t="shared" si="26"/>
        <v>0.61159753654374116</v>
      </c>
      <c r="S16" s="18">
        <f t="shared" si="26"/>
        <v>0.60974475560607622</v>
      </c>
      <c r="T16" s="18">
        <f t="shared" si="26"/>
        <v>0.60304963285505409</v>
      </c>
      <c r="U16" s="18">
        <f t="shared" si="26"/>
        <v>0.59084014002333718</v>
      </c>
      <c r="V16" s="18">
        <f t="shared" si="26"/>
        <v>0.5773406953397443</v>
      </c>
      <c r="W16" s="18">
        <f t="shared" si="26"/>
        <v>0.57033733396183084</v>
      </c>
      <c r="X16" s="18">
        <f t="shared" si="26"/>
        <v>0.56122346536972789</v>
      </c>
      <c r="Y16" s="18">
        <f t="shared" si="26"/>
        <v>0.55101708540668148</v>
      </c>
      <c r="Z16" s="18">
        <f t="shared" si="26"/>
        <v>0.53059020666542545</v>
      </c>
      <c r="AA16" s="18">
        <f t="shared" si="26"/>
        <v>0.51201685150876841</v>
      </c>
      <c r="AB16" s="18">
        <f t="shared" si="26"/>
        <v>0.49081641817855221</v>
      </c>
      <c r="AC16" s="18">
        <f t="shared" si="26"/>
        <v>0.48336693548387094</v>
      </c>
      <c r="AD16" s="18">
        <f t="shared" si="26"/>
        <v>0.47247714949651431</v>
      </c>
      <c r="AE16" s="18">
        <f t="shared" si="26"/>
        <v>0.47025966272808412</v>
      </c>
      <c r="AF16" s="18">
        <f t="shared" si="26"/>
        <v>0.45355505202908042</v>
      </c>
      <c r="AG16" s="18">
        <f t="shared" si="26"/>
        <v>0.43936584461338773</v>
      </c>
      <c r="AH16" s="18">
        <f t="shared" si="26"/>
        <v>0.43702180803339963</v>
      </c>
      <c r="AI16" s="18">
        <f t="shared" si="26"/>
        <v>0.43940331166235352</v>
      </c>
      <c r="AJ16" s="18">
        <f t="shared" si="26"/>
        <v>0.43177800190980942</v>
      </c>
      <c r="AK16" s="18">
        <f t="shared" si="26"/>
        <v>0.42751736579990707</v>
      </c>
      <c r="AL16" s="18">
        <f t="shared" si="26"/>
        <v>0.42457765938084285</v>
      </c>
      <c r="AM16" s="18">
        <f t="shared" si="26"/>
        <v>0.42419390036036353</v>
      </c>
      <c r="AN16" s="18">
        <f t="shared" si="26"/>
        <v>0.42839778567559356</v>
      </c>
      <c r="AO16" s="18">
        <f t="shared" si="26"/>
        <v>0.42885855039664411</v>
      </c>
      <c r="AP16" s="18">
        <f t="shared" si="26"/>
        <v>0.42667246100830281</v>
      </c>
      <c r="AQ16" s="18">
        <f t="shared" si="26"/>
        <v>0.42724089763629469</v>
      </c>
      <c r="AR16" s="18">
        <f t="shared" si="26"/>
        <v>0.42651361273130461</v>
      </c>
      <c r="AS16" s="18">
        <f t="shared" si="26"/>
        <v>0.42747532445713804</v>
      </c>
    </row>
    <row r="17" spans="1:45" s="2" customFormat="1" ht="35.25" thickBot="1" x14ac:dyDescent="0.3">
      <c r="A17" s="25" t="s">
        <v>16</v>
      </c>
      <c r="B17" s="19">
        <f>B5/B2</f>
        <v>33.526666666666664</v>
      </c>
      <c r="C17" s="19">
        <f t="shared" ref="C17:AS17" si="27">C5/C2</f>
        <v>43.509803921568626</v>
      </c>
      <c r="D17" s="19">
        <f t="shared" si="27"/>
        <v>52.920245398773005</v>
      </c>
      <c r="E17" s="19">
        <f t="shared" si="27"/>
        <v>51.766169154228855</v>
      </c>
      <c r="F17" s="19">
        <f t="shared" si="27"/>
        <v>55.317972350230413</v>
      </c>
      <c r="G17" s="19">
        <f t="shared" si="27"/>
        <v>60.434782608695649</v>
      </c>
      <c r="H17" s="19">
        <f t="shared" si="27"/>
        <v>66.316666666666663</v>
      </c>
      <c r="I17" s="19">
        <f t="shared" si="27"/>
        <v>73.198412698412696</v>
      </c>
      <c r="J17" s="19">
        <f t="shared" si="27"/>
        <v>74.351916376306619</v>
      </c>
      <c r="K17" s="19">
        <f t="shared" si="27"/>
        <v>75.716012084592151</v>
      </c>
      <c r="L17" s="19">
        <f t="shared" si="27"/>
        <v>85.637168141592923</v>
      </c>
      <c r="M17" s="19">
        <f t="shared" si="27"/>
        <v>96.290229885057471</v>
      </c>
      <c r="N17" s="19">
        <f t="shared" si="27"/>
        <v>101.74520547945205</v>
      </c>
      <c r="O17" s="19">
        <f t="shared" si="27"/>
        <v>108.31052631578947</v>
      </c>
      <c r="P17" s="19">
        <f t="shared" si="27"/>
        <v>114.96221662468514</v>
      </c>
      <c r="Q17" s="19">
        <f t="shared" si="27"/>
        <v>111.61333333333333</v>
      </c>
      <c r="R17" s="19">
        <f t="shared" si="27"/>
        <v>119.52993348115299</v>
      </c>
      <c r="S17" s="19">
        <f t="shared" si="27"/>
        <v>117.2969696969697</v>
      </c>
      <c r="T17" s="19">
        <f t="shared" si="27"/>
        <v>96.641304347826093</v>
      </c>
      <c r="U17" s="19">
        <f t="shared" si="27"/>
        <v>70.390143737166326</v>
      </c>
      <c r="V17" s="19">
        <f t="shared" si="27"/>
        <v>70.356877323420079</v>
      </c>
      <c r="W17" s="19">
        <f t="shared" si="27"/>
        <v>60.791329904481998</v>
      </c>
      <c r="X17" s="19">
        <f t="shared" si="27"/>
        <v>58.823490813648291</v>
      </c>
      <c r="Y17" s="19">
        <f t="shared" si="27"/>
        <v>56.804046242774568</v>
      </c>
      <c r="Z17" s="19">
        <f t="shared" si="27"/>
        <v>56.926338102808693</v>
      </c>
      <c r="AA17" s="19">
        <f t="shared" si="27"/>
        <v>54.17461044912924</v>
      </c>
      <c r="AB17" s="19">
        <f t="shared" si="27"/>
        <v>53.209080047789726</v>
      </c>
      <c r="AC17" s="19">
        <f t="shared" si="27"/>
        <v>57.296881016557563</v>
      </c>
      <c r="AD17" s="19">
        <f t="shared" si="27"/>
        <v>55.935875216637783</v>
      </c>
      <c r="AE17" s="19">
        <f t="shared" si="27"/>
        <v>57.662235855487388</v>
      </c>
      <c r="AF17" s="19">
        <f t="shared" si="27"/>
        <v>60.468181818181819</v>
      </c>
      <c r="AG17" s="19">
        <f t="shared" si="27"/>
        <v>65.079072721498889</v>
      </c>
      <c r="AH17" s="19">
        <f t="shared" si="27"/>
        <v>66.827056342271774</v>
      </c>
      <c r="AI17" s="19">
        <f t="shared" si="27"/>
        <v>68.564627813040971</v>
      </c>
      <c r="AJ17" s="19">
        <f t="shared" si="27"/>
        <v>73.185237159696882</v>
      </c>
      <c r="AK17" s="19">
        <f t="shared" si="27"/>
        <v>76.989464929304134</v>
      </c>
      <c r="AL17" s="19">
        <f t="shared" si="27"/>
        <v>82.026330076004342</v>
      </c>
      <c r="AM17" s="19">
        <f t="shared" si="27"/>
        <v>90.282747603833869</v>
      </c>
      <c r="AN17" s="19">
        <f t="shared" si="27"/>
        <v>98.502082248828728</v>
      </c>
      <c r="AO17" s="19">
        <f t="shared" si="27"/>
        <v>105.15782922579039</v>
      </c>
      <c r="AP17" s="19">
        <f t="shared" si="27"/>
        <v>112.95461272816971</v>
      </c>
      <c r="AQ17" s="19">
        <f t="shared" si="27"/>
        <v>118.22890699904123</v>
      </c>
      <c r="AR17" s="19">
        <f t="shared" si="27"/>
        <v>125.99906081239727</v>
      </c>
      <c r="AS17" s="19">
        <f t="shared" si="27"/>
        <v>138.84418007930955</v>
      </c>
    </row>
    <row r="25" spans="1:45" x14ac:dyDescent="0.25">
      <c r="B2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2011-04-04T20:48:02Z</dcterms:modified>
</cp:coreProperties>
</file>