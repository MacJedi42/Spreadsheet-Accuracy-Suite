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1240" windowHeight="10290"/>
  </bookViews>
  <sheets>
    <sheet name="Sheet1" sheetId="1" r:id="rId1"/>
    <sheet name="Sheet2" sheetId="2" r:id="rId2"/>
    <sheet name="Sheet3" sheetId="3" r:id="rId3"/>
  </sheets>
  <definedNames>
    <definedName name="_xlnm.Print_Area" localSheetId="0">Sheet1!$A$1:$E$67</definedName>
    <definedName name="_xlnm.Print_Titles" localSheetId="0">Sheet1!$3:$3</definedName>
  </definedNames>
  <calcPr calcId="145621"/>
</workbook>
</file>

<file path=xl/calcChain.xml><?xml version="1.0" encoding="utf-8"?>
<calcChain xmlns="http://schemas.openxmlformats.org/spreadsheetml/2006/main">
  <c r="E61" i="1" l="1"/>
  <c r="E32" i="1"/>
  <c r="E17" i="1"/>
  <c r="A37" i="1" l="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5" i="1"/>
  <c r="A6" i="1" s="1"/>
  <c r="A7" i="1" s="1"/>
  <c r="A8" i="1" s="1"/>
  <c r="A9" i="1" s="1"/>
  <c r="A10" i="1" s="1"/>
  <c r="A11" i="1" s="1"/>
  <c r="A12" i="1" s="1"/>
  <c r="A16" i="1" l="1"/>
  <c r="A20" i="1" s="1"/>
  <c r="A21" i="1" s="1"/>
  <c r="A22" i="1" s="1"/>
  <c r="A23" i="1" s="1"/>
  <c r="A24" i="1" s="1"/>
  <c r="A25" i="1" s="1"/>
  <c r="A26" i="1" s="1"/>
  <c r="A27" i="1" s="1"/>
  <c r="A28" i="1" s="1"/>
  <c r="A29" i="1" s="1"/>
  <c r="A30" i="1" s="1"/>
  <c r="A31" i="1" s="1"/>
</calcChain>
</file>

<file path=xl/sharedStrings.xml><?xml version="1.0" encoding="utf-8"?>
<sst xmlns="http://schemas.openxmlformats.org/spreadsheetml/2006/main" count="66" uniqueCount="66">
  <si>
    <t xml:space="preserve">70 WATT HPS LU MED LAMP </t>
  </si>
  <si>
    <t>100 WATT HPS LU MED LAMP</t>
  </si>
  <si>
    <t>100 WATT HPS MOGAL LAMP</t>
  </si>
  <si>
    <t>150 WATT HPS MOGAL LAMP</t>
  </si>
  <si>
    <t>250 WATT HPS MOGAL LAMP</t>
  </si>
  <si>
    <t>250 WATT EQUAL L.E.D. COBRA</t>
  </si>
  <si>
    <t>100 WATT COBRA HEAD LUMINARE</t>
  </si>
  <si>
    <t>150 WATT COBRA HEAD LUMINARE</t>
  </si>
  <si>
    <t>250 WATT COBRA HEAD LUMINARE</t>
  </si>
  <si>
    <t>100 WATT SHOEBOX LUMINARE</t>
  </si>
  <si>
    <t>150 WATT SHOEBOX LUMINARE</t>
  </si>
  <si>
    <t>250 WATT SHOEBOX LUMINARE</t>
  </si>
  <si>
    <t xml:space="preserve">INSTANT SCREW ON FISCHER PIERCE PHOTO CONTROLS/SENSORS </t>
  </si>
  <si>
    <t>#5 FIBERLYTE J/BOX W/LID &amp; BOLTS</t>
  </si>
  <si>
    <t>¾” WATER TIGHT FLEXIBLE PVC CONDUIT</t>
  </si>
  <si>
    <t xml:space="preserve">KTK 10AMP 600V MIDGET FUSES </t>
  </si>
  <si>
    <t>HEB-AA MIDGET FUSEHOLDERS</t>
  </si>
  <si>
    <t>SINGLE CONDUCTOR INSULATED BOOTS FOR FUSEHOLDERS</t>
  </si>
  <si>
    <t>5/8” X 8’ COPPER GROUND RODS W/ACORNS</t>
  </si>
  <si>
    <t>12/2 INSULATED DIRECT BURIAL CONDUCTOR (ROLMEX)</t>
  </si>
  <si>
    <t>#8 SOLID BARE BOUND GROUND WIRE</t>
  </si>
  <si>
    <t>100-150 WATT HPS BALLAST RE-BUILD KITS</t>
  </si>
  <si>
    <t>250-400 WATT HPS BALLAST RE-BUILD KIT</t>
  </si>
  <si>
    <t>35-150 WATT IGNITORS</t>
  </si>
  <si>
    <t>150-400 WATT IGNITORS</t>
  </si>
  <si>
    <t>Quantity</t>
  </si>
  <si>
    <t>Group 2 Street Light Poles</t>
  </si>
  <si>
    <t>Group 3 Street Light Supplies</t>
  </si>
  <si>
    <t>Exhibit A (Pricing Sheet)</t>
  </si>
  <si>
    <t>Item No.</t>
  </si>
  <si>
    <t>Description</t>
  </si>
  <si>
    <t>Total**</t>
  </si>
  <si>
    <t>Unit Price**</t>
  </si>
  <si>
    <t>*Pole, Street Light, 12’ 0”, Approved Manufacturer Architectural Area Lighting DB3-5F12-188BLK</t>
  </si>
  <si>
    <t>*Streetlight Fixture Approved Manufacturer Architectural Area Lighting  PRMS V3 150HPS RST BLK 120/240</t>
  </si>
  <si>
    <t>*Niland Town of Gilbert Series “Brown Bronze” single arm 25’ 8”</t>
  </si>
  <si>
    <t>*Niland Town of Gilbert Series “Brown Bronze” double arm 25’ 8”</t>
  </si>
  <si>
    <t>*Capitol Series Light Pole 10’ 4” cast aluminum (Niland) fluted, tapered, and powder coated</t>
  </si>
  <si>
    <t xml:space="preserve">*Capitol Post Top Luminaire Model Number NIL-2014-3-FCUT-424-III (Niland) </t>
  </si>
  <si>
    <t>*Capitol Series Light Pole 12’ cast aluminum (Niland) fluted, tapered, and powder coated</t>
  </si>
  <si>
    <t>*Sternberg Light Code 100W HPS Luminaire Code CAS6</t>
  </si>
  <si>
    <t xml:space="preserve">*Sternberg Pole Code 5222FP5 22’ 5” DIA Fluted Pole 6061-T6 Structural Grade Aluminum welded for single construction </t>
  </si>
  <si>
    <t>*Sternberg Light Code 70 W HPS Luminaire Code 1913 MOD</t>
  </si>
  <si>
    <t>*Sternberg Pole Code 650FP5-22 Fluted Pole 6061-T6 Structural Grade Aluminum welded for single construction</t>
  </si>
  <si>
    <t>*Niland El Paso Series “clam shell only”</t>
  </si>
  <si>
    <t>*Pricing for these items must state "or approved equal". Otherwise, pricing will be considered in accordance with the item description/model shown above.</t>
  </si>
  <si>
    <t>Sales/use tax will be determined by Gilbert. Tax will not be used in determining lowest unit price.</t>
  </si>
  <si>
    <t>Pole, Street Light, 40' 0", GIL-901 (formerly P-9A), plus GIL-921 (formerly A1) - Arterial</t>
  </si>
  <si>
    <t>Pole, Street Light, 32' 0", GIL-901 (formerly P-9A), plus GIL-921 (formerly A1) - Residential</t>
  </si>
  <si>
    <t>Pole, Street Light, 41' 6", P-1</t>
  </si>
  <si>
    <t>Pole, Street Light, 33' 6", P-2</t>
  </si>
  <si>
    <t>Pole, Street Light, 41' 6", P-3</t>
  </si>
  <si>
    <t xml:space="preserve">Pole, Street Light, 38' 6", P-4 plus A2 arm </t>
  </si>
  <si>
    <t>Pole, Street Light, 27' 0", P-5 plus A4 arm</t>
  </si>
  <si>
    <t>Pole, Street Light, 31' 0", P-6 plus 6’6” arm</t>
  </si>
  <si>
    <t>Pole, Street Light, 35' 0", P-7 plus 6’6” arm</t>
  </si>
  <si>
    <t>Pole, Street Light, 23' 6", P-8</t>
  </si>
  <si>
    <t>Pole, Street Light, 35' 0", P-10A</t>
  </si>
  <si>
    <t>Pole, Street Light, 40’ 0”, Mesa M-73.2 (P-210) plus (2) 18’ arms</t>
  </si>
  <si>
    <t>10a</t>
  </si>
  <si>
    <t>10b</t>
  </si>
  <si>
    <t>Total Above Items 1 - 12, Group 1</t>
  </si>
  <si>
    <t>Total Above Items 13 - 24, Group 2</t>
  </si>
  <si>
    <t>Total Above Items 25 - 49, Group 3</t>
  </si>
  <si>
    <t xml:space="preserve">**Prices listed in Exhibit A shall include all freight (FOB Destination), insurance, warranty costs, and any other applicable costs excluding taxes.  All unit prices shall include bolts, plates, hardware, rebar cages, and other incidental items necessary to install item.  The Town reserves the right to order one or more poles as-needed. If a minimum or special delivery charge applies to a particular item, it should be noted in Exhibit A (Pricing Sheet) AND included in the unit price of the item(s). </t>
  </si>
  <si>
    <t>Pole, Street Light, 32' 0", P-9 plus GIL-921 (formerly A1)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</si>
</sst>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6" x14ac:knownFonts="1">
    <font>
      <sz val="11"/>
      <color theme="1"/>
      <name val="Calibri"/>
      <family val="2"/>
      <scheme val="minor"/>
    </font>
    <font>
      <sz val="10"/>
      <color theme="1"/>
      <name val="Arial"/>
      <family val="2"/>
    </font>
    <font>
      <b/>
      <sz val="11"/>
      <color theme="1"/>
      <name val="Calibri"/>
      <family val="2"/>
      <scheme val="minor"/>
    </font>
    <font>
      <b/>
      <sz val="10"/>
      <color theme="1"/>
      <name val="Arial"/>
      <family val="2"/>
    </font>
    <font>
      <b/>
      <sz val="14"/>
      <color theme="1"/>
      <name val="Calibri"/>
      <family val="2"/>
      <scheme val="minor"/>
    </font>
    <font>
      <b/>
      <sz val="12"/>
      <color theme="1"/>
      <name val="Arial"/>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6">
    <xf numFmtId="0" fontId="0" fillId="0" borderId="0" xfId="0"/>
    <xf numFmtId="4" fontId="0" fillId="0" borderId="1" xfId="0" applyNumberForma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vertical="center" wrapText="1"/>
    </xf>
    <xf numFmtId="1" fontId="1" fillId="0" borderId="1" xfId="0" applyNumberFormat="1" applyFont="1" applyBorder="1" applyAlignment="1">
      <alignment horizontal="center" vertical="center" wrapText="1"/>
    </xf>
    <xf numFmtId="0" fontId="1" fillId="0" borderId="1" xfId="0" applyFont="1" applyBorder="1" applyAlignment="1">
      <alignment horizontal="right" vertical="center" wrapText="1"/>
    </xf>
    <xf numFmtId="0" fontId="1" fillId="0" borderId="2" xfId="0" applyFont="1" applyBorder="1" applyAlignment="1">
      <alignment vertical="center" wrapText="1"/>
    </xf>
    <xf numFmtId="1" fontId="1" fillId="0" borderId="2" xfId="0" applyNumberFormat="1" applyFont="1" applyBorder="1" applyAlignment="1">
      <alignment horizontal="center" vertical="center" wrapText="1"/>
    </xf>
    <xf numFmtId="0" fontId="0" fillId="0" borderId="2" xfId="0" applyBorder="1" applyAlignment="1">
      <alignment horizontal="center" vertical="center"/>
    </xf>
    <xf numFmtId="0" fontId="0" fillId="0" borderId="0" xfId="0" applyBorder="1"/>
    <xf numFmtId="0" fontId="0" fillId="0" borderId="0" xfId="0" applyBorder="1" applyAlignment="1">
      <alignment horizontal="center" vertical="center"/>
    </xf>
    <xf numFmtId="4" fontId="0" fillId="0" borderId="0" xfId="0" applyNumberFormat="1" applyBorder="1" applyAlignment="1">
      <alignment horizontal="center" vertical="center"/>
    </xf>
    <xf numFmtId="1" fontId="3" fillId="0" borderId="0" xfId="0" applyNumberFormat="1" applyFont="1" applyBorder="1" applyAlignment="1">
      <alignment horizontal="center" vertical="center" wrapText="1"/>
    </xf>
    <xf numFmtId="0" fontId="0" fillId="0" borderId="0" xfId="0" applyBorder="1" applyAlignment="1">
      <alignment horizontal="center"/>
    </xf>
    <xf numFmtId="1" fontId="1" fillId="0" borderId="0" xfId="0" applyNumberFormat="1" applyFont="1" applyBorder="1" applyAlignment="1">
      <alignment horizontal="center" vertical="center" wrapText="1"/>
    </xf>
    <xf numFmtId="0" fontId="0" fillId="0" borderId="1" xfId="0" applyBorder="1"/>
    <xf numFmtId="0" fontId="0" fillId="0" borderId="0" xfId="0" applyAlignment="1"/>
    <xf numFmtId="0" fontId="1" fillId="0" borderId="2" xfId="0" applyFont="1" applyBorder="1" applyAlignment="1">
      <alignment horizontal="right" vertical="center" wrapText="1"/>
    </xf>
    <xf numFmtId="4" fontId="0" fillId="0" borderId="2" xfId="0" applyNumberFormat="1" applyBorder="1" applyAlignment="1">
      <alignment horizontal="center" vertical="center"/>
    </xf>
    <xf numFmtId="0" fontId="4" fillId="0" borderId="0" xfId="0" applyFont="1" applyAlignment="1"/>
    <xf numFmtId="164" fontId="0" fillId="0" borderId="1" xfId="0" applyNumberFormat="1" applyBorder="1" applyAlignment="1">
      <alignment horizontal="center" vertical="center"/>
    </xf>
    <xf numFmtId="164" fontId="0" fillId="0" borderId="2" xfId="0" applyNumberFormat="1" applyBorder="1" applyAlignment="1">
      <alignment horizontal="center" vertical="center"/>
    </xf>
    <xf numFmtId="164" fontId="5" fillId="0" borderId="7" xfId="0" applyNumberFormat="1" applyFont="1" applyBorder="1" applyAlignment="1">
      <alignment vertical="center" wrapText="1"/>
    </xf>
    <xf numFmtId="164" fontId="5" fillId="0" borderId="7" xfId="0" applyNumberFormat="1" applyFont="1" applyBorder="1" applyAlignment="1">
      <alignment horizontal="right" vertical="center" wrapText="1"/>
    </xf>
    <xf numFmtId="0" fontId="0" fillId="0" borderId="0" xfId="0" applyBorder="1" applyAlignment="1">
      <alignment horizontal="center"/>
    </xf>
    <xf numFmtId="1" fontId="1" fillId="0" borderId="3" xfId="0" applyNumberFormat="1" applyFont="1" applyBorder="1" applyAlignment="1">
      <alignment horizontal="center" vertical="center" wrapText="1"/>
    </xf>
    <xf numFmtId="1" fontId="3" fillId="0" borderId="5" xfId="0" applyNumberFormat="1" applyFont="1" applyBorder="1" applyAlignment="1">
      <alignment horizontal="right" vertical="center" wrapText="1"/>
    </xf>
    <xf numFmtId="1" fontId="3" fillId="0" borderId="6" xfId="0" applyNumberFormat="1" applyFont="1" applyBorder="1" applyAlignment="1">
      <alignment horizontal="right" vertical="center" wrapText="1"/>
    </xf>
    <xf numFmtId="1" fontId="3" fillId="0" borderId="1" xfId="0" applyNumberFormat="1" applyFont="1" applyBorder="1" applyAlignment="1">
      <alignment horizontal="center" vertical="center" wrapText="1"/>
    </xf>
    <xf numFmtId="0" fontId="0" fillId="0" borderId="4" xfId="0" applyBorder="1" applyAlignment="1">
      <alignment horizontal="center"/>
    </xf>
    <xf numFmtId="0" fontId="4" fillId="0" borderId="0" xfId="0" applyFont="1" applyAlignment="1">
      <alignment horizontal="center"/>
    </xf>
    <xf numFmtId="0" fontId="0" fillId="0" borderId="3" xfId="0" applyBorder="1" applyAlignment="1">
      <alignment horizontal="center"/>
    </xf>
    <xf numFmtId="1" fontId="3" fillId="0" borderId="5" xfId="0" applyNumberFormat="1" applyFont="1" applyBorder="1" applyAlignment="1">
      <alignment horizontal="center" vertical="center" wrapText="1"/>
    </xf>
    <xf numFmtId="1" fontId="3" fillId="0" borderId="6" xfId="0" applyNumberFormat="1" applyFont="1" applyBorder="1" applyAlignment="1">
      <alignment horizontal="center" vertical="center" wrapText="1"/>
    </xf>
    <xf numFmtId="1" fontId="3" fillId="0" borderId="7" xfId="0" applyNumberFormat="1" applyFont="1" applyBorder="1" applyAlignment="1">
      <alignment horizontal="center" vertical="center"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tabSelected="1" topLeftCell="A25" zoomScaleNormal="100" workbookViewId="0">
      <selection activeCell="B13" sqref="B13"/>
    </sheetView>
  </sheetViews>
  <sheetFormatPr defaultRowHeight="15" x14ac:dyDescent="0.25"/>
  <cols>
    <col min="1" max="1" width="9.42578125" bestFit="1" customWidth="1"/>
    <col min="2" max="2" width="31.5703125" customWidth="1"/>
    <col min="4" max="4" width="12.5703125" customWidth="1"/>
    <col min="5" max="5" width="23.28515625" customWidth="1"/>
  </cols>
  <sheetData>
    <row r="1" spans="1:11" ht="18.75" x14ac:dyDescent="0.3">
      <c r="A1" s="30" t="s">
        <v>28</v>
      </c>
      <c r="B1" s="30"/>
      <c r="C1" s="30"/>
      <c r="D1" s="30"/>
      <c r="E1" s="30"/>
      <c r="F1" s="19"/>
    </row>
    <row r="2" spans="1:11" x14ac:dyDescent="0.25">
      <c r="A2" s="29"/>
      <c r="B2" s="29"/>
      <c r="C2" s="29"/>
      <c r="D2" s="29"/>
      <c r="E2" s="29"/>
      <c r="F2" s="16"/>
      <c r="G2" s="16"/>
      <c r="H2" s="24"/>
      <c r="I2" s="24"/>
      <c r="J2" s="24"/>
      <c r="K2" s="24"/>
    </row>
    <row r="3" spans="1:11" x14ac:dyDescent="0.25">
      <c r="A3" s="15" t="s">
        <v>29</v>
      </c>
      <c r="B3" s="15" t="s">
        <v>30</v>
      </c>
      <c r="C3" s="15" t="s">
        <v>25</v>
      </c>
      <c r="D3" s="2" t="s">
        <v>32</v>
      </c>
      <c r="E3" s="2" t="s">
        <v>31</v>
      </c>
      <c r="F3" s="10"/>
      <c r="G3" s="10"/>
      <c r="H3" s="10"/>
      <c r="I3" s="10"/>
      <c r="J3" s="10"/>
      <c r="K3" s="10"/>
    </row>
    <row r="4" spans="1:11" x14ac:dyDescent="0.25">
      <c r="A4" s="4">
        <v>1</v>
      </c>
      <c r="B4" s="3" t="s">
        <v>49</v>
      </c>
      <c r="C4" s="4">
        <v>6</v>
      </c>
      <c r="D4" s="20"/>
      <c r="E4" s="20"/>
      <c r="F4" s="10"/>
      <c r="G4" s="10"/>
      <c r="H4" s="10"/>
      <c r="I4" s="10"/>
      <c r="J4" s="10"/>
      <c r="K4" s="10"/>
    </row>
    <row r="5" spans="1:11" x14ac:dyDescent="0.25">
      <c r="A5" s="4">
        <f t="shared" ref="A5:A31" si="0">A4+1</f>
        <v>2</v>
      </c>
      <c r="B5" s="3" t="s">
        <v>50</v>
      </c>
      <c r="C5" s="4">
        <v>6</v>
      </c>
      <c r="D5" s="20"/>
      <c r="E5" s="20"/>
      <c r="F5" s="10"/>
      <c r="G5" s="10"/>
      <c r="H5" s="10"/>
      <c r="I5" s="10"/>
      <c r="J5" s="10"/>
      <c r="K5" s="10"/>
    </row>
    <row r="6" spans="1:11" x14ac:dyDescent="0.25">
      <c r="A6" s="4">
        <f t="shared" si="0"/>
        <v>3</v>
      </c>
      <c r="B6" s="3" t="s">
        <v>51</v>
      </c>
      <c r="C6" s="4">
        <v>6</v>
      </c>
      <c r="D6" s="20"/>
      <c r="E6" s="20"/>
      <c r="F6" s="10"/>
      <c r="G6" s="10"/>
      <c r="H6" s="10"/>
      <c r="I6" s="10"/>
      <c r="J6" s="10"/>
      <c r="K6" s="10"/>
    </row>
    <row r="7" spans="1:11" ht="25.5" x14ac:dyDescent="0.25">
      <c r="A7" s="4">
        <f t="shared" si="0"/>
        <v>4</v>
      </c>
      <c r="B7" s="3" t="s">
        <v>52</v>
      </c>
      <c r="C7" s="4">
        <v>6</v>
      </c>
      <c r="D7" s="20"/>
      <c r="E7" s="20"/>
      <c r="F7" s="10"/>
      <c r="G7" s="10"/>
      <c r="H7" s="10"/>
      <c r="I7" s="10"/>
      <c r="J7" s="10"/>
      <c r="K7" s="10"/>
    </row>
    <row r="8" spans="1:11" ht="25.5" x14ac:dyDescent="0.25">
      <c r="A8" s="4">
        <f t="shared" si="0"/>
        <v>5</v>
      </c>
      <c r="B8" s="3" t="s">
        <v>53</v>
      </c>
      <c r="C8" s="4">
        <v>6</v>
      </c>
      <c r="D8" s="20"/>
      <c r="E8" s="20"/>
      <c r="F8" s="10"/>
      <c r="G8" s="10"/>
      <c r="H8" s="10"/>
      <c r="I8" s="10"/>
      <c r="J8" s="10"/>
      <c r="K8" s="10"/>
    </row>
    <row r="9" spans="1:11" ht="25.5" x14ac:dyDescent="0.25">
      <c r="A9" s="4">
        <f t="shared" si="0"/>
        <v>6</v>
      </c>
      <c r="B9" s="3" t="s">
        <v>54</v>
      </c>
      <c r="C9" s="4">
        <v>6</v>
      </c>
      <c r="D9" s="20"/>
      <c r="E9" s="20"/>
      <c r="F9" s="10"/>
      <c r="G9" s="10"/>
      <c r="H9" s="10"/>
      <c r="I9" s="10"/>
      <c r="J9" s="10"/>
      <c r="K9" s="10"/>
    </row>
    <row r="10" spans="1:11" ht="25.5" x14ac:dyDescent="0.25">
      <c r="A10" s="4">
        <f t="shared" si="0"/>
        <v>7</v>
      </c>
      <c r="B10" s="3" t="s">
        <v>55</v>
      </c>
      <c r="C10" s="4">
        <v>6</v>
      </c>
      <c r="D10" s="20"/>
      <c r="E10" s="20"/>
      <c r="F10" s="10"/>
      <c r="G10" s="10"/>
      <c r="H10" s="10"/>
      <c r="I10" s="10"/>
      <c r="J10" s="10"/>
      <c r="K10" s="10"/>
    </row>
    <row r="11" spans="1:11" x14ac:dyDescent="0.25">
      <c r="A11" s="4">
        <f t="shared" si="0"/>
        <v>8</v>
      </c>
      <c r="B11" s="3" t="s">
        <v>56</v>
      </c>
      <c r="C11" s="4">
        <v>5</v>
      </c>
      <c r="D11" s="20"/>
      <c r="E11" s="20"/>
      <c r="F11" s="10"/>
      <c r="G11" s="10"/>
      <c r="H11" s="10"/>
      <c r="I11" s="10"/>
      <c r="J11" s="10"/>
      <c r="K11" s="10"/>
    </row>
    <row r="12" spans="1:11" ht="25.5" x14ac:dyDescent="0.25">
      <c r="A12" s="4">
        <f t="shared" si="0"/>
        <v>9</v>
      </c>
      <c r="B12" s="3" t="s">
        <v>65</v>
      </c>
      <c r="C12" s="4">
        <v>5</v>
      </c>
      <c r="D12" s="20"/>
      <c r="E12" s="20"/>
      <c r="F12" s="10"/>
      <c r="G12" s="10"/>
      <c r="H12" s="10"/>
      <c r="I12" s="10"/>
      <c r="J12" s="10"/>
      <c r="K12" s="10"/>
    </row>
    <row r="13" spans="1:11" ht="38.25" x14ac:dyDescent="0.25">
      <c r="A13" s="4" t="s">
        <v>59</v>
      </c>
      <c r="B13" s="3" t="s">
        <v>47</v>
      </c>
      <c r="C13" s="4">
        <v>5</v>
      </c>
      <c r="D13" s="20"/>
      <c r="E13" s="20"/>
      <c r="F13" s="10"/>
      <c r="G13" s="10"/>
      <c r="H13" s="10"/>
      <c r="I13" s="10"/>
      <c r="J13" s="10"/>
      <c r="K13" s="10"/>
    </row>
    <row r="14" spans="1:11" ht="38.25" x14ac:dyDescent="0.25">
      <c r="A14" s="4" t="s">
        <v>60</v>
      </c>
      <c r="B14" s="3" t="s">
        <v>48</v>
      </c>
      <c r="C14" s="4">
        <v>5</v>
      </c>
      <c r="D14" s="20"/>
      <c r="E14" s="20"/>
      <c r="F14" s="10"/>
      <c r="G14" s="10"/>
      <c r="H14" s="10"/>
      <c r="I14" s="10"/>
      <c r="J14" s="10"/>
      <c r="K14" s="10"/>
    </row>
    <row r="15" spans="1:11" x14ac:dyDescent="0.25">
      <c r="A15" s="4">
        <v>11</v>
      </c>
      <c r="B15" s="3" t="s">
        <v>57</v>
      </c>
      <c r="C15" s="4">
        <v>5</v>
      </c>
      <c r="D15" s="20"/>
      <c r="E15" s="20"/>
      <c r="F15" s="10"/>
      <c r="G15" s="10"/>
      <c r="H15" s="10"/>
      <c r="I15" s="10"/>
      <c r="J15" s="10"/>
      <c r="K15" s="10"/>
    </row>
    <row r="16" spans="1:11" ht="27.75" customHeight="1" thickBot="1" x14ac:dyDescent="0.3">
      <c r="A16" s="7">
        <f t="shared" si="0"/>
        <v>12</v>
      </c>
      <c r="B16" s="6" t="s">
        <v>58</v>
      </c>
      <c r="C16" s="7">
        <v>8</v>
      </c>
      <c r="D16" s="21"/>
      <c r="E16" s="21"/>
      <c r="F16" s="10"/>
      <c r="G16" s="10"/>
      <c r="H16" s="10"/>
      <c r="I16" s="10"/>
      <c r="J16" s="10"/>
      <c r="K16" s="10"/>
    </row>
    <row r="17" spans="1:11" ht="21" customHeight="1" thickBot="1" x14ac:dyDescent="0.3">
      <c r="A17" s="26" t="s">
        <v>61</v>
      </c>
      <c r="B17" s="27"/>
      <c r="C17" s="27"/>
      <c r="D17" s="27"/>
      <c r="E17" s="23">
        <f>SUM(E4:E16)</f>
        <v>0</v>
      </c>
      <c r="F17" s="12"/>
      <c r="G17" s="12"/>
      <c r="H17" s="12"/>
      <c r="I17" s="12"/>
      <c r="J17" s="12"/>
      <c r="K17" s="12"/>
    </row>
    <row r="18" spans="1:11" x14ac:dyDescent="0.25">
      <c r="A18" s="25"/>
      <c r="B18" s="25"/>
      <c r="C18" s="25"/>
      <c r="D18" s="25"/>
      <c r="E18" s="25"/>
      <c r="F18" s="14"/>
      <c r="G18" s="14"/>
      <c r="H18" s="14"/>
      <c r="I18" s="14"/>
      <c r="J18" s="14"/>
      <c r="K18" s="14"/>
    </row>
    <row r="19" spans="1:11" ht="15" customHeight="1" x14ac:dyDescent="0.25">
      <c r="A19" s="28" t="s">
        <v>26</v>
      </c>
      <c r="B19" s="28"/>
      <c r="C19" s="28"/>
      <c r="D19" s="28"/>
      <c r="E19" s="28"/>
      <c r="F19" s="12"/>
      <c r="G19" s="12"/>
      <c r="H19" s="12"/>
      <c r="I19" s="12"/>
      <c r="J19" s="12"/>
      <c r="K19" s="12"/>
    </row>
    <row r="20" spans="1:11" ht="38.25" x14ac:dyDescent="0.25">
      <c r="A20" s="4">
        <f>A16+1</f>
        <v>13</v>
      </c>
      <c r="B20" s="3" t="s">
        <v>33</v>
      </c>
      <c r="C20" s="4">
        <v>4</v>
      </c>
      <c r="D20" s="20"/>
      <c r="E20" s="20"/>
      <c r="F20" s="10"/>
      <c r="G20" s="10"/>
      <c r="H20" s="10"/>
      <c r="I20" s="10"/>
      <c r="J20" s="10"/>
      <c r="K20" s="10"/>
    </row>
    <row r="21" spans="1:11" ht="51" x14ac:dyDescent="0.25">
      <c r="A21" s="4">
        <f t="shared" si="0"/>
        <v>14</v>
      </c>
      <c r="B21" s="3" t="s">
        <v>34</v>
      </c>
      <c r="C21" s="4">
        <v>4</v>
      </c>
      <c r="D21" s="20"/>
      <c r="E21" s="20"/>
      <c r="F21" s="10"/>
      <c r="G21" s="10"/>
      <c r="H21" s="10"/>
      <c r="I21" s="10"/>
      <c r="J21" s="10"/>
      <c r="K21" s="10"/>
    </row>
    <row r="22" spans="1:11" ht="25.5" x14ac:dyDescent="0.25">
      <c r="A22" s="4">
        <f t="shared" si="0"/>
        <v>15</v>
      </c>
      <c r="B22" s="3" t="s">
        <v>35</v>
      </c>
      <c r="C22" s="4">
        <v>4</v>
      </c>
      <c r="D22" s="20"/>
      <c r="E22" s="20"/>
      <c r="F22" s="10"/>
      <c r="G22" s="10"/>
      <c r="H22" s="10"/>
      <c r="I22" s="10"/>
      <c r="J22" s="10"/>
      <c r="K22" s="10"/>
    </row>
    <row r="23" spans="1:11" ht="25.5" x14ac:dyDescent="0.25">
      <c r="A23" s="4">
        <f t="shared" si="0"/>
        <v>16</v>
      </c>
      <c r="B23" s="3" t="s">
        <v>36</v>
      </c>
      <c r="C23" s="4">
        <v>4</v>
      </c>
      <c r="D23" s="20"/>
      <c r="E23" s="20"/>
      <c r="F23" s="10"/>
      <c r="G23" s="10"/>
      <c r="H23" s="10"/>
      <c r="I23" s="10"/>
      <c r="J23" s="10"/>
      <c r="K23" s="10"/>
    </row>
    <row r="24" spans="1:11" ht="38.25" x14ac:dyDescent="0.25">
      <c r="A24" s="4">
        <f t="shared" si="0"/>
        <v>17</v>
      </c>
      <c r="B24" s="3" t="s">
        <v>37</v>
      </c>
      <c r="C24" s="4">
        <v>4</v>
      </c>
      <c r="D24" s="20"/>
      <c r="E24" s="20"/>
      <c r="F24" s="10"/>
      <c r="G24" s="10"/>
      <c r="H24" s="10"/>
      <c r="I24" s="10"/>
      <c r="J24" s="10"/>
      <c r="K24" s="10"/>
    </row>
    <row r="25" spans="1:11" ht="38.25" x14ac:dyDescent="0.25">
      <c r="A25" s="4">
        <f t="shared" si="0"/>
        <v>18</v>
      </c>
      <c r="B25" s="3" t="s">
        <v>38</v>
      </c>
      <c r="C25" s="4">
        <v>4</v>
      </c>
      <c r="D25" s="20"/>
      <c r="E25" s="20"/>
      <c r="F25" s="10"/>
      <c r="G25" s="10"/>
      <c r="H25" s="10"/>
      <c r="I25" s="10"/>
      <c r="J25" s="10"/>
      <c r="K25" s="10"/>
    </row>
    <row r="26" spans="1:11" ht="38.25" x14ac:dyDescent="0.25">
      <c r="A26" s="4">
        <f t="shared" si="0"/>
        <v>19</v>
      </c>
      <c r="B26" s="3" t="s">
        <v>39</v>
      </c>
      <c r="C26" s="4">
        <v>4</v>
      </c>
      <c r="D26" s="20"/>
      <c r="E26" s="20"/>
      <c r="F26" s="10"/>
      <c r="G26" s="10"/>
      <c r="H26" s="10"/>
      <c r="I26" s="10"/>
      <c r="J26" s="10"/>
      <c r="K26" s="10"/>
    </row>
    <row r="27" spans="1:11" ht="25.5" x14ac:dyDescent="0.25">
      <c r="A27" s="4">
        <f t="shared" si="0"/>
        <v>20</v>
      </c>
      <c r="B27" s="3" t="s">
        <v>40</v>
      </c>
      <c r="C27" s="4">
        <v>4</v>
      </c>
      <c r="D27" s="20"/>
      <c r="E27" s="20"/>
      <c r="F27" s="10"/>
      <c r="G27" s="10"/>
      <c r="H27" s="10"/>
      <c r="I27" s="10"/>
      <c r="J27" s="10"/>
      <c r="K27" s="10"/>
    </row>
    <row r="28" spans="1:11" ht="51" x14ac:dyDescent="0.25">
      <c r="A28" s="4">
        <f t="shared" si="0"/>
        <v>21</v>
      </c>
      <c r="B28" s="3" t="s">
        <v>41</v>
      </c>
      <c r="C28" s="4">
        <v>4</v>
      </c>
      <c r="D28" s="20"/>
      <c r="E28" s="20"/>
      <c r="F28" s="10"/>
      <c r="G28" s="10"/>
      <c r="H28" s="10"/>
      <c r="I28" s="10"/>
      <c r="J28" s="10"/>
      <c r="K28" s="10"/>
    </row>
    <row r="29" spans="1:11" ht="25.5" x14ac:dyDescent="0.25">
      <c r="A29" s="4">
        <f t="shared" si="0"/>
        <v>22</v>
      </c>
      <c r="B29" s="3" t="s">
        <v>42</v>
      </c>
      <c r="C29" s="4">
        <v>4</v>
      </c>
      <c r="D29" s="20"/>
      <c r="E29" s="20"/>
      <c r="F29" s="10"/>
      <c r="G29" s="10"/>
      <c r="H29" s="10"/>
      <c r="I29" s="10"/>
      <c r="J29" s="10"/>
      <c r="K29" s="10"/>
    </row>
    <row r="30" spans="1:11" ht="51" x14ac:dyDescent="0.25">
      <c r="A30" s="4">
        <f t="shared" si="0"/>
        <v>23</v>
      </c>
      <c r="B30" s="3" t="s">
        <v>43</v>
      </c>
      <c r="C30" s="4">
        <v>4</v>
      </c>
      <c r="D30" s="20"/>
      <c r="E30" s="20"/>
      <c r="F30" s="10"/>
      <c r="G30" s="10"/>
      <c r="H30" s="10"/>
      <c r="I30" s="10"/>
      <c r="J30" s="10"/>
      <c r="K30" s="10"/>
    </row>
    <row r="31" spans="1:11" ht="26.25" thickBot="1" x14ac:dyDescent="0.3">
      <c r="A31" s="7">
        <f t="shared" si="0"/>
        <v>24</v>
      </c>
      <c r="B31" s="6" t="s">
        <v>44</v>
      </c>
      <c r="C31" s="7">
        <v>4</v>
      </c>
      <c r="D31" s="21"/>
      <c r="E31" s="21"/>
      <c r="F31" s="10"/>
      <c r="G31" s="10"/>
      <c r="H31" s="10"/>
      <c r="I31" s="10"/>
      <c r="J31" s="10"/>
      <c r="K31" s="10"/>
    </row>
    <row r="32" spans="1:11" ht="21" customHeight="1" thickBot="1" x14ac:dyDescent="0.3">
      <c r="A32" s="26" t="s">
        <v>62</v>
      </c>
      <c r="B32" s="27"/>
      <c r="C32" s="27"/>
      <c r="D32" s="27"/>
      <c r="E32" s="22">
        <f>SUM(E20:E31)</f>
        <v>0</v>
      </c>
      <c r="F32" s="12"/>
      <c r="G32" s="12"/>
      <c r="H32" s="12"/>
      <c r="I32" s="12"/>
      <c r="J32" s="12"/>
      <c r="K32" s="12"/>
    </row>
    <row r="33" spans="1:11" ht="29.25" customHeight="1" thickBot="1" x14ac:dyDescent="0.3">
      <c r="A33" s="32" t="s">
        <v>45</v>
      </c>
      <c r="B33" s="33"/>
      <c r="C33" s="33"/>
      <c r="D33" s="33"/>
      <c r="E33" s="34"/>
      <c r="F33" s="12"/>
      <c r="G33" s="12"/>
      <c r="H33" s="12"/>
      <c r="I33" s="12"/>
      <c r="J33" s="12"/>
      <c r="K33" s="12"/>
    </row>
    <row r="34" spans="1:11" x14ac:dyDescent="0.25">
      <c r="A34" s="31"/>
      <c r="B34" s="31"/>
      <c r="C34" s="31"/>
      <c r="D34" s="31"/>
      <c r="E34" s="31"/>
      <c r="F34" s="13"/>
      <c r="G34" s="13"/>
      <c r="H34" s="13"/>
      <c r="I34" s="13"/>
      <c r="J34" s="13"/>
      <c r="K34" s="13"/>
    </row>
    <row r="35" spans="1:11" ht="15" customHeight="1" x14ac:dyDescent="0.25">
      <c r="A35" s="28" t="s">
        <v>27</v>
      </c>
      <c r="B35" s="28"/>
      <c r="C35" s="28"/>
      <c r="D35" s="28"/>
      <c r="E35" s="28"/>
      <c r="F35" s="12"/>
      <c r="G35" s="12"/>
      <c r="H35" s="12"/>
      <c r="I35" s="12"/>
      <c r="J35" s="12"/>
      <c r="K35" s="12"/>
    </row>
    <row r="36" spans="1:11" x14ac:dyDescent="0.25">
      <c r="A36" s="2">
        <v>25</v>
      </c>
      <c r="B36" s="3" t="s">
        <v>0</v>
      </c>
      <c r="C36" s="5">
        <v>24</v>
      </c>
      <c r="D36" s="20"/>
      <c r="E36" s="1"/>
      <c r="F36" s="11"/>
      <c r="G36" s="11"/>
      <c r="H36" s="11"/>
      <c r="I36" s="11"/>
      <c r="J36" s="11"/>
      <c r="K36" s="11"/>
    </row>
    <row r="37" spans="1:11" x14ac:dyDescent="0.25">
      <c r="A37" s="2">
        <f>A36+1</f>
        <v>26</v>
      </c>
      <c r="B37" s="3" t="s">
        <v>1</v>
      </c>
      <c r="C37" s="5">
        <v>24</v>
      </c>
      <c r="D37" s="20"/>
      <c r="E37" s="1"/>
      <c r="F37" s="11"/>
      <c r="G37" s="11"/>
      <c r="H37" s="11"/>
      <c r="I37" s="11"/>
      <c r="J37" s="11"/>
      <c r="K37" s="11"/>
    </row>
    <row r="38" spans="1:11" x14ac:dyDescent="0.25">
      <c r="A38" s="2">
        <f t="shared" ref="A38:A60" si="1">A37+1</f>
        <v>27</v>
      </c>
      <c r="B38" s="3" t="s">
        <v>2</v>
      </c>
      <c r="C38" s="5">
        <v>800</v>
      </c>
      <c r="D38" s="20"/>
      <c r="E38" s="1"/>
      <c r="F38" s="11"/>
      <c r="G38" s="11"/>
      <c r="H38" s="11"/>
      <c r="I38" s="11"/>
      <c r="J38" s="11"/>
      <c r="K38" s="11"/>
    </row>
    <row r="39" spans="1:11" x14ac:dyDescent="0.25">
      <c r="A39" s="2">
        <f t="shared" si="1"/>
        <v>28</v>
      </c>
      <c r="B39" s="3" t="s">
        <v>3</v>
      </c>
      <c r="C39" s="5">
        <v>800</v>
      </c>
      <c r="D39" s="20"/>
      <c r="E39" s="1"/>
      <c r="F39" s="11"/>
      <c r="G39" s="11"/>
      <c r="H39" s="11"/>
      <c r="I39" s="11"/>
      <c r="J39" s="11"/>
      <c r="K39" s="11"/>
    </row>
    <row r="40" spans="1:11" x14ac:dyDescent="0.25">
      <c r="A40" s="2">
        <f t="shared" si="1"/>
        <v>29</v>
      </c>
      <c r="B40" s="3" t="s">
        <v>4</v>
      </c>
      <c r="C40" s="5">
        <v>800</v>
      </c>
      <c r="D40" s="20"/>
      <c r="E40" s="1"/>
      <c r="F40" s="11"/>
      <c r="G40" s="11"/>
      <c r="H40" s="11"/>
      <c r="I40" s="11"/>
      <c r="J40" s="11"/>
      <c r="K40" s="11"/>
    </row>
    <row r="41" spans="1:11" x14ac:dyDescent="0.25">
      <c r="A41" s="2">
        <f t="shared" si="1"/>
        <v>30</v>
      </c>
      <c r="B41" s="3" t="s">
        <v>5</v>
      </c>
      <c r="C41" s="5">
        <v>12</v>
      </c>
      <c r="D41" s="20"/>
      <c r="E41" s="1"/>
      <c r="F41" s="11"/>
      <c r="G41" s="11"/>
      <c r="H41" s="11"/>
      <c r="I41" s="11"/>
      <c r="J41" s="11"/>
      <c r="K41" s="11"/>
    </row>
    <row r="42" spans="1:11" ht="25.5" x14ac:dyDescent="0.25">
      <c r="A42" s="2">
        <f t="shared" si="1"/>
        <v>31</v>
      </c>
      <c r="B42" s="3" t="s">
        <v>6</v>
      </c>
      <c r="C42" s="5">
        <v>0</v>
      </c>
      <c r="D42" s="20"/>
      <c r="E42" s="1"/>
      <c r="F42" s="11"/>
      <c r="G42" s="11"/>
      <c r="H42" s="11"/>
      <c r="I42" s="11"/>
      <c r="J42" s="11"/>
      <c r="K42" s="11"/>
    </row>
    <row r="43" spans="1:11" ht="25.5" x14ac:dyDescent="0.25">
      <c r="A43" s="2">
        <f t="shared" si="1"/>
        <v>32</v>
      </c>
      <c r="B43" s="3" t="s">
        <v>7</v>
      </c>
      <c r="C43" s="5">
        <v>0</v>
      </c>
      <c r="D43" s="20"/>
      <c r="E43" s="1"/>
      <c r="F43" s="11"/>
      <c r="G43" s="11"/>
      <c r="H43" s="11"/>
      <c r="I43" s="11"/>
      <c r="J43" s="11"/>
      <c r="K43" s="11"/>
    </row>
    <row r="44" spans="1:11" ht="25.5" x14ac:dyDescent="0.25">
      <c r="A44" s="2">
        <f t="shared" si="1"/>
        <v>33</v>
      </c>
      <c r="B44" s="3" t="s">
        <v>8</v>
      </c>
      <c r="C44" s="5">
        <v>0</v>
      </c>
      <c r="D44" s="20"/>
      <c r="E44" s="1"/>
      <c r="F44" s="11"/>
      <c r="G44" s="11"/>
      <c r="H44" s="11"/>
      <c r="I44" s="11"/>
      <c r="J44" s="11"/>
      <c r="K44" s="11"/>
    </row>
    <row r="45" spans="1:11" x14ac:dyDescent="0.25">
      <c r="A45" s="2">
        <f t="shared" si="1"/>
        <v>34</v>
      </c>
      <c r="B45" s="3" t="s">
        <v>9</v>
      </c>
      <c r="C45" s="5">
        <v>0</v>
      </c>
      <c r="D45" s="20"/>
      <c r="E45" s="1"/>
      <c r="F45" s="11"/>
      <c r="G45" s="11"/>
      <c r="H45" s="11"/>
      <c r="I45" s="11"/>
      <c r="J45" s="11"/>
      <c r="K45" s="11"/>
    </row>
    <row r="46" spans="1:11" x14ac:dyDescent="0.25">
      <c r="A46" s="2">
        <f t="shared" si="1"/>
        <v>35</v>
      </c>
      <c r="B46" s="3" t="s">
        <v>10</v>
      </c>
      <c r="C46" s="5">
        <v>0</v>
      </c>
      <c r="D46" s="20"/>
      <c r="E46" s="1"/>
      <c r="F46" s="11"/>
      <c r="G46" s="11"/>
      <c r="H46" s="11"/>
      <c r="I46" s="11"/>
      <c r="J46" s="11"/>
      <c r="K46" s="11"/>
    </row>
    <row r="47" spans="1:11" x14ac:dyDescent="0.25">
      <c r="A47" s="2">
        <f t="shared" si="1"/>
        <v>36</v>
      </c>
      <c r="B47" s="3" t="s">
        <v>11</v>
      </c>
      <c r="C47" s="5">
        <v>0</v>
      </c>
      <c r="D47" s="20"/>
      <c r="E47" s="1"/>
      <c r="F47" s="11"/>
      <c r="G47" s="11"/>
      <c r="H47" s="11"/>
      <c r="I47" s="11"/>
      <c r="J47" s="11"/>
      <c r="K47" s="11"/>
    </row>
    <row r="48" spans="1:11" ht="38.25" x14ac:dyDescent="0.25">
      <c r="A48" s="2">
        <f t="shared" si="1"/>
        <v>37</v>
      </c>
      <c r="B48" s="3" t="s">
        <v>12</v>
      </c>
      <c r="C48" s="5">
        <v>3400</v>
      </c>
      <c r="D48" s="20"/>
      <c r="E48" s="1"/>
      <c r="F48" s="11"/>
      <c r="G48" s="11"/>
      <c r="H48" s="11"/>
      <c r="I48" s="11"/>
      <c r="J48" s="11"/>
      <c r="K48" s="11"/>
    </row>
    <row r="49" spans="1:11" ht="25.5" x14ac:dyDescent="0.25">
      <c r="A49" s="2">
        <f t="shared" si="1"/>
        <v>38</v>
      </c>
      <c r="B49" s="3" t="s">
        <v>13</v>
      </c>
      <c r="C49" s="5">
        <v>24</v>
      </c>
      <c r="D49" s="20"/>
      <c r="E49" s="1"/>
      <c r="F49" s="11"/>
      <c r="G49" s="11"/>
      <c r="H49" s="11"/>
      <c r="I49" s="11"/>
      <c r="J49" s="11"/>
      <c r="K49" s="11"/>
    </row>
    <row r="50" spans="1:11" ht="25.5" x14ac:dyDescent="0.25">
      <c r="A50" s="2">
        <f t="shared" si="1"/>
        <v>39</v>
      </c>
      <c r="B50" s="3" t="s">
        <v>14</v>
      </c>
      <c r="C50" s="5">
        <v>900</v>
      </c>
      <c r="D50" s="20"/>
      <c r="E50" s="1"/>
      <c r="F50" s="11"/>
      <c r="G50" s="11"/>
      <c r="H50" s="11"/>
      <c r="I50" s="11"/>
      <c r="J50" s="11"/>
      <c r="K50" s="11"/>
    </row>
    <row r="51" spans="1:11" x14ac:dyDescent="0.25">
      <c r="A51" s="2">
        <f t="shared" si="1"/>
        <v>40</v>
      </c>
      <c r="B51" s="3" t="s">
        <v>15</v>
      </c>
      <c r="C51" s="5">
        <v>1400</v>
      </c>
      <c r="D51" s="20"/>
      <c r="E51" s="1"/>
      <c r="F51" s="11"/>
      <c r="G51" s="11"/>
      <c r="H51" s="11"/>
      <c r="I51" s="11"/>
      <c r="J51" s="11"/>
      <c r="K51" s="11"/>
    </row>
    <row r="52" spans="1:11" x14ac:dyDescent="0.25">
      <c r="A52" s="2">
        <f t="shared" si="1"/>
        <v>41</v>
      </c>
      <c r="B52" s="3" t="s">
        <v>16</v>
      </c>
      <c r="C52" s="5">
        <v>1400</v>
      </c>
      <c r="D52" s="20"/>
      <c r="E52" s="1"/>
      <c r="F52" s="11"/>
      <c r="G52" s="11"/>
      <c r="H52" s="11"/>
      <c r="I52" s="11"/>
      <c r="J52" s="11"/>
      <c r="K52" s="11"/>
    </row>
    <row r="53" spans="1:11" ht="25.5" x14ac:dyDescent="0.25">
      <c r="A53" s="2">
        <f t="shared" si="1"/>
        <v>42</v>
      </c>
      <c r="B53" s="3" t="s">
        <v>17</v>
      </c>
      <c r="C53" s="5">
        <v>1400</v>
      </c>
      <c r="D53" s="20"/>
      <c r="E53" s="1"/>
      <c r="F53" s="11"/>
      <c r="G53" s="11"/>
      <c r="H53" s="11"/>
      <c r="I53" s="11"/>
      <c r="J53" s="11"/>
      <c r="K53" s="11"/>
    </row>
    <row r="54" spans="1:11" ht="25.5" x14ac:dyDescent="0.25">
      <c r="A54" s="2">
        <f t="shared" si="1"/>
        <v>43</v>
      </c>
      <c r="B54" s="3" t="s">
        <v>18</v>
      </c>
      <c r="C54" s="5">
        <v>24</v>
      </c>
      <c r="D54" s="20"/>
      <c r="E54" s="1"/>
      <c r="F54" s="11"/>
      <c r="G54" s="11"/>
      <c r="H54" s="11"/>
      <c r="I54" s="11"/>
      <c r="J54" s="11"/>
      <c r="K54" s="11"/>
    </row>
    <row r="55" spans="1:11" ht="25.5" x14ac:dyDescent="0.25">
      <c r="A55" s="2">
        <f t="shared" si="1"/>
        <v>44</v>
      </c>
      <c r="B55" s="3" t="s">
        <v>19</v>
      </c>
      <c r="C55" s="5">
        <v>5000</v>
      </c>
      <c r="D55" s="20"/>
      <c r="E55" s="1"/>
      <c r="F55" s="11"/>
      <c r="G55" s="11"/>
      <c r="H55" s="11"/>
      <c r="I55" s="11"/>
      <c r="J55" s="11"/>
      <c r="K55" s="11"/>
    </row>
    <row r="56" spans="1:11" ht="25.5" x14ac:dyDescent="0.25">
      <c r="A56" s="2">
        <f t="shared" si="1"/>
        <v>45</v>
      </c>
      <c r="B56" s="3" t="s">
        <v>20</v>
      </c>
      <c r="C56" s="5">
        <v>1500</v>
      </c>
      <c r="D56" s="20"/>
      <c r="E56" s="1"/>
      <c r="F56" s="11"/>
      <c r="G56" s="11"/>
      <c r="H56" s="11"/>
      <c r="I56" s="11"/>
      <c r="J56" s="11"/>
      <c r="K56" s="11"/>
    </row>
    <row r="57" spans="1:11" ht="25.5" x14ac:dyDescent="0.25">
      <c r="A57" s="2">
        <f t="shared" si="1"/>
        <v>46</v>
      </c>
      <c r="B57" s="3" t="s">
        <v>21</v>
      </c>
      <c r="C57" s="5">
        <v>125</v>
      </c>
      <c r="D57" s="20"/>
      <c r="E57" s="1"/>
      <c r="F57" s="11"/>
      <c r="G57" s="11"/>
      <c r="H57" s="11"/>
      <c r="I57" s="11"/>
      <c r="J57" s="11"/>
      <c r="K57" s="11"/>
    </row>
    <row r="58" spans="1:11" ht="25.5" x14ac:dyDescent="0.25">
      <c r="A58" s="2">
        <f t="shared" si="1"/>
        <v>47</v>
      </c>
      <c r="B58" s="3" t="s">
        <v>22</v>
      </c>
      <c r="C58" s="5">
        <v>125</v>
      </c>
      <c r="D58" s="20"/>
      <c r="E58" s="1"/>
      <c r="F58" s="11"/>
      <c r="G58" s="11"/>
      <c r="H58" s="11"/>
      <c r="I58" s="11"/>
      <c r="J58" s="11"/>
      <c r="K58" s="11"/>
    </row>
    <row r="59" spans="1:11" x14ac:dyDescent="0.25">
      <c r="A59" s="2">
        <f t="shared" si="1"/>
        <v>48</v>
      </c>
      <c r="B59" s="3" t="s">
        <v>23</v>
      </c>
      <c r="C59" s="5">
        <v>200</v>
      </c>
      <c r="D59" s="20"/>
      <c r="E59" s="1"/>
      <c r="F59" s="11"/>
      <c r="G59" s="11"/>
      <c r="H59" s="11"/>
      <c r="I59" s="11"/>
      <c r="J59" s="11"/>
      <c r="K59" s="11"/>
    </row>
    <row r="60" spans="1:11" ht="15.75" thickBot="1" x14ac:dyDescent="0.3">
      <c r="A60" s="8">
        <f t="shared" si="1"/>
        <v>49</v>
      </c>
      <c r="B60" s="6" t="s">
        <v>24</v>
      </c>
      <c r="C60" s="17">
        <v>200</v>
      </c>
      <c r="D60" s="21"/>
      <c r="E60" s="18"/>
      <c r="F60" s="11"/>
      <c r="G60" s="11"/>
      <c r="H60" s="11"/>
      <c r="I60" s="11"/>
      <c r="J60" s="11"/>
      <c r="K60" s="11"/>
    </row>
    <row r="61" spans="1:11" ht="19.5" customHeight="1" thickBot="1" x14ac:dyDescent="0.3">
      <c r="A61" s="26" t="s">
        <v>63</v>
      </c>
      <c r="B61" s="27"/>
      <c r="C61" s="27"/>
      <c r="D61" s="27"/>
      <c r="E61" s="23">
        <f>SUM(E36:E60)</f>
        <v>0</v>
      </c>
      <c r="F61" s="12"/>
      <c r="G61" s="12"/>
      <c r="H61" s="12"/>
      <c r="I61" s="12"/>
      <c r="J61" s="12"/>
      <c r="K61" s="12"/>
    </row>
    <row r="62" spans="1:11" x14ac:dyDescent="0.25">
      <c r="A62" s="24"/>
      <c r="B62" s="24"/>
      <c r="C62" s="24"/>
      <c r="D62" s="24"/>
      <c r="E62" s="24"/>
      <c r="F62" s="9"/>
      <c r="G62" s="9"/>
      <c r="H62" s="9"/>
      <c r="I62" s="9"/>
      <c r="J62" s="9"/>
      <c r="K62" s="9"/>
    </row>
    <row r="63" spans="1:11" ht="93" customHeight="1" x14ac:dyDescent="0.25">
      <c r="A63" s="35" t="s">
        <v>64</v>
      </c>
      <c r="B63" s="35"/>
      <c r="C63" s="35"/>
      <c r="D63" s="35"/>
      <c r="E63" s="35"/>
      <c r="F63" s="9"/>
      <c r="G63" s="9"/>
      <c r="H63" s="9"/>
      <c r="I63" s="9"/>
      <c r="J63" s="9"/>
      <c r="K63" s="9"/>
    </row>
    <row r="64" spans="1:11" ht="29.25" customHeight="1" x14ac:dyDescent="0.25">
      <c r="A64" s="35" t="s">
        <v>46</v>
      </c>
      <c r="B64" s="35"/>
      <c r="C64" s="35"/>
      <c r="D64" s="35"/>
      <c r="E64" s="35"/>
    </row>
  </sheetData>
  <mergeCells count="14">
    <mergeCell ref="A63:E63"/>
    <mergeCell ref="A64:E64"/>
    <mergeCell ref="A62:E62"/>
    <mergeCell ref="A32:D32"/>
    <mergeCell ref="A1:E1"/>
    <mergeCell ref="A35:E35"/>
    <mergeCell ref="A34:E34"/>
    <mergeCell ref="A61:D61"/>
    <mergeCell ref="A33:E33"/>
    <mergeCell ref="H2:K2"/>
    <mergeCell ref="A18:E18"/>
    <mergeCell ref="A17:D17"/>
    <mergeCell ref="A19:E19"/>
    <mergeCell ref="A2:E2"/>
  </mergeCells>
  <pageMargins left="0.7" right="0.7" top="0.75" bottom="0.75" header="0.3" footer="0.3"/>
  <pageSetup orientation="portrait" r:id="rId1"/>
  <headerFooter>
    <oddHeader>&amp;C2014-4106-0367 Street Light Poles and Supplies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TOG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Harris</dc:creator>
  <cp:lastModifiedBy>ryanj</cp:lastModifiedBy>
  <cp:lastPrinted>2014-07-09T18:40:39Z</cp:lastPrinted>
  <dcterms:created xsi:type="dcterms:W3CDTF">2014-06-10T22:19:05Z</dcterms:created>
  <dcterms:modified xsi:type="dcterms:W3CDTF">2014-07-09T18:47:07Z</dcterms:modified>
</cp:coreProperties>
</file>