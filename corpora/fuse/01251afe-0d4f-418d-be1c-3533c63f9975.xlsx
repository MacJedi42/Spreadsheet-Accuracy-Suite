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40" yWindow="345" windowWidth="14805" windowHeight="7770" activeTab="1"/>
  </bookViews>
  <sheets>
    <sheet name="Cover letter" sheetId="31" r:id="rId1"/>
    <sheet name="ENGLISH" sheetId="22" r:id="rId2"/>
    <sheet name="FRANÇAIS" sheetId="25" r:id="rId3"/>
    <sheet name="ESPAÑOL" sheetId="26" r:id="rId4"/>
    <sheet name="glossary" sheetId="30" r:id="rId5"/>
    <sheet name="for internal use" sheetId="23" state="hidden" r:id="rId6"/>
    <sheet name="for internal use (FRENCH)" sheetId="27" state="hidden" r:id="rId7"/>
    <sheet name="for internal use (SPANISH)" sheetId="29" state="hidden" r:id="rId8"/>
  </sheets>
  <externalReferences>
    <externalReference r:id="rId9"/>
  </externalReferences>
  <definedNames>
    <definedName name="Currency_of_reported_figures">[1]ENGLISH!$G$127</definedName>
    <definedName name="_xlnm.Print_Area" localSheetId="1">ENGLISH!$B:$S</definedName>
    <definedName name="_xlnm.Print_Area" localSheetId="3">ESPAÑOL!$B:$S</definedName>
    <definedName name="_xlnm.Print_Area" localSheetId="2">FRANÇAIS!$B:$S</definedName>
    <definedName name="_xlnm.Print_Area" localSheetId="4">glossary!$A$1:$T$151</definedName>
  </definedNames>
  <calcPr calcId="145621"/>
</workbook>
</file>

<file path=xl/calcChain.xml><?xml version="1.0" encoding="utf-8"?>
<calcChain xmlns="http://schemas.openxmlformats.org/spreadsheetml/2006/main">
  <c r="LG3" i="23" l="1"/>
  <c r="O199" i="22" l="1"/>
  <c r="K199" i="22"/>
  <c r="K222" i="22" l="1"/>
  <c r="H304" i="22" l="1"/>
  <c r="I283" i="22"/>
  <c r="H253" i="22"/>
  <c r="H220" i="22"/>
  <c r="H197" i="22"/>
  <c r="F144" i="22"/>
  <c r="LG3" i="29" l="1"/>
  <c r="LF3" i="29"/>
  <c r="LE3" i="29"/>
  <c r="LD3" i="29"/>
  <c r="LC3" i="29"/>
  <c r="LB3" i="29"/>
  <c r="LA3" i="29"/>
  <c r="KZ3" i="29"/>
  <c r="KX3" i="29"/>
  <c r="KW3" i="29"/>
  <c r="KV3" i="29"/>
  <c r="KU3" i="29"/>
  <c r="KT3" i="29"/>
  <c r="KS3" i="29"/>
  <c r="KR3" i="29"/>
  <c r="KQ3" i="29"/>
  <c r="KP3" i="29"/>
  <c r="KN3" i="29"/>
  <c r="KM3" i="29"/>
  <c r="KK3" i="29"/>
  <c r="KJ3" i="29"/>
  <c r="KH3" i="29"/>
  <c r="KG3" i="29"/>
  <c r="KE3" i="29"/>
  <c r="KD3" i="29"/>
  <c r="KA3" i="29"/>
  <c r="JY3" i="29"/>
  <c r="JX3" i="29"/>
  <c r="JW3" i="29"/>
  <c r="JV3" i="29"/>
  <c r="JU3" i="29"/>
  <c r="JM3" i="29"/>
  <c r="JL3" i="29"/>
  <c r="JK3" i="29"/>
  <c r="JJ3" i="29"/>
  <c r="JI3" i="29"/>
  <c r="JH3" i="29"/>
  <c r="JG3" i="29"/>
  <c r="JF3" i="29"/>
  <c r="JE3" i="29"/>
  <c r="JD3" i="29"/>
  <c r="JC3" i="29"/>
  <c r="JA3" i="29"/>
  <c r="IZ3" i="29"/>
  <c r="IY3" i="29"/>
  <c r="IX3" i="29"/>
  <c r="IW3" i="29"/>
  <c r="IV3" i="29"/>
  <c r="IT3" i="29"/>
  <c r="IS3" i="29"/>
  <c r="IR3" i="29"/>
  <c r="IQ3" i="29"/>
  <c r="IP3" i="29"/>
  <c r="IO3" i="29"/>
  <c r="IN3" i="29"/>
  <c r="IM3" i="29"/>
  <c r="IL3" i="29"/>
  <c r="IJ3" i="29"/>
  <c r="II3" i="29"/>
  <c r="IH3" i="29"/>
  <c r="IG3" i="29"/>
  <c r="IF3" i="29"/>
  <c r="IE3" i="29"/>
  <c r="ID3" i="29"/>
  <c r="IC3" i="29"/>
  <c r="IB3" i="29"/>
  <c r="IA3" i="29"/>
  <c r="HZ3" i="29"/>
  <c r="HY3" i="29"/>
  <c r="HX3" i="29"/>
  <c r="HW3" i="29"/>
  <c r="HV3" i="29"/>
  <c r="HU3" i="29"/>
  <c r="HT3" i="29"/>
  <c r="HS3" i="29"/>
  <c r="HM3" i="29"/>
  <c r="HL3" i="29"/>
  <c r="HK3" i="29"/>
  <c r="HJ3" i="29"/>
  <c r="HI3" i="29"/>
  <c r="HH3" i="29"/>
  <c r="HG3" i="29"/>
  <c r="HF3" i="29"/>
  <c r="HD3" i="29"/>
  <c r="HC3" i="29"/>
  <c r="HB3" i="29"/>
  <c r="HA3" i="29"/>
  <c r="GZ3" i="29"/>
  <c r="GY3" i="29"/>
  <c r="GX3" i="29"/>
  <c r="GW3" i="29"/>
  <c r="GV3" i="29"/>
  <c r="GT3" i="29"/>
  <c r="GS3" i="29"/>
  <c r="GR3" i="29"/>
  <c r="GQ3" i="29"/>
  <c r="GP3" i="29"/>
  <c r="GO3" i="29"/>
  <c r="GM3" i="29"/>
  <c r="GL3" i="29"/>
  <c r="GJ3" i="29"/>
  <c r="GI3" i="29"/>
  <c r="GG3" i="29"/>
  <c r="GF3" i="29"/>
  <c r="GC3" i="29"/>
  <c r="GA3" i="29"/>
  <c r="FZ3" i="29"/>
  <c r="FY3" i="29"/>
  <c r="FX3" i="29"/>
  <c r="FW3" i="29"/>
  <c r="FO3" i="29"/>
  <c r="FN3" i="29"/>
  <c r="FM3" i="29"/>
  <c r="FL3" i="29"/>
  <c r="FK3" i="29"/>
  <c r="FJ3" i="29"/>
  <c r="FI3" i="29"/>
  <c r="FH3" i="29"/>
  <c r="FG3" i="29"/>
  <c r="FF3" i="29"/>
  <c r="FE3" i="29"/>
  <c r="FC3" i="29"/>
  <c r="FB3" i="29"/>
  <c r="FA3" i="29"/>
  <c r="EZ3" i="29"/>
  <c r="EY3" i="29"/>
  <c r="EX3" i="29"/>
  <c r="EV3" i="29"/>
  <c r="EU3" i="29"/>
  <c r="ET3" i="29"/>
  <c r="ES3" i="29"/>
  <c r="ER3" i="29"/>
  <c r="EQ3" i="29"/>
  <c r="EP3" i="29"/>
  <c r="EO3" i="29"/>
  <c r="EN3" i="29"/>
  <c r="EL3" i="29"/>
  <c r="EK3" i="29"/>
  <c r="EJ3" i="29"/>
  <c r="EI3" i="29"/>
  <c r="EH3" i="29"/>
  <c r="EG3" i="29"/>
  <c r="EF3" i="29"/>
  <c r="EE3" i="29"/>
  <c r="ED3" i="29"/>
  <c r="EC3" i="29"/>
  <c r="EB3" i="29"/>
  <c r="EA3" i="29"/>
  <c r="DZ3" i="29"/>
  <c r="DY3" i="29"/>
  <c r="DX3" i="29"/>
  <c r="DW3" i="29"/>
  <c r="DV3" i="29"/>
  <c r="DU3" i="29"/>
  <c r="DR3" i="29"/>
  <c r="DQ3" i="29"/>
  <c r="DP3" i="29"/>
  <c r="DO3" i="29"/>
  <c r="DN3" i="29"/>
  <c r="DM3" i="29"/>
  <c r="DL3" i="29"/>
  <c r="DK3" i="29"/>
  <c r="DJ3" i="29"/>
  <c r="DI3" i="29"/>
  <c r="DH3" i="29"/>
  <c r="DG3" i="29"/>
  <c r="DF3" i="29"/>
  <c r="DE3" i="29"/>
  <c r="DD3" i="29"/>
  <c r="DC3" i="29"/>
  <c r="DB3" i="29"/>
  <c r="DA3" i="29"/>
  <c r="CZ3" i="29"/>
  <c r="CY3" i="29"/>
  <c r="CX3" i="29"/>
  <c r="CW3" i="29"/>
  <c r="CV3" i="29"/>
  <c r="CU3" i="29"/>
  <c r="CT3" i="29"/>
  <c r="CS3" i="29"/>
  <c r="CR3" i="29"/>
  <c r="CQ3" i="29"/>
  <c r="CP3" i="29"/>
  <c r="CO3" i="29"/>
  <c r="CN3" i="29"/>
  <c r="BI3" i="29"/>
  <c r="BH3" i="29"/>
  <c r="BG3" i="29"/>
  <c r="BF3" i="29"/>
  <c r="BE3" i="29"/>
  <c r="BD3" i="29"/>
  <c r="BC3" i="29"/>
  <c r="BB3" i="29"/>
  <c r="BA3" i="29"/>
  <c r="AZ3" i="29"/>
  <c r="AY3" i="29"/>
  <c r="AX3" i="29"/>
  <c r="AW3" i="29"/>
  <c r="AV3" i="29"/>
  <c r="AU3" i="29"/>
  <c r="AT3" i="29"/>
  <c r="AS3" i="29"/>
  <c r="AR3" i="29"/>
  <c r="AQ3" i="29"/>
  <c r="AP3" i="29"/>
  <c r="AO3" i="29"/>
  <c r="AN3" i="29"/>
  <c r="AM3" i="29"/>
  <c r="AL3" i="29"/>
  <c r="AK3" i="29"/>
  <c r="AJ3" i="29"/>
  <c r="AI3" i="29"/>
  <c r="AH3" i="29"/>
  <c r="AG3" i="29"/>
  <c r="AF3" i="29"/>
  <c r="AE3" i="29"/>
  <c r="AD3" i="29"/>
  <c r="AC3" i="29"/>
  <c r="AB3" i="29"/>
  <c r="AA3" i="29"/>
  <c r="Z3" i="29"/>
  <c r="Y3" i="29"/>
  <c r="X3" i="29"/>
  <c r="W3" i="29"/>
  <c r="V3" i="29"/>
  <c r="U3" i="29"/>
  <c r="T3" i="29"/>
  <c r="S3" i="29"/>
  <c r="R3" i="29"/>
  <c r="Q3" i="29"/>
  <c r="O3" i="29"/>
  <c r="N3" i="29"/>
  <c r="M3" i="29"/>
  <c r="L3" i="29"/>
  <c r="K3" i="29"/>
  <c r="J3" i="29"/>
  <c r="I3" i="29"/>
  <c r="H3" i="29"/>
  <c r="F3" i="29"/>
  <c r="LG3" i="27"/>
  <c r="LF3" i="27"/>
  <c r="LE3" i="27"/>
  <c r="LD3" i="27"/>
  <c r="LC3" i="27"/>
  <c r="LB3" i="27"/>
  <c r="LA3" i="27"/>
  <c r="KZ3" i="27"/>
  <c r="KX3" i="27"/>
  <c r="KW3" i="27"/>
  <c r="KV3" i="27"/>
  <c r="KU3" i="27"/>
  <c r="KT3" i="27"/>
  <c r="KS3" i="27"/>
  <c r="KR3" i="27"/>
  <c r="KQ3" i="27"/>
  <c r="KP3" i="27"/>
  <c r="KN3" i="27"/>
  <c r="KM3" i="27"/>
  <c r="KK3" i="27"/>
  <c r="KJ3" i="27"/>
  <c r="KH3" i="27"/>
  <c r="KG3" i="27"/>
  <c r="KE3" i="27"/>
  <c r="KD3" i="27"/>
  <c r="KA3" i="27"/>
  <c r="JY3" i="27"/>
  <c r="JX3" i="27"/>
  <c r="JW3" i="27"/>
  <c r="JV3" i="27"/>
  <c r="JU3" i="27"/>
  <c r="JM3" i="27"/>
  <c r="JL3" i="27"/>
  <c r="JK3" i="27"/>
  <c r="JJ3" i="27"/>
  <c r="JI3" i="27"/>
  <c r="JH3" i="27"/>
  <c r="JG3" i="27"/>
  <c r="JF3" i="27"/>
  <c r="JE3" i="27"/>
  <c r="JD3" i="27"/>
  <c r="JC3" i="27"/>
  <c r="JA3" i="27"/>
  <c r="IZ3" i="27"/>
  <c r="IY3" i="27"/>
  <c r="IX3" i="27"/>
  <c r="IW3" i="27"/>
  <c r="IV3" i="27"/>
  <c r="IT3" i="27"/>
  <c r="IS3" i="27"/>
  <c r="IR3" i="27"/>
  <c r="IQ3" i="27"/>
  <c r="IP3" i="27"/>
  <c r="IO3" i="27"/>
  <c r="IN3" i="27"/>
  <c r="IM3" i="27"/>
  <c r="IL3" i="27"/>
  <c r="IJ3" i="27"/>
  <c r="II3" i="27"/>
  <c r="IH3" i="27"/>
  <c r="IG3" i="27"/>
  <c r="IF3" i="27"/>
  <c r="IE3" i="27"/>
  <c r="ID3" i="27"/>
  <c r="IC3" i="27"/>
  <c r="IB3" i="27"/>
  <c r="IA3" i="27"/>
  <c r="HZ3" i="27"/>
  <c r="HY3" i="27"/>
  <c r="HX3" i="27"/>
  <c r="HW3" i="27"/>
  <c r="HV3" i="27"/>
  <c r="HU3" i="27"/>
  <c r="HT3" i="27"/>
  <c r="HS3" i="27"/>
  <c r="HM3" i="27"/>
  <c r="HL3" i="27"/>
  <c r="HK3" i="27"/>
  <c r="HJ3" i="27"/>
  <c r="HI3" i="27"/>
  <c r="HH3" i="27"/>
  <c r="HG3" i="27"/>
  <c r="HF3" i="27"/>
  <c r="HD3" i="27"/>
  <c r="HC3" i="27"/>
  <c r="HB3" i="27"/>
  <c r="HA3" i="27"/>
  <c r="GZ3" i="27"/>
  <c r="GY3" i="27"/>
  <c r="GX3" i="27"/>
  <c r="GW3" i="27"/>
  <c r="GV3" i="27"/>
  <c r="GT3" i="27"/>
  <c r="GS3" i="27"/>
  <c r="GR3" i="27"/>
  <c r="GQ3" i="27"/>
  <c r="GP3" i="27"/>
  <c r="GO3" i="27"/>
  <c r="GM3" i="27"/>
  <c r="GL3" i="27"/>
  <c r="GJ3" i="27"/>
  <c r="GI3" i="27"/>
  <c r="GG3" i="27"/>
  <c r="GF3" i="27"/>
  <c r="GC3" i="27"/>
  <c r="GA3" i="27"/>
  <c r="FZ3" i="27"/>
  <c r="FY3" i="27"/>
  <c r="FX3" i="27"/>
  <c r="FW3" i="27"/>
  <c r="FO3" i="27"/>
  <c r="FN3" i="27"/>
  <c r="FM3" i="27"/>
  <c r="FL3" i="27"/>
  <c r="FK3" i="27"/>
  <c r="FJ3" i="27"/>
  <c r="FI3" i="27"/>
  <c r="FH3" i="27"/>
  <c r="FG3" i="27"/>
  <c r="FF3" i="27"/>
  <c r="FE3" i="27"/>
  <c r="FC3" i="27"/>
  <c r="FB3" i="27"/>
  <c r="FA3" i="27"/>
  <c r="EZ3" i="27"/>
  <c r="EY3" i="27"/>
  <c r="EX3" i="27"/>
  <c r="EV3" i="27"/>
  <c r="EU3" i="27"/>
  <c r="ET3" i="27"/>
  <c r="ES3" i="27"/>
  <c r="ER3" i="27"/>
  <c r="EQ3" i="27"/>
  <c r="EP3" i="27"/>
  <c r="EO3" i="27"/>
  <c r="EN3" i="27"/>
  <c r="EL3" i="27"/>
  <c r="EK3" i="27"/>
  <c r="EJ3" i="27"/>
  <c r="EI3" i="27"/>
  <c r="EH3" i="27"/>
  <c r="EG3" i="27"/>
  <c r="EF3" i="27"/>
  <c r="EE3" i="27"/>
  <c r="ED3" i="27"/>
  <c r="EC3" i="27"/>
  <c r="EB3" i="27"/>
  <c r="EA3" i="27"/>
  <c r="DZ3" i="27"/>
  <c r="DY3" i="27"/>
  <c r="DX3" i="27"/>
  <c r="DW3" i="27"/>
  <c r="DV3" i="27"/>
  <c r="DU3" i="27"/>
  <c r="DR3" i="27"/>
  <c r="DQ3" i="27"/>
  <c r="DP3" i="27"/>
  <c r="DO3" i="27"/>
  <c r="DN3" i="27"/>
  <c r="DM3" i="27"/>
  <c r="DL3" i="27"/>
  <c r="DK3" i="27"/>
  <c r="DJ3" i="27"/>
  <c r="DI3" i="27"/>
  <c r="DH3" i="27"/>
  <c r="DG3" i="27"/>
  <c r="DF3" i="27"/>
  <c r="DE3" i="27"/>
  <c r="DD3" i="27"/>
  <c r="DC3" i="27"/>
  <c r="DB3" i="27"/>
  <c r="DA3" i="27"/>
  <c r="CZ3" i="27"/>
  <c r="CY3" i="27"/>
  <c r="CX3" i="27"/>
  <c r="CW3" i="27"/>
  <c r="CV3" i="27"/>
  <c r="CU3" i="27"/>
  <c r="CT3" i="27"/>
  <c r="CS3" i="27"/>
  <c r="CR3" i="27"/>
  <c r="CQ3" i="27"/>
  <c r="CP3" i="27"/>
  <c r="CO3" i="27"/>
  <c r="CN3" i="27"/>
  <c r="BI3" i="27"/>
  <c r="BH3" i="27"/>
  <c r="BG3" i="27"/>
  <c r="BF3" i="27"/>
  <c r="BE3" i="27"/>
  <c r="BD3" i="27"/>
  <c r="BC3" i="27"/>
  <c r="BB3" i="27"/>
  <c r="BA3" i="27"/>
  <c r="AZ3" i="27"/>
  <c r="AY3" i="27"/>
  <c r="AX3" i="27"/>
  <c r="AW3" i="27"/>
  <c r="AV3" i="27"/>
  <c r="AU3" i="27"/>
  <c r="AT3" i="27"/>
  <c r="AS3" i="27"/>
  <c r="AR3" i="27"/>
  <c r="AQ3" i="27"/>
  <c r="AP3" i="27"/>
  <c r="AO3" i="27"/>
  <c r="AN3" i="27"/>
  <c r="AM3" i="27"/>
  <c r="AL3" i="27"/>
  <c r="AK3" i="27"/>
  <c r="AJ3" i="27"/>
  <c r="AI3" i="27"/>
  <c r="AH3" i="27"/>
  <c r="AG3" i="27"/>
  <c r="AF3" i="27"/>
  <c r="AE3" i="27"/>
  <c r="AD3" i="27"/>
  <c r="AC3" i="27"/>
  <c r="AB3" i="27"/>
  <c r="AA3" i="27"/>
  <c r="Z3" i="27"/>
  <c r="Y3" i="27"/>
  <c r="X3" i="27"/>
  <c r="W3" i="27"/>
  <c r="V3" i="27"/>
  <c r="U3" i="27"/>
  <c r="T3" i="27"/>
  <c r="S3" i="27"/>
  <c r="R3" i="27"/>
  <c r="Q3" i="27"/>
  <c r="O3" i="27"/>
  <c r="N3" i="27"/>
  <c r="M3" i="27"/>
  <c r="L3" i="27"/>
  <c r="K3" i="27"/>
  <c r="J3" i="27"/>
  <c r="I3" i="27"/>
  <c r="H3" i="27"/>
  <c r="F3" i="27"/>
  <c r="G3" i="27" s="1"/>
  <c r="G3" i="29"/>
  <c r="LF3" i="23"/>
  <c r="HM3" i="23"/>
  <c r="HL3" i="23"/>
  <c r="LE3" i="23"/>
  <c r="LD3" i="23"/>
  <c r="LC3" i="23"/>
  <c r="LB3" i="23"/>
  <c r="LA3" i="23"/>
  <c r="KZ3" i="23"/>
  <c r="HK3" i="23"/>
  <c r="HJ3" i="23"/>
  <c r="HI3" i="23"/>
  <c r="HH3" i="23"/>
  <c r="HG3" i="23"/>
  <c r="HF3" i="23"/>
  <c r="KX3" i="23"/>
  <c r="KW3" i="23"/>
  <c r="HD3" i="23"/>
  <c r="HC3" i="23"/>
  <c r="KN3" i="23"/>
  <c r="KV3" i="23"/>
  <c r="KU3" i="23"/>
  <c r="KT3" i="23"/>
  <c r="KS3" i="23"/>
  <c r="KR3" i="23"/>
  <c r="KQ3" i="23"/>
  <c r="KP3" i="23"/>
  <c r="HB3" i="23"/>
  <c r="HA3" i="23"/>
  <c r="GZ3" i="23"/>
  <c r="GY3" i="23"/>
  <c r="GX3" i="23"/>
  <c r="GW3" i="23"/>
  <c r="GV3" i="23"/>
  <c r="GT3" i="23"/>
  <c r="GS3" i="23"/>
  <c r="GR3" i="23"/>
  <c r="GQ3" i="23"/>
  <c r="GP3" i="23"/>
  <c r="KM3" i="23"/>
  <c r="KK3" i="23"/>
  <c r="KJ3" i="23"/>
  <c r="KH3" i="23"/>
  <c r="KG3" i="23"/>
  <c r="KE3" i="23"/>
  <c r="KD3" i="23"/>
  <c r="GO3" i="23"/>
  <c r="GM3" i="23"/>
  <c r="GL3" i="23"/>
  <c r="GJ3" i="23"/>
  <c r="GI3" i="23"/>
  <c r="GG3" i="23"/>
  <c r="GF3" i="23"/>
  <c r="JX3" i="23"/>
  <c r="KA3" i="23"/>
  <c r="JY3" i="23"/>
  <c r="JW3" i="23"/>
  <c r="JV3" i="23"/>
  <c r="JU3" i="23"/>
  <c r="GC3" i="23"/>
  <c r="GA3" i="23"/>
  <c r="FZ3" i="23"/>
  <c r="FY3" i="23"/>
  <c r="FX3" i="23"/>
  <c r="FW3" i="23"/>
  <c r="JL3" i="23"/>
  <c r="JM3" i="23"/>
  <c r="JK3" i="23"/>
  <c r="JJ3" i="23"/>
  <c r="JI3" i="23"/>
  <c r="JH3" i="23"/>
  <c r="JG3" i="23"/>
  <c r="JF3" i="23"/>
  <c r="JE3" i="23"/>
  <c r="JD3" i="23"/>
  <c r="JC3" i="23"/>
  <c r="FO3" i="23"/>
  <c r="FN3" i="23"/>
  <c r="FM3" i="23"/>
  <c r="FL3" i="23"/>
  <c r="FK3" i="23"/>
  <c r="FJ3" i="23"/>
  <c r="FI3" i="23"/>
  <c r="FH3" i="23"/>
  <c r="FG3" i="23"/>
  <c r="FF3" i="23"/>
  <c r="FE3" i="23"/>
  <c r="JA3" i="23"/>
  <c r="IY3" i="23"/>
  <c r="IX3" i="23"/>
  <c r="IW3" i="23"/>
  <c r="IV3" i="23"/>
  <c r="IZ3" i="23"/>
  <c r="FC3" i="23"/>
  <c r="FB3" i="23"/>
  <c r="FA3" i="23"/>
  <c r="EZ3" i="23"/>
  <c r="EY3" i="23"/>
  <c r="EX3" i="23"/>
  <c r="IT3" i="23"/>
  <c r="IS3" i="23"/>
  <c r="IR3" i="23"/>
  <c r="IQ3" i="23"/>
  <c r="IP3" i="23"/>
  <c r="IO3" i="23"/>
  <c r="IN3" i="23"/>
  <c r="IM3" i="23"/>
  <c r="IL3" i="23"/>
  <c r="EV3" i="23"/>
  <c r="EU3" i="23"/>
  <c r="ET3" i="23"/>
  <c r="ES3" i="23"/>
  <c r="ER3" i="23"/>
  <c r="EQ3" i="23"/>
  <c r="EP3" i="23"/>
  <c r="EO3" i="23"/>
  <c r="EN3" i="23"/>
  <c r="IJ3" i="23"/>
  <c r="II3" i="23"/>
  <c r="IH3" i="23"/>
  <c r="IG3" i="23"/>
  <c r="IF3" i="23"/>
  <c r="IE3" i="23"/>
  <c r="ID3" i="23"/>
  <c r="IC3" i="23"/>
  <c r="IB3" i="23"/>
  <c r="IA3" i="23"/>
  <c r="HZ3" i="23"/>
  <c r="HY3" i="23"/>
  <c r="HX3" i="23"/>
  <c r="HW3" i="23"/>
  <c r="HV3" i="23"/>
  <c r="HU3" i="23"/>
  <c r="HT3" i="23"/>
  <c r="HS3" i="23"/>
  <c r="EL3" i="23"/>
  <c r="EK3" i="23"/>
  <c r="EJ3" i="23"/>
  <c r="EI3" i="23"/>
  <c r="EH3" i="23"/>
  <c r="EG3" i="23"/>
  <c r="EF3" i="23"/>
  <c r="EE3" i="23"/>
  <c r="ED3" i="23"/>
  <c r="EC3" i="23"/>
  <c r="EB3" i="23"/>
  <c r="EA3" i="23"/>
  <c r="DZ3" i="23"/>
  <c r="DY3" i="23"/>
  <c r="DX3" i="23"/>
  <c r="DW3" i="23"/>
  <c r="DV3" i="23"/>
  <c r="DU3" i="23"/>
  <c r="DR3" i="23"/>
  <c r="DQ3" i="23"/>
  <c r="DP3" i="23"/>
  <c r="DO3" i="23"/>
  <c r="DN3" i="23"/>
  <c r="DM3" i="23"/>
  <c r="DL3" i="23"/>
  <c r="DK3" i="23"/>
  <c r="DJ3" i="23"/>
  <c r="DI3" i="23"/>
  <c r="DH3" i="23"/>
  <c r="DG3" i="23"/>
  <c r="DF3" i="23"/>
  <c r="DE3" i="23"/>
  <c r="DD3" i="23"/>
  <c r="DC3" i="23"/>
  <c r="CN3" i="23"/>
  <c r="DB3" i="23"/>
  <c r="DA3" i="23"/>
  <c r="CZ3" i="23"/>
  <c r="CY3" i="23"/>
  <c r="CX3" i="23"/>
  <c r="CW3" i="23"/>
  <c r="CV3" i="23"/>
  <c r="CU3" i="23"/>
  <c r="CT3" i="23"/>
  <c r="CS3" i="23"/>
  <c r="CR3" i="23"/>
  <c r="CQ3" i="23"/>
  <c r="CP3" i="23"/>
  <c r="CO3" i="23"/>
  <c r="BI3" i="23"/>
  <c r="BH3" i="23"/>
  <c r="BG3" i="23"/>
  <c r="BF3" i="23"/>
  <c r="BE3" i="23"/>
  <c r="BD3" i="23"/>
  <c r="BC3" i="23"/>
  <c r="BB3" i="23"/>
  <c r="BA3" i="23"/>
  <c r="AZ3" i="23"/>
  <c r="AY3" i="23"/>
  <c r="AX3" i="23"/>
  <c r="AW3" i="23"/>
  <c r="AV3" i="23"/>
  <c r="AU3" i="23"/>
  <c r="AT3" i="23"/>
  <c r="AS3" i="23"/>
  <c r="AR3" i="23"/>
  <c r="AQ3" i="23"/>
  <c r="AP3" i="23"/>
  <c r="AO3" i="23"/>
  <c r="AN3" i="23"/>
  <c r="AM3" i="23"/>
  <c r="AL3" i="23"/>
  <c r="AK3" i="23"/>
  <c r="AJ3" i="23"/>
  <c r="AI3" i="23"/>
  <c r="AH3" i="23"/>
  <c r="AG3" i="23"/>
  <c r="AF3" i="23"/>
  <c r="AE3" i="23"/>
  <c r="AD3" i="23"/>
  <c r="AC3" i="23"/>
  <c r="AB3" i="23"/>
  <c r="AA3" i="23"/>
  <c r="Z3" i="23"/>
  <c r="Y3" i="23"/>
  <c r="X3" i="23"/>
  <c r="W3" i="23"/>
  <c r="V3" i="23"/>
  <c r="U3" i="23"/>
  <c r="R3" i="23"/>
  <c r="Q3" i="23"/>
  <c r="O3" i="23"/>
  <c r="N3" i="23"/>
  <c r="M3" i="23"/>
  <c r="L3" i="23"/>
  <c r="K3" i="23"/>
  <c r="J3" i="23"/>
  <c r="I3" i="23"/>
  <c r="H3" i="23"/>
  <c r="F3" i="23"/>
  <c r="G3" i="23" s="1"/>
  <c r="C37" i="26" l="1"/>
  <c r="O306" i="26"/>
  <c r="K306" i="26"/>
  <c r="R285" i="26"/>
  <c r="I285" i="26"/>
  <c r="O266" i="26"/>
  <c r="K266" i="26"/>
  <c r="GK3" i="29" s="1"/>
  <c r="O261" i="26"/>
  <c r="K261" i="26"/>
  <c r="O257" i="26"/>
  <c r="K257" i="26"/>
  <c r="GE3" i="29" s="1"/>
  <c r="K255" i="26"/>
  <c r="O233" i="26"/>
  <c r="K233" i="26"/>
  <c r="FV3" i="29" s="1"/>
  <c r="O199" i="26"/>
  <c r="K199" i="26"/>
  <c r="O181" i="26"/>
  <c r="K181" i="26"/>
  <c r="I181" i="26" s="1"/>
  <c r="O169" i="26"/>
  <c r="K169" i="26"/>
  <c r="O148" i="26"/>
  <c r="O146" i="26" s="1"/>
  <c r="K148" i="26"/>
  <c r="Q45" i="26"/>
  <c r="F45" i="26"/>
  <c r="P3" i="29" s="1"/>
  <c r="H266" i="26" l="1"/>
  <c r="R146" i="26"/>
  <c r="HQ3" i="29"/>
  <c r="K224" i="26"/>
  <c r="DT3" i="29"/>
  <c r="K225" i="26"/>
  <c r="FR3" i="29" s="1"/>
  <c r="EM3" i="29"/>
  <c r="O226" i="26"/>
  <c r="JQ3" i="29" s="1"/>
  <c r="IU3" i="29"/>
  <c r="R199" i="26"/>
  <c r="JB3" i="29"/>
  <c r="K270" i="26"/>
  <c r="GN3" i="29" s="1"/>
  <c r="GD3" i="29"/>
  <c r="H261" i="26"/>
  <c r="GH3" i="29"/>
  <c r="R266" i="26"/>
  <c r="KI3" i="29"/>
  <c r="R306" i="26"/>
  <c r="KY3" i="29"/>
  <c r="K146" i="26"/>
  <c r="I148" i="26"/>
  <c r="O224" i="26"/>
  <c r="JO3" i="29" s="1"/>
  <c r="HR3" i="29"/>
  <c r="O225" i="26"/>
  <c r="JP3" i="29" s="1"/>
  <c r="IK3" i="29"/>
  <c r="K226" i="26"/>
  <c r="FS3" i="29" s="1"/>
  <c r="EW3" i="29"/>
  <c r="K285" i="26"/>
  <c r="GU3" i="29" s="1"/>
  <c r="FD3" i="29"/>
  <c r="I233" i="26"/>
  <c r="R233" i="26"/>
  <c r="JT3" i="29"/>
  <c r="H257" i="26"/>
  <c r="R257" i="26"/>
  <c r="KC3" i="29"/>
  <c r="R261" i="26"/>
  <c r="KF3" i="29"/>
  <c r="I306" i="26"/>
  <c r="HE3" i="29"/>
  <c r="I169" i="26"/>
  <c r="I199" i="26"/>
  <c r="H255" i="26"/>
  <c r="O255" i="26"/>
  <c r="KB3" i="29" s="1"/>
  <c r="O222" i="26"/>
  <c r="JN3" i="29" s="1"/>
  <c r="O228" i="26"/>
  <c r="H270" i="26"/>
  <c r="O285" i="26"/>
  <c r="KO3" i="29" s="1"/>
  <c r="R148" i="26"/>
  <c r="R169" i="26"/>
  <c r="R181" i="26"/>
  <c r="K228" i="26"/>
  <c r="I228" i="26" l="1"/>
  <c r="FT3" i="29"/>
  <c r="R255" i="26"/>
  <c r="O270" i="26"/>
  <c r="R228" i="26"/>
  <c r="JR3" i="29"/>
  <c r="DS3" i="29"/>
  <c r="I146" i="26"/>
  <c r="K222" i="26"/>
  <c r="FQ3" i="29"/>
  <c r="R222" i="26"/>
  <c r="O230" i="26"/>
  <c r="JS3" i="29" s="1"/>
  <c r="K230" i="26"/>
  <c r="R270" i="26" l="1"/>
  <c r="KL3" i="29"/>
  <c r="I230" i="26"/>
  <c r="FU3" i="29"/>
  <c r="FP3" i="29"/>
  <c r="I222" i="26"/>
  <c r="O242" i="26"/>
  <c r="R230" i="26"/>
  <c r="K242" i="26"/>
  <c r="GB3" i="29" s="1"/>
  <c r="I242" i="26" l="1"/>
  <c r="R242" i="26"/>
  <c r="JZ3" i="29"/>
  <c r="C37" i="25"/>
  <c r="C37" i="22"/>
  <c r="O306" i="25" l="1"/>
  <c r="K306" i="25"/>
  <c r="R285" i="25"/>
  <c r="I285" i="25"/>
  <c r="O266" i="25"/>
  <c r="K266" i="25"/>
  <c r="R261" i="25"/>
  <c r="O261" i="25"/>
  <c r="KF3" i="27" s="1"/>
  <c r="K261" i="25"/>
  <c r="O257" i="25"/>
  <c r="KC3" i="27" s="1"/>
  <c r="K257" i="25"/>
  <c r="O233" i="25"/>
  <c r="JT3" i="27" s="1"/>
  <c r="K233" i="25"/>
  <c r="O199" i="25"/>
  <c r="R199" i="25" s="1"/>
  <c r="K199" i="25"/>
  <c r="O181" i="25"/>
  <c r="R181" i="25" s="1"/>
  <c r="K181" i="25"/>
  <c r="R169" i="25"/>
  <c r="O169" i="25"/>
  <c r="K169" i="25"/>
  <c r="O148" i="25"/>
  <c r="K148" i="25"/>
  <c r="K146" i="25" s="1"/>
  <c r="Q45" i="25"/>
  <c r="F45" i="25"/>
  <c r="P3" i="27" s="1"/>
  <c r="I146" i="25" l="1"/>
  <c r="DS3" i="27"/>
  <c r="O224" i="25"/>
  <c r="HR3" i="27"/>
  <c r="K225" i="25"/>
  <c r="FR3" i="27" s="1"/>
  <c r="EM3" i="27"/>
  <c r="O146" i="25"/>
  <c r="K224" i="25"/>
  <c r="FQ3" i="27" s="1"/>
  <c r="DT3" i="27"/>
  <c r="R148" i="25"/>
  <c r="O225" i="25"/>
  <c r="JP3" i="27" s="1"/>
  <c r="IK3" i="27"/>
  <c r="K226" i="25"/>
  <c r="FS3" i="27" s="1"/>
  <c r="EW3" i="27"/>
  <c r="O285" i="25"/>
  <c r="KO3" i="27" s="1"/>
  <c r="JB3" i="27"/>
  <c r="I233" i="25"/>
  <c r="FV3" i="27"/>
  <c r="R233" i="25"/>
  <c r="O255" i="25"/>
  <c r="H257" i="25"/>
  <c r="GE3" i="27"/>
  <c r="K255" i="25"/>
  <c r="R257" i="25"/>
  <c r="H266" i="25"/>
  <c r="GK3" i="27"/>
  <c r="I306" i="25"/>
  <c r="HE3" i="27"/>
  <c r="O226" i="25"/>
  <c r="JQ3" i="27" s="1"/>
  <c r="IU3" i="27"/>
  <c r="K285" i="25"/>
  <c r="GU3" i="27" s="1"/>
  <c r="FD3" i="27"/>
  <c r="H261" i="25"/>
  <c r="GH3" i="27"/>
  <c r="R266" i="25"/>
  <c r="KI3" i="27"/>
  <c r="R306" i="25"/>
  <c r="KY3" i="27"/>
  <c r="K222" i="25"/>
  <c r="FP3" i="27" s="1"/>
  <c r="I148" i="25"/>
  <c r="I169" i="25"/>
  <c r="I181" i="25"/>
  <c r="I199" i="25"/>
  <c r="O228" i="25"/>
  <c r="H255" i="25"/>
  <c r="O270" i="25"/>
  <c r="K228" i="25"/>
  <c r="F45" i="22"/>
  <c r="P3" i="23" s="1"/>
  <c r="O266" i="22"/>
  <c r="KI3" i="23" s="1"/>
  <c r="O261" i="22"/>
  <c r="KF3" i="23" s="1"/>
  <c r="O257" i="22"/>
  <c r="KC3" i="23" s="1"/>
  <c r="K257" i="22"/>
  <c r="GE3" i="23" s="1"/>
  <c r="K266" i="22"/>
  <c r="GK3" i="23" s="1"/>
  <c r="O233" i="22"/>
  <c r="JT3" i="23" s="1"/>
  <c r="K233" i="22"/>
  <c r="FV3" i="23" s="1"/>
  <c r="JB3" i="23"/>
  <c r="FD3" i="23"/>
  <c r="O181" i="22"/>
  <c r="IU3" i="23" s="1"/>
  <c r="K181" i="22"/>
  <c r="EW3" i="23" s="1"/>
  <c r="O169" i="22"/>
  <c r="IK3" i="23" s="1"/>
  <c r="K169" i="22"/>
  <c r="EM3" i="23" s="1"/>
  <c r="O148" i="22"/>
  <c r="HR3" i="23" s="1"/>
  <c r="K148" i="22"/>
  <c r="DT3" i="23" s="1"/>
  <c r="R270" i="25" l="1"/>
  <c r="KL3" i="27"/>
  <c r="I228" i="25"/>
  <c r="FT3" i="27"/>
  <c r="R228" i="25"/>
  <c r="JR3" i="27"/>
  <c r="KB3" i="27"/>
  <c r="R255" i="25"/>
  <c r="GD3" i="27"/>
  <c r="K270" i="25"/>
  <c r="GN3" i="27" s="1"/>
  <c r="HQ3" i="27"/>
  <c r="R146" i="25"/>
  <c r="O222" i="25"/>
  <c r="JO3" i="27"/>
  <c r="K230" i="25"/>
  <c r="FU3" i="27" s="1"/>
  <c r="I222" i="25"/>
  <c r="O255" i="22"/>
  <c r="O146" i="22"/>
  <c r="HQ3" i="23" s="1"/>
  <c r="K146" i="22"/>
  <c r="DS3" i="23" s="1"/>
  <c r="K224" i="22"/>
  <c r="FQ3" i="23" s="1"/>
  <c r="I230" i="25" l="1"/>
  <c r="JN3" i="27"/>
  <c r="O230" i="25"/>
  <c r="R222" i="25"/>
  <c r="H270" i="25"/>
  <c r="R255" i="22"/>
  <c r="KB3" i="23"/>
  <c r="K242" i="25"/>
  <c r="O270" i="22"/>
  <c r="KL3" i="23" s="1"/>
  <c r="S3" i="23"/>
  <c r="T3" i="23"/>
  <c r="O306" i="22"/>
  <c r="K306" i="22"/>
  <c r="JS3" i="27" l="1"/>
  <c r="O242" i="25"/>
  <c r="JZ3" i="27" s="1"/>
  <c r="R242" i="25"/>
  <c r="R230" i="25"/>
  <c r="I242" i="25"/>
  <c r="GB3" i="27"/>
  <c r="R306" i="22"/>
  <c r="KY3" i="23"/>
  <c r="I306" i="22"/>
  <c r="HE3" i="23"/>
  <c r="R266" i="22"/>
  <c r="H266" i="22"/>
  <c r="R261" i="22"/>
  <c r="R257" i="22"/>
  <c r="K261" i="22"/>
  <c r="GH3" i="23" s="1"/>
  <c r="H257" i="22"/>
  <c r="I233" i="22"/>
  <c r="R199" i="22"/>
  <c r="I199" i="22"/>
  <c r="H261" i="22" l="1"/>
  <c r="K255" i="22"/>
  <c r="K285" i="22"/>
  <c r="O285" i="22"/>
  <c r="O228" i="22"/>
  <c r="K228" i="22"/>
  <c r="KO3" i="23" l="1"/>
  <c r="R285" i="22"/>
  <c r="GU3" i="23"/>
  <c r="I285" i="22"/>
  <c r="I228" i="22"/>
  <c r="FT3" i="23"/>
  <c r="R228" i="22"/>
  <c r="JR3" i="23"/>
  <c r="K270" i="22"/>
  <c r="GN3" i="23" s="1"/>
  <c r="GD3" i="23"/>
  <c r="H255" i="22"/>
  <c r="R270" i="22"/>
  <c r="H270" i="22"/>
  <c r="I148" i="22" l="1"/>
  <c r="R148" i="22"/>
  <c r="O226" i="22" l="1"/>
  <c r="JQ3" i="23" s="1"/>
  <c r="R181" i="22"/>
  <c r="K226" i="22"/>
  <c r="FS3" i="23" s="1"/>
  <c r="I181" i="22"/>
  <c r="I169" i="22"/>
  <c r="R169" i="22"/>
  <c r="K225" i="22"/>
  <c r="FR3" i="23" s="1"/>
  <c r="O224" i="22"/>
  <c r="JO3" i="23" s="1"/>
  <c r="O225" i="22"/>
  <c r="JP3" i="23" s="1"/>
  <c r="I146" i="22"/>
  <c r="R146" i="22"/>
  <c r="R233" i="22"/>
  <c r="Q45" i="22"/>
  <c r="FP3" i="23" l="1"/>
  <c r="O222" i="22"/>
  <c r="JN3" i="23" s="1"/>
  <c r="I222" i="22" l="1"/>
  <c r="O230" i="22"/>
  <c r="R222" i="22"/>
  <c r="K230" i="22"/>
  <c r="FU3" i="23" s="1"/>
  <c r="O242" i="22" l="1"/>
  <c r="JZ3" i="23" s="1"/>
  <c r="JS3" i="23"/>
  <c r="I230" i="22"/>
  <c r="R230" i="22"/>
  <c r="K242" i="22"/>
  <c r="R242" i="22" l="1"/>
  <c r="I242" i="22"/>
  <c r="GB3" i="23"/>
</calcChain>
</file>

<file path=xl/comments1.xml><?xml version="1.0" encoding="utf-8"?>
<comments xmlns="http://schemas.openxmlformats.org/spreadsheetml/2006/main">
  <authors>
    <author>Author</author>
  </authors>
  <commentList>
    <comment ref="L27" authorId="0">
      <text>
        <r>
          <rPr>
            <b/>
            <sz val="9"/>
            <color indexed="81"/>
            <rFont val="Tahoma"/>
            <family val="2"/>
          </rPr>
          <t>If the reported figures pertain to more than one airport, please list each airport separated by "/" (e.g. XXX/YYY/ZZZ)</t>
        </r>
        <r>
          <rPr>
            <sz val="9"/>
            <color indexed="81"/>
            <rFont val="Tahoma"/>
            <family val="2"/>
          </rPr>
          <t xml:space="preserve">
</t>
        </r>
      </text>
    </comment>
    <comment ref="M94" authorId="0">
      <text>
        <r>
          <rPr>
            <b/>
            <sz val="9"/>
            <color indexed="81"/>
            <rFont val="Tahoma"/>
            <family val="2"/>
          </rPr>
          <t xml:space="preserve">Single Till:
</t>
        </r>
        <r>
          <rPr>
            <sz val="9"/>
            <color indexed="81"/>
            <rFont val="Tahoma"/>
            <family val="2"/>
          </rPr>
          <t xml:space="preserve">Under the single till principle airport activities (aeronautical and commercial) are taken into consideration to determine the level of airport charges.
</t>
        </r>
        <r>
          <rPr>
            <b/>
            <sz val="9"/>
            <color indexed="81"/>
            <rFont val="Tahoma"/>
            <family val="2"/>
          </rPr>
          <t xml:space="preserve">Hybrid Till:
</t>
        </r>
        <r>
          <rPr>
            <sz val="9"/>
            <color indexed="81"/>
            <rFont val="Tahoma"/>
            <family val="2"/>
          </rPr>
          <t xml:space="preserve">Hybrid till is a mix of single till and dual till regulation. Hybrid till starts as a dual till approach where the aeronautical and non- aeronautical activities are first ring fenced and then some percentage of non-aeronautical revenues are used to cross subsidize and determine the aeronautical charges. Also, under hybrid till approach the airport owner/operator may choose to recover landing costs on the basis of the single-till approach while establishing terminal costs on the basis of the dual-till approach.
</t>
        </r>
        <r>
          <rPr>
            <b/>
            <sz val="9"/>
            <color indexed="81"/>
            <rFont val="Tahoma"/>
            <family val="2"/>
          </rPr>
          <t xml:space="preserve">Dual Till:
</t>
        </r>
        <r>
          <rPr>
            <sz val="9"/>
            <color indexed="81"/>
            <rFont val="Tahoma"/>
            <family val="2"/>
          </rPr>
          <t>Under the dual-till approach, the full cost associated with the airport and its essential ancillary services are allocated between the airport owner/operator and the airport users. The costs allocated to air traffic include only those costs associated with the facilities that are actually used by the aircraft operators and end the end-users. No adjustment is made to this cost basis to reflect non-aeronautical revenues accruing to the airport.</t>
        </r>
      </text>
    </comment>
  </commentList>
</comments>
</file>

<file path=xl/comments2.xml><?xml version="1.0" encoding="utf-8"?>
<comments xmlns="http://schemas.openxmlformats.org/spreadsheetml/2006/main">
  <authors>
    <author>Author</author>
  </authors>
  <commentList>
    <comment ref="L27" authorId="0">
      <text>
        <r>
          <rPr>
            <b/>
            <sz val="9"/>
            <color indexed="81"/>
            <rFont val="Tahoma"/>
            <family val="2"/>
          </rPr>
          <t>If the reported figures pertain to more than one airport, please list each airport separated by "/" (e.g. XXX/YYY/ZZZ)</t>
        </r>
        <r>
          <rPr>
            <sz val="9"/>
            <color indexed="81"/>
            <rFont val="Tahoma"/>
            <family val="2"/>
          </rPr>
          <t xml:space="preserve">
</t>
        </r>
      </text>
    </comment>
    <comment ref="M94" authorId="0">
      <text>
        <r>
          <rPr>
            <b/>
            <sz val="9"/>
            <color indexed="81"/>
            <rFont val="Tahoma"/>
            <family val="2"/>
          </rPr>
          <t xml:space="preserve">Single Till:
</t>
        </r>
        <r>
          <rPr>
            <sz val="9"/>
            <color indexed="81"/>
            <rFont val="Tahoma"/>
            <family val="2"/>
          </rPr>
          <t xml:space="preserve">Under the single till principle airport activities (aeronautical and commercial) are taken into consideration to determine the level of airport charges.
</t>
        </r>
        <r>
          <rPr>
            <b/>
            <sz val="9"/>
            <color indexed="81"/>
            <rFont val="Tahoma"/>
            <family val="2"/>
          </rPr>
          <t xml:space="preserve">Hybrid Till:
</t>
        </r>
        <r>
          <rPr>
            <sz val="9"/>
            <color indexed="81"/>
            <rFont val="Tahoma"/>
            <family val="2"/>
          </rPr>
          <t xml:space="preserve">Hybrid till is a mix of single till and dual till regulation. Hybrid till starts as a dual till approach where the aeronautical and non- aeronautical activities are first ring fenced and then some percentage of non-aeronautical revenues are used to cross subsidize and determine the aeronautical charges. Also, under hybrid till approach the airport owner/operator may choose to recover landing costs on the basis of the single-till approach while establishing terminal costs on the basis of the dual-till approach.
</t>
        </r>
        <r>
          <rPr>
            <b/>
            <sz val="9"/>
            <color indexed="81"/>
            <rFont val="Tahoma"/>
            <family val="2"/>
          </rPr>
          <t xml:space="preserve">Dual Till:
</t>
        </r>
        <r>
          <rPr>
            <sz val="9"/>
            <color indexed="81"/>
            <rFont val="Tahoma"/>
            <family val="2"/>
          </rPr>
          <t>Under the duall-till approach, the full cost associated with the airport and its essential ancillary services are allocated between the airport owner/operator and the airport users. The costs allocated to air traffic include only those costs associated with the facilities that are actually used by the aircraft operators and end the end-users. No adjustment is made to this cost basis to reflect non-aeronautical revenues accruing to the airport.</t>
        </r>
      </text>
    </comment>
  </commentList>
</comments>
</file>

<file path=xl/comments3.xml><?xml version="1.0" encoding="utf-8"?>
<comments xmlns="http://schemas.openxmlformats.org/spreadsheetml/2006/main">
  <authors>
    <author>Author</author>
  </authors>
  <commentList>
    <comment ref="L27" authorId="0">
      <text>
        <r>
          <rPr>
            <b/>
            <sz val="9"/>
            <color indexed="81"/>
            <rFont val="Tahoma"/>
            <family val="2"/>
          </rPr>
          <t>If the reported figures pertain to more than one airport, please list each airport separated by "/" (e.g. XXX/YYY/ZZZ)</t>
        </r>
        <r>
          <rPr>
            <sz val="9"/>
            <color indexed="81"/>
            <rFont val="Tahoma"/>
            <family val="2"/>
          </rPr>
          <t xml:space="preserve">
</t>
        </r>
      </text>
    </comment>
    <comment ref="M94" authorId="0">
      <text>
        <r>
          <rPr>
            <b/>
            <sz val="9"/>
            <color indexed="81"/>
            <rFont val="Tahoma"/>
            <family val="2"/>
          </rPr>
          <t xml:space="preserve">Single Till:
</t>
        </r>
        <r>
          <rPr>
            <sz val="9"/>
            <color indexed="81"/>
            <rFont val="Tahoma"/>
            <family val="2"/>
          </rPr>
          <t xml:space="preserve">Under the single till principle airport activities (aeronautical and commercial) are taken into consideration to determine the level of airport charges.
</t>
        </r>
        <r>
          <rPr>
            <b/>
            <sz val="9"/>
            <color indexed="81"/>
            <rFont val="Tahoma"/>
            <family val="2"/>
          </rPr>
          <t xml:space="preserve">Hybrid Till:
</t>
        </r>
        <r>
          <rPr>
            <sz val="9"/>
            <color indexed="81"/>
            <rFont val="Tahoma"/>
            <family val="2"/>
          </rPr>
          <t xml:space="preserve">Hybrid till is a mix of single till and dual till regulation. Hybrid till starts as a dual till approach where the aeronautical and non- aeronautical activities are first ring fenced and then some percentage of non-aeronautical revenues are used to cross subsidize and determine the aeronautical charges. Also, under hybrid till approach the airport owner/operator may choose to recover landing costs on the basis of the single-till approach while establishing terminal costs on the basis of the dual-till approach.
</t>
        </r>
        <r>
          <rPr>
            <b/>
            <sz val="9"/>
            <color indexed="81"/>
            <rFont val="Tahoma"/>
            <family val="2"/>
          </rPr>
          <t xml:space="preserve">Dual Till:
</t>
        </r>
        <r>
          <rPr>
            <sz val="9"/>
            <color indexed="81"/>
            <rFont val="Tahoma"/>
            <family val="2"/>
          </rPr>
          <t>Under the duall-till approach, the full cost associated with the airport and its essential ancillary services are allocated between the airport owner/operator and the airport users. The costs allocated to air traffic include only those costs associated with the facilities that are actually used by the aircraft operators and end the end-users. No adjustment is made to this cost basis to reflect non-aeronautical revenues accruing to the airport.</t>
        </r>
      </text>
    </comment>
  </commentList>
</comments>
</file>

<file path=xl/sharedStrings.xml><?xml version="1.0" encoding="utf-8"?>
<sst xmlns="http://schemas.openxmlformats.org/spreadsheetml/2006/main" count="5858" uniqueCount="1917">
  <si>
    <t>of which:</t>
  </si>
  <si>
    <t>Communications, utilities, energy &amp; waste</t>
  </si>
  <si>
    <t>Insurance, claims, settlements</t>
  </si>
  <si>
    <t>Lease, rent, concession fee payments</t>
  </si>
  <si>
    <t>Ground handling services (excluding fuel charges)</t>
  </si>
  <si>
    <t>Utility recharges (e.g. water, electricity, etc.)</t>
  </si>
  <si>
    <t>5.1.2.1</t>
  </si>
  <si>
    <t>5.1.2.2</t>
  </si>
  <si>
    <t>5.1.2.3</t>
  </si>
  <si>
    <t>Advertising</t>
  </si>
  <si>
    <t>Non-Operating Income</t>
  </si>
  <si>
    <t>Construction expenses</t>
  </si>
  <si>
    <t>Security</t>
  </si>
  <si>
    <t>Passenger terminals</t>
  </si>
  <si>
    <t>Cargo terminals</t>
  </si>
  <si>
    <t>Self service kiosks operated by airport</t>
  </si>
  <si>
    <t>Remote stands (B737-800 or equivalent)</t>
  </si>
  <si>
    <t>Individual car parking spaces</t>
  </si>
  <si>
    <t>Duty-Free shops</t>
  </si>
  <si>
    <t>3.1.1</t>
  </si>
  <si>
    <t>3.1.2</t>
  </si>
  <si>
    <t>3.1.3</t>
  </si>
  <si>
    <t>3.1.4</t>
  </si>
  <si>
    <t>3.2.1</t>
  </si>
  <si>
    <t>3.2.2</t>
  </si>
  <si>
    <t>3.2.3</t>
  </si>
  <si>
    <t>3.2.4</t>
  </si>
  <si>
    <t>Total Airport Site Area</t>
  </si>
  <si>
    <t xml:space="preserve">  of which:</t>
  </si>
  <si>
    <t>Airside Area</t>
  </si>
  <si>
    <t>Landside area</t>
  </si>
  <si>
    <t>Retail Activity Area</t>
  </si>
  <si>
    <t>Duty Free Area</t>
  </si>
  <si>
    <t>Square Feet</t>
  </si>
  <si>
    <t>Acres</t>
  </si>
  <si>
    <t>Hectares</t>
  </si>
  <si>
    <t>Square Miles</t>
  </si>
  <si>
    <t>5.1.1</t>
  </si>
  <si>
    <t>5.1.2</t>
  </si>
  <si>
    <t>5.1.3</t>
  </si>
  <si>
    <t xml:space="preserve">   of which:</t>
  </si>
  <si>
    <t>6.1.1</t>
  </si>
  <si>
    <t>6.1.2</t>
  </si>
  <si>
    <t>6.1.3</t>
  </si>
  <si>
    <t>Other capital costs (please specify below)</t>
  </si>
  <si>
    <t>Airport Capital Expenditure (CAPEX)</t>
  </si>
  <si>
    <t>Purchase of property, plant &amp; equipment</t>
  </si>
  <si>
    <t>Purchase of other goods &amp; services</t>
  </si>
  <si>
    <t>Other capital expenditure items (please specify below)</t>
  </si>
  <si>
    <t>Depreciation or/and amortization of property, plant &amp; equipment</t>
  </si>
  <si>
    <t>Single Till</t>
  </si>
  <si>
    <t>Dual Till</t>
  </si>
  <si>
    <t>Hybrid Till</t>
  </si>
  <si>
    <t>Public ownership (100%)</t>
  </si>
  <si>
    <t>Public-Private Parnership (PPP)</t>
  </si>
  <si>
    <t>Private ownership (100%)</t>
  </si>
  <si>
    <t>Institutional requirements</t>
  </si>
  <si>
    <t xml:space="preserve">Fallback regulation </t>
  </si>
  <si>
    <t>Rate of return</t>
  </si>
  <si>
    <t>Government regulation</t>
  </si>
  <si>
    <t>Light-handed regulation</t>
  </si>
  <si>
    <t>No specific regulation</t>
  </si>
  <si>
    <t xml:space="preserve">Price cap </t>
  </si>
  <si>
    <t>Revenue cap</t>
  </si>
  <si>
    <t>Headcount</t>
  </si>
  <si>
    <t>Cost recovery</t>
  </si>
  <si>
    <t>Airport Name (Please complete one separate form for EACH airport being reported)</t>
  </si>
  <si>
    <t>one airport, please list each airport separated by "/" (e.g. XXX/YYY/ZZZ)</t>
  </si>
  <si>
    <t>Contact person</t>
  </si>
  <si>
    <t>Title</t>
  </si>
  <si>
    <t>Tel. Number</t>
  </si>
  <si>
    <t>Email Address</t>
  </si>
  <si>
    <t>Part 1 - Contact Information</t>
  </si>
  <si>
    <t>Part 2 - General Information</t>
  </si>
  <si>
    <t>Passengers:</t>
  </si>
  <si>
    <t>Cargo (metric tons):</t>
  </si>
  <si>
    <t>WLU:</t>
  </si>
  <si>
    <t>Calendar year 2012</t>
  </si>
  <si>
    <t>Q2 2011 - Q1 2012</t>
  </si>
  <si>
    <t>Q3 2011 - Q2 2012</t>
  </si>
  <si>
    <t>Q4 2011 - Q3 2012</t>
  </si>
  <si>
    <t>Financial Year (please select):</t>
  </si>
  <si>
    <t>Reporting Currency (please select):</t>
  </si>
  <si>
    <t xml:space="preserve">Suggested exchange rate:            1 USD = </t>
  </si>
  <si>
    <t>Country</t>
  </si>
  <si>
    <t>Currency Code</t>
  </si>
  <si>
    <t>Currency</t>
  </si>
  <si>
    <t>Afghanistan</t>
  </si>
  <si>
    <t>Afghanistan Afghani</t>
  </si>
  <si>
    <t>AFN</t>
  </si>
  <si>
    <t>Albania</t>
  </si>
  <si>
    <t>Albania Lek(e)</t>
  </si>
  <si>
    <t>ALL</t>
  </si>
  <si>
    <t>Algeria</t>
  </si>
  <si>
    <t>Algerian Dinar</t>
  </si>
  <si>
    <t>DZD</t>
  </si>
  <si>
    <t>American Samoa</t>
  </si>
  <si>
    <t>US Dollar</t>
  </si>
  <si>
    <t>USD</t>
  </si>
  <si>
    <t>Andorra</t>
  </si>
  <si>
    <t>Euro</t>
  </si>
  <si>
    <t>EUR</t>
  </si>
  <si>
    <t>Angola</t>
  </si>
  <si>
    <t>Angolan Kwanza</t>
  </si>
  <si>
    <t>AOA</t>
  </si>
  <si>
    <t>Anguilla</t>
  </si>
  <si>
    <t>E.C. Dollar</t>
  </si>
  <si>
    <t>XCD</t>
  </si>
  <si>
    <t>Antigua and Barbuda</t>
  </si>
  <si>
    <t>Argentina</t>
  </si>
  <si>
    <t>Argentine Peso</t>
  </si>
  <si>
    <t>ARS</t>
  </si>
  <si>
    <t>Armenia</t>
  </si>
  <si>
    <t>Armenian Dram</t>
  </si>
  <si>
    <t>AMD</t>
  </si>
  <si>
    <t>Aruba</t>
  </si>
  <si>
    <t>Aruban Guilder</t>
  </si>
  <si>
    <t>AWG</t>
  </si>
  <si>
    <t>Australia</t>
  </si>
  <si>
    <t>Australian Dollar</t>
  </si>
  <si>
    <t>AUD</t>
  </si>
  <si>
    <t>Austria</t>
  </si>
  <si>
    <t>Azerbaijan</t>
  </si>
  <si>
    <t>Azerbaijan Manat</t>
  </si>
  <si>
    <t>AZN</t>
  </si>
  <si>
    <t>Bahamas</t>
  </si>
  <si>
    <t>Bahamian Dollar</t>
  </si>
  <si>
    <t>BSD</t>
  </si>
  <si>
    <t>Bahrain</t>
  </si>
  <si>
    <t>Bahraini Dinar</t>
  </si>
  <si>
    <t>BHD</t>
  </si>
  <si>
    <t>Bangladesh</t>
  </si>
  <si>
    <t>Bangladesh Taka</t>
  </si>
  <si>
    <t>BDT</t>
  </si>
  <si>
    <t>Barbados</t>
  </si>
  <si>
    <t>Barbados Dollar</t>
  </si>
  <si>
    <t>BBD</t>
  </si>
  <si>
    <t>Belarus</t>
  </si>
  <si>
    <t>Belarussian Ruble</t>
  </si>
  <si>
    <t>BYR</t>
  </si>
  <si>
    <t>Belgium</t>
  </si>
  <si>
    <t>Belize</t>
  </si>
  <si>
    <t>Belize Dollar</t>
  </si>
  <si>
    <t>BZD</t>
  </si>
  <si>
    <t>Benin</t>
  </si>
  <si>
    <t>CFA Franc</t>
  </si>
  <si>
    <t>XOF</t>
  </si>
  <si>
    <t>Bermuda</t>
  </si>
  <si>
    <t>Bermuda Dollar</t>
  </si>
  <si>
    <t>BMD</t>
  </si>
  <si>
    <t>Bhutan</t>
  </si>
  <si>
    <t>Bhutan Ngultrum</t>
  </si>
  <si>
    <t>BTN</t>
  </si>
  <si>
    <t>Bolivia</t>
  </si>
  <si>
    <t>Bolivia Boliviano</t>
  </si>
  <si>
    <t>BOB</t>
  </si>
  <si>
    <t>Bosnia and Herzegovina</t>
  </si>
  <si>
    <t>Bosnia and Herzegovina Convertible Mark</t>
  </si>
  <si>
    <t>BAM</t>
  </si>
  <si>
    <t>Botswana</t>
  </si>
  <si>
    <t>Botswana Pula</t>
  </si>
  <si>
    <t>BWP</t>
  </si>
  <si>
    <t>Brazil</t>
  </si>
  <si>
    <t>Brazilian Real</t>
  </si>
  <si>
    <t>BRL</t>
  </si>
  <si>
    <t>Brunei</t>
  </si>
  <si>
    <t>Brunei Dollar</t>
  </si>
  <si>
    <t>BND</t>
  </si>
  <si>
    <t>Bulgaria</t>
  </si>
  <si>
    <t>Bulgarian Lev</t>
  </si>
  <si>
    <t>BGN</t>
  </si>
  <si>
    <t>Burkina Faso</t>
  </si>
  <si>
    <t>Burundi</t>
  </si>
  <si>
    <t>Burundi Franc</t>
  </si>
  <si>
    <t>BIF</t>
  </si>
  <si>
    <t>Cambodia</t>
  </si>
  <si>
    <t>Cambodian Riel</t>
  </si>
  <si>
    <t>KHR</t>
  </si>
  <si>
    <t>Cameroon</t>
  </si>
  <si>
    <t>XAF</t>
  </si>
  <si>
    <t>Canada</t>
  </si>
  <si>
    <t>Canadian Dollar</t>
  </si>
  <si>
    <t>CAD</t>
  </si>
  <si>
    <t>Canary Islands</t>
  </si>
  <si>
    <t>Cape Verde</t>
  </si>
  <si>
    <t>Cape Verde Escudo</t>
  </si>
  <si>
    <t>CVE</t>
  </si>
  <si>
    <t>Cayman Islands</t>
  </si>
  <si>
    <t>Cayman Is. Dollar</t>
  </si>
  <si>
    <t>KYD</t>
  </si>
  <si>
    <t>Central African Republic</t>
  </si>
  <si>
    <t>Chad</t>
  </si>
  <si>
    <t>Chile</t>
  </si>
  <si>
    <t>Chilean Peso</t>
  </si>
  <si>
    <t>CLP</t>
  </si>
  <si>
    <t>China</t>
  </si>
  <si>
    <t>Chinese Renminbi</t>
  </si>
  <si>
    <t>CNY</t>
  </si>
  <si>
    <t>Colombia</t>
  </si>
  <si>
    <t>Colombian Peso</t>
  </si>
  <si>
    <t>COP</t>
  </si>
  <si>
    <t>Comoros</t>
  </si>
  <si>
    <t>Comoros Franc</t>
  </si>
  <si>
    <t>KMF</t>
  </si>
  <si>
    <t>Congo</t>
  </si>
  <si>
    <t>Congo, Dem. Rep.</t>
  </si>
  <si>
    <t>Congo Franc, Dem. Rep.of</t>
  </si>
  <si>
    <t>CDF</t>
  </si>
  <si>
    <t>Cook Islands</t>
  </si>
  <si>
    <t>New Zealand Dollar</t>
  </si>
  <si>
    <t>NZD</t>
  </si>
  <si>
    <t>Costa Rica</t>
  </si>
  <si>
    <t>Costa Rica Colon</t>
  </si>
  <si>
    <t>CRC</t>
  </si>
  <si>
    <t>Cote d'Ivoire</t>
  </si>
  <si>
    <t>Croatia</t>
  </si>
  <si>
    <t>Croatia Kuna</t>
  </si>
  <si>
    <t>HRK</t>
  </si>
  <si>
    <t>Cuba</t>
  </si>
  <si>
    <t>Cuban Peso</t>
  </si>
  <si>
    <t>CUP</t>
  </si>
  <si>
    <t>Cyprus</t>
  </si>
  <si>
    <t>Czech Republic</t>
  </si>
  <si>
    <t>Czech Koruna</t>
  </si>
  <si>
    <t>CZK</t>
  </si>
  <si>
    <t>D.P.R of Korea</t>
  </si>
  <si>
    <t>Korean Won, North Korea</t>
  </si>
  <si>
    <t>KPW</t>
  </si>
  <si>
    <t>Denmark</t>
  </si>
  <si>
    <t>Danish Krone</t>
  </si>
  <si>
    <t>DKK</t>
  </si>
  <si>
    <t>Djibouti</t>
  </si>
  <si>
    <t>Djibouti Francs</t>
  </si>
  <si>
    <t>DJF</t>
  </si>
  <si>
    <t>Dominica</t>
  </si>
  <si>
    <t>Dominican Republic</t>
  </si>
  <si>
    <t>Dominican Peso</t>
  </si>
  <si>
    <t>DOP</t>
  </si>
  <si>
    <t>East Timor</t>
  </si>
  <si>
    <t>Ecuador</t>
  </si>
  <si>
    <t>Egypt</t>
  </si>
  <si>
    <t>Egyptian Pound</t>
  </si>
  <si>
    <t>EGP</t>
  </si>
  <si>
    <t>El Salvador</t>
  </si>
  <si>
    <t>El Salvador Colon</t>
  </si>
  <si>
    <t>SVC</t>
  </si>
  <si>
    <t>Equatorial Guinea</t>
  </si>
  <si>
    <t>Eritrea</t>
  </si>
  <si>
    <t>Eritrea Nakfa</t>
  </si>
  <si>
    <t>ERN</t>
  </si>
  <si>
    <t>Estonia</t>
  </si>
  <si>
    <t>Ethiopia</t>
  </si>
  <si>
    <t>Ethiopian Birr</t>
  </si>
  <si>
    <t>ETB</t>
  </si>
  <si>
    <t>Fiji</t>
  </si>
  <si>
    <t>Fiji Dollar</t>
  </si>
  <si>
    <t>FJD</t>
  </si>
  <si>
    <t>Finland</t>
  </si>
  <si>
    <t>France</t>
  </si>
  <si>
    <t>French Guiana</t>
  </si>
  <si>
    <t>French Polynesia</t>
  </si>
  <si>
    <t>CFP Franc</t>
  </si>
  <si>
    <t>XPF</t>
  </si>
  <si>
    <t>Gabon</t>
  </si>
  <si>
    <t>Gambia</t>
  </si>
  <si>
    <t>Gambian Dalasi</t>
  </si>
  <si>
    <t>GMD</t>
  </si>
  <si>
    <t>Georgia</t>
  </si>
  <si>
    <t>Georgian Lari</t>
  </si>
  <si>
    <t>GEL</t>
  </si>
  <si>
    <t>Germany</t>
  </si>
  <si>
    <t>Ghana</t>
  </si>
  <si>
    <t>Ghana Cedi</t>
  </si>
  <si>
    <t>GHS</t>
  </si>
  <si>
    <t>Greece</t>
  </si>
  <si>
    <t>Greenland</t>
  </si>
  <si>
    <t>Grenada</t>
  </si>
  <si>
    <t>Guadeloupe</t>
  </si>
  <si>
    <t>Guam</t>
  </si>
  <si>
    <t>Guatemala</t>
  </si>
  <si>
    <t>Guatemala Quetzal(es)</t>
  </si>
  <si>
    <t>GTQ</t>
  </si>
  <si>
    <t>Guinea</t>
  </si>
  <si>
    <t>Guinean Franc</t>
  </si>
  <si>
    <t>GNF</t>
  </si>
  <si>
    <t>Guinea-Bissau</t>
  </si>
  <si>
    <t>Guyana</t>
  </si>
  <si>
    <t>Guyana Dollar</t>
  </si>
  <si>
    <t>GYD</t>
  </si>
  <si>
    <t>Haiti</t>
  </si>
  <si>
    <t>Haiti Gourde</t>
  </si>
  <si>
    <t>HTG</t>
  </si>
  <si>
    <t>Honduras</t>
  </si>
  <si>
    <t>Honduras Lempira</t>
  </si>
  <si>
    <t>HNL</t>
  </si>
  <si>
    <t>Hong Kong</t>
  </si>
  <si>
    <t>HongKong Dollar</t>
  </si>
  <si>
    <t>HKD</t>
  </si>
  <si>
    <t>Hungary</t>
  </si>
  <si>
    <t>Hungary Forint</t>
  </si>
  <si>
    <t>HUF</t>
  </si>
  <si>
    <t>Iceland</t>
  </si>
  <si>
    <t>Iceland Krona</t>
  </si>
  <si>
    <t>ISK</t>
  </si>
  <si>
    <t>India</t>
  </si>
  <si>
    <t>Indian Rupee</t>
  </si>
  <si>
    <t>INR</t>
  </si>
  <si>
    <t>Indonesia</t>
  </si>
  <si>
    <t>Indonesia Rupiah</t>
  </si>
  <si>
    <t>IDR</t>
  </si>
  <si>
    <t>Iran</t>
  </si>
  <si>
    <t>Iranian Rial</t>
  </si>
  <si>
    <t>IRR</t>
  </si>
  <si>
    <t>Iraq</t>
  </si>
  <si>
    <t>Iraqi Dinar</t>
  </si>
  <si>
    <t>IQD</t>
  </si>
  <si>
    <t>Ireland</t>
  </si>
  <si>
    <t>Israel</t>
  </si>
  <si>
    <t>Israel Shekel</t>
  </si>
  <si>
    <t>ILS</t>
  </si>
  <si>
    <t>Italy</t>
  </si>
  <si>
    <t>Jamaica</t>
  </si>
  <si>
    <t>Jamaican Dollar</t>
  </si>
  <si>
    <t>JMD</t>
  </si>
  <si>
    <t>Japan</t>
  </si>
  <si>
    <t>Japanese Yen</t>
  </si>
  <si>
    <t>JPY</t>
  </si>
  <si>
    <t>Jordan</t>
  </si>
  <si>
    <t>Jordanian Dinar</t>
  </si>
  <si>
    <t>JOD</t>
  </si>
  <si>
    <t>Kazakhstan</t>
  </si>
  <si>
    <t>Kazakhstan Tenge</t>
  </si>
  <si>
    <t>KZT</t>
  </si>
  <si>
    <t>Kenya</t>
  </si>
  <si>
    <t>Kenyan Shilling</t>
  </si>
  <si>
    <t>KES</t>
  </si>
  <si>
    <t>Kiribati</t>
  </si>
  <si>
    <t>Kuwait</t>
  </si>
  <si>
    <t>Kuwaiti Dinar</t>
  </si>
  <si>
    <t>KWD</t>
  </si>
  <si>
    <t>Kyrgyzstan</t>
  </si>
  <si>
    <t>Kyrgyzstan Som</t>
  </si>
  <si>
    <t>KGS</t>
  </si>
  <si>
    <t>Lao, People's Dem. Rep.</t>
  </si>
  <si>
    <t>Laos Kip</t>
  </si>
  <si>
    <t>LAK</t>
  </si>
  <si>
    <t>Latvia</t>
  </si>
  <si>
    <t>Latvian Lats</t>
  </si>
  <si>
    <t>LVL</t>
  </si>
  <si>
    <t>Lebanon</t>
  </si>
  <si>
    <t>Lebanese Pound</t>
  </si>
  <si>
    <t>LBP</t>
  </si>
  <si>
    <t>Lesotho</t>
  </si>
  <si>
    <t>Lesotho Loti</t>
  </si>
  <si>
    <t>LSL</t>
  </si>
  <si>
    <t>Liberia</t>
  </si>
  <si>
    <t>Liberian Dollar</t>
  </si>
  <si>
    <t>LRD</t>
  </si>
  <si>
    <t>Libyan Arab Jamahiriya</t>
  </si>
  <si>
    <t>Libyan Dinar</t>
  </si>
  <si>
    <t>LYD</t>
  </si>
  <si>
    <t>Liechtenstein</t>
  </si>
  <si>
    <t>Swiss Franc</t>
  </si>
  <si>
    <t>CHF</t>
  </si>
  <si>
    <t>Lithuania</t>
  </si>
  <si>
    <t>Lithuania Litas</t>
  </si>
  <si>
    <t>LTL</t>
  </si>
  <si>
    <t>Luxembourg</t>
  </si>
  <si>
    <t>Macao</t>
  </si>
  <si>
    <t>Macao Pataca</t>
  </si>
  <si>
    <t>MOP</t>
  </si>
  <si>
    <t>Madagascar</t>
  </si>
  <si>
    <t>Malagasy Ariary, Madagascar</t>
  </si>
  <si>
    <t>MGA</t>
  </si>
  <si>
    <t>Malawi</t>
  </si>
  <si>
    <t>Malawi Kwacha</t>
  </si>
  <si>
    <t>MWK</t>
  </si>
  <si>
    <t>Malaysia</t>
  </si>
  <si>
    <t>Malaysia Ringgit</t>
  </si>
  <si>
    <t>MYR</t>
  </si>
  <si>
    <t>Maldives</t>
  </si>
  <si>
    <t>Maldives Rufiyaa</t>
  </si>
  <si>
    <t>MVR</t>
  </si>
  <si>
    <t>Mali</t>
  </si>
  <si>
    <t>Malta</t>
  </si>
  <si>
    <t>Marshall Islands</t>
  </si>
  <si>
    <t>Martinique</t>
  </si>
  <si>
    <t>Mauritania</t>
  </si>
  <si>
    <t>Mauritania Ouguiya</t>
  </si>
  <si>
    <t>MRO</t>
  </si>
  <si>
    <t>Mauritius</t>
  </si>
  <si>
    <t>Mauritius Rupee</t>
  </si>
  <si>
    <t>MUR</t>
  </si>
  <si>
    <t>Mexico</t>
  </si>
  <si>
    <t>Mexican Peso</t>
  </si>
  <si>
    <t>MXN</t>
  </si>
  <si>
    <t>Micronesia</t>
  </si>
  <si>
    <t>Monaco</t>
  </si>
  <si>
    <t>Mongolia</t>
  </si>
  <si>
    <t>Mongolia Tugrik</t>
  </si>
  <si>
    <t>MNT</t>
  </si>
  <si>
    <t>Montenegro</t>
  </si>
  <si>
    <t>Montserrat</t>
  </si>
  <si>
    <t>Morocco</t>
  </si>
  <si>
    <t>Morocco Dirham</t>
  </si>
  <si>
    <t>MAD</t>
  </si>
  <si>
    <t>Mozambique</t>
  </si>
  <si>
    <t>Mozambique Metical</t>
  </si>
  <si>
    <t>MZN</t>
  </si>
  <si>
    <t>Myanmar</t>
  </si>
  <si>
    <t>Myanmar Kyat</t>
  </si>
  <si>
    <t>MMK</t>
  </si>
  <si>
    <t>Namibia</t>
  </si>
  <si>
    <t>Namibia Dollar</t>
  </si>
  <si>
    <t>NAD</t>
  </si>
  <si>
    <t>Nauru</t>
  </si>
  <si>
    <t>Nepal</t>
  </si>
  <si>
    <t>Nepalese Rupee</t>
  </si>
  <si>
    <t>NPR</t>
  </si>
  <si>
    <t>Netherlands</t>
  </si>
  <si>
    <t>Netherlands Antilles</t>
  </si>
  <si>
    <t>Netherlands Antilles Guilder</t>
  </si>
  <si>
    <t>ANG</t>
  </si>
  <si>
    <t>New Caledonia</t>
  </si>
  <si>
    <t>New Zealand</t>
  </si>
  <si>
    <t>Nicaragua</t>
  </si>
  <si>
    <t>Nicaragua Cordoba Oro</t>
  </si>
  <si>
    <t>NIO</t>
  </si>
  <si>
    <t>Niger</t>
  </si>
  <si>
    <t>Nigeria</t>
  </si>
  <si>
    <t>Nigeria Naira</t>
  </si>
  <si>
    <t>NGN</t>
  </si>
  <si>
    <t>Niue</t>
  </si>
  <si>
    <t>Northern Mariana Islands</t>
  </si>
  <si>
    <t>Norway</t>
  </si>
  <si>
    <t>Norwegian Krone</t>
  </si>
  <si>
    <t>NOK</t>
  </si>
  <si>
    <t>Oman</t>
  </si>
  <si>
    <t>Oman Rial</t>
  </si>
  <si>
    <t>OMR</t>
  </si>
  <si>
    <t>Pakistan</t>
  </si>
  <si>
    <t>Pakistani Rupee</t>
  </si>
  <si>
    <t>PKR</t>
  </si>
  <si>
    <t>Palau, Republic of</t>
  </si>
  <si>
    <t>Panama</t>
  </si>
  <si>
    <t>Panama Balboa</t>
  </si>
  <si>
    <t>PAB</t>
  </si>
  <si>
    <t>Papua New Guinea</t>
  </si>
  <si>
    <t>Papua New Guinea Kina</t>
  </si>
  <si>
    <t>PGK</t>
  </si>
  <si>
    <t>Paraguay</t>
  </si>
  <si>
    <t>Paraguay Guarani</t>
  </si>
  <si>
    <t>PYG</t>
  </si>
  <si>
    <t>Peru</t>
  </si>
  <si>
    <t>Peru Nuevo Sol</t>
  </si>
  <si>
    <t>PEN</t>
  </si>
  <si>
    <t>Philippines</t>
  </si>
  <si>
    <t>Philippine Peso</t>
  </si>
  <si>
    <t>PHP</t>
  </si>
  <si>
    <t>Poland</t>
  </si>
  <si>
    <t>Poland Zloty</t>
  </si>
  <si>
    <t>PLN</t>
  </si>
  <si>
    <t>Portugal</t>
  </si>
  <si>
    <t>Puerto Rico</t>
  </si>
  <si>
    <t>Qatar</t>
  </si>
  <si>
    <t>Qatari Rial</t>
  </si>
  <si>
    <t>QAR</t>
  </si>
  <si>
    <t>Republic of Korea</t>
  </si>
  <si>
    <t>Korean Won, South Korea</t>
  </si>
  <si>
    <t>KRW</t>
  </si>
  <si>
    <t>Republic of Moldova</t>
  </si>
  <si>
    <t>Moldovan Leu</t>
  </si>
  <si>
    <t>MDL</t>
  </si>
  <si>
    <t>Republic of Yemen</t>
  </si>
  <si>
    <t>Yemeni Rial</t>
  </si>
  <si>
    <t>YER</t>
  </si>
  <si>
    <t>Reunion</t>
  </si>
  <si>
    <t>Romania</t>
  </si>
  <si>
    <t>Romanian Leu</t>
  </si>
  <si>
    <t>RON</t>
  </si>
  <si>
    <t>Russian Federation</t>
  </si>
  <si>
    <t>Russian Rouble</t>
  </si>
  <si>
    <t>RUB</t>
  </si>
  <si>
    <t>Rwanda</t>
  </si>
  <si>
    <t>Rwanda Franc</t>
  </si>
  <si>
    <t>RWF</t>
  </si>
  <si>
    <t>Saint Helena</t>
  </si>
  <si>
    <t>St.Helena Pound</t>
  </si>
  <si>
    <t>SHP</t>
  </si>
  <si>
    <t>Saint Kitts and Nevis</t>
  </si>
  <si>
    <t>Saint Lucia</t>
  </si>
  <si>
    <t>Samoa</t>
  </si>
  <si>
    <t>Samoa Tala</t>
  </si>
  <si>
    <t>WST</t>
  </si>
  <si>
    <t>San Marino</t>
  </si>
  <si>
    <t>Sao Tome &amp; Principe</t>
  </si>
  <si>
    <t>Sao Tome Principe Dobra</t>
  </si>
  <si>
    <t>STD</t>
  </si>
  <si>
    <t>Saudi Arabia</t>
  </si>
  <si>
    <t>Saudi Riyal</t>
  </si>
  <si>
    <t>SAR</t>
  </si>
  <si>
    <t>Senegal</t>
  </si>
  <si>
    <t>Serbia</t>
  </si>
  <si>
    <t>Serbian Dinar</t>
  </si>
  <si>
    <t>RSD</t>
  </si>
  <si>
    <t>Seychelles</t>
  </si>
  <si>
    <t>Seychelles Rupee</t>
  </si>
  <si>
    <t>SCR</t>
  </si>
  <si>
    <t>Sierra Leone</t>
  </si>
  <si>
    <t>Sierra Leone Leone</t>
  </si>
  <si>
    <t>SLL</t>
  </si>
  <si>
    <t>Singapore</t>
  </si>
  <si>
    <t>Singapore Dollar</t>
  </si>
  <si>
    <t>SGD</t>
  </si>
  <si>
    <t>Slovakia</t>
  </si>
  <si>
    <t>Slovenia</t>
  </si>
  <si>
    <t>Solomon Islands</t>
  </si>
  <si>
    <t>Solomon Is. Dollar</t>
  </si>
  <si>
    <t>SBD</t>
  </si>
  <si>
    <t>Somalia</t>
  </si>
  <si>
    <t>Somali Shilling</t>
  </si>
  <si>
    <t>SOS</t>
  </si>
  <si>
    <t>South Africa</t>
  </si>
  <si>
    <t>South Africa Rand</t>
  </si>
  <si>
    <t>ZAR</t>
  </si>
  <si>
    <t>South Sudan</t>
  </si>
  <si>
    <t>South Sudanese Pound</t>
  </si>
  <si>
    <t>SSP</t>
  </si>
  <si>
    <t>Spain</t>
  </si>
  <si>
    <t>Sri Lanka</t>
  </si>
  <si>
    <t>Sri Lanka Rupee</t>
  </si>
  <si>
    <t>LKR</t>
  </si>
  <si>
    <t>St. Vincent and the Grena</t>
  </si>
  <si>
    <t>Sudan</t>
  </si>
  <si>
    <t>Sudanese Pound</t>
  </si>
  <si>
    <t>SDG</t>
  </si>
  <si>
    <t>Suriname</t>
  </si>
  <si>
    <t>Surinamese Dollar</t>
  </si>
  <si>
    <t>SRD</t>
  </si>
  <si>
    <t>Swaziland</t>
  </si>
  <si>
    <t>Swaziland Lilangeni</t>
  </si>
  <si>
    <t>SZL</t>
  </si>
  <si>
    <t>Sweden</t>
  </si>
  <si>
    <t>Swedish Krona</t>
  </si>
  <si>
    <t>SEK</t>
  </si>
  <si>
    <t>Switzerland</t>
  </si>
  <si>
    <t>Syrian Arab Republic</t>
  </si>
  <si>
    <t>Syrian Pound</t>
  </si>
  <si>
    <t>SYP</t>
  </si>
  <si>
    <t>Tajikistan</t>
  </si>
  <si>
    <t>Tajikistan Somoni</t>
  </si>
  <si>
    <t>TJS</t>
  </si>
  <si>
    <t>Tanzania, United Rep. of</t>
  </si>
  <si>
    <t>Tanzania Shilling</t>
  </si>
  <si>
    <t>TZS</t>
  </si>
  <si>
    <t>TFYR of Macedonia</t>
  </si>
  <si>
    <t>Macedonia Denar, the former Rep. of</t>
  </si>
  <si>
    <t>MKD</t>
  </si>
  <si>
    <t>Thailand</t>
  </si>
  <si>
    <t>Thai Baht</t>
  </si>
  <si>
    <t>THB</t>
  </si>
  <si>
    <t>Togo</t>
  </si>
  <si>
    <t>Tokelau Islands</t>
  </si>
  <si>
    <t>Tonga</t>
  </si>
  <si>
    <t>Tonga Pa'anga</t>
  </si>
  <si>
    <t>TOP</t>
  </si>
  <si>
    <t>Trinidad and Tobago</t>
  </si>
  <si>
    <t>Trinidad and Tobago Dollar</t>
  </si>
  <si>
    <t>TTD</t>
  </si>
  <si>
    <t>Tunisia</t>
  </si>
  <si>
    <t>Tunisian Dinar</t>
  </si>
  <si>
    <t>TND</t>
  </si>
  <si>
    <t>Turkey</t>
  </si>
  <si>
    <t>Turkish Lira</t>
  </si>
  <si>
    <t>TRY</t>
  </si>
  <si>
    <t>Turkmenistan</t>
  </si>
  <si>
    <t>Turkmenistan Manat</t>
  </si>
  <si>
    <t>TMT</t>
  </si>
  <si>
    <t>Turks and Caicos Island</t>
  </si>
  <si>
    <t>Tuvalu</t>
  </si>
  <si>
    <t>Uganda</t>
  </si>
  <si>
    <t>Uganda Shilling</t>
  </si>
  <si>
    <t>UGX</t>
  </si>
  <si>
    <t>Ukraine</t>
  </si>
  <si>
    <t>Ukraine Hryvnia</t>
  </si>
  <si>
    <t>UAH</t>
  </si>
  <si>
    <t>United Arab Emirates</t>
  </si>
  <si>
    <t>United Arab Emirates Dirham</t>
  </si>
  <si>
    <t>AED</t>
  </si>
  <si>
    <t>United Kingdom</t>
  </si>
  <si>
    <t>U.K. Pound</t>
  </si>
  <si>
    <t>GBP</t>
  </si>
  <si>
    <t>United States of America</t>
  </si>
  <si>
    <t>Uruguay</t>
  </si>
  <si>
    <t>Uruguay Peso</t>
  </si>
  <si>
    <t>UYU</t>
  </si>
  <si>
    <t>Uzbekistan</t>
  </si>
  <si>
    <t>Uzbekistan Sum</t>
  </si>
  <si>
    <t>UZS</t>
  </si>
  <si>
    <t>Vanuatu</t>
  </si>
  <si>
    <t>Vanuatu Vatu</t>
  </si>
  <si>
    <t>VUV</t>
  </si>
  <si>
    <t>Venezuela</t>
  </si>
  <si>
    <t>Venezuela Bolivar Fuerte</t>
  </si>
  <si>
    <t>VEF</t>
  </si>
  <si>
    <t>Viet Nam</t>
  </si>
  <si>
    <t>Viet Nam Dong</t>
  </si>
  <si>
    <t>VND</t>
  </si>
  <si>
    <t>Virgin Islands (UK)</t>
  </si>
  <si>
    <t>Virgin Islands (USA)</t>
  </si>
  <si>
    <t>Wallis &amp; Futuna Islands</t>
  </si>
  <si>
    <t>Zambia</t>
  </si>
  <si>
    <t>Zambia Kwacha (new)</t>
  </si>
  <si>
    <t>ZMW</t>
  </si>
  <si>
    <t>Afghanistan Afghani (AFN)</t>
  </si>
  <si>
    <t>Albania Lek(e) (ALL)</t>
  </si>
  <si>
    <t>Algerian Dinar (DZD)</t>
  </si>
  <si>
    <t>US Dollar (USD)</t>
  </si>
  <si>
    <t>Euro (EUR)</t>
  </si>
  <si>
    <t>Angolan Kwanza (AOA)</t>
  </si>
  <si>
    <t>E.C. Dollar (XCD)</t>
  </si>
  <si>
    <t>Argentine Peso (ARS)</t>
  </si>
  <si>
    <t>Armenian Dram (AMD)</t>
  </si>
  <si>
    <t>Aruban Guilder (AWG)</t>
  </si>
  <si>
    <t>Australian Dollar (AUD)</t>
  </si>
  <si>
    <t>Azerbaijan Manat (AZN)</t>
  </si>
  <si>
    <t>Bahamian Dollar (BSD)</t>
  </si>
  <si>
    <t>Bahraini Dinar (BHD)</t>
  </si>
  <si>
    <t>Bangladesh Taka (BDT)</t>
  </si>
  <si>
    <t>Barbados Dollar (BBD)</t>
  </si>
  <si>
    <t>Belarussian Ruble (BYR)</t>
  </si>
  <si>
    <t>Belize Dollar (BZD)</t>
  </si>
  <si>
    <t>CFA Franc (XOF)</t>
  </si>
  <si>
    <t>Bermuda Dollar (BMD)</t>
  </si>
  <si>
    <t>Bhutan Ngultrum (BTN)</t>
  </si>
  <si>
    <t>Bolivia Boliviano (BOB)</t>
  </si>
  <si>
    <t>Bosnia and Herzegovina Convertible Mark (BAM)</t>
  </si>
  <si>
    <t>Botswana Pula (BWP)</t>
  </si>
  <si>
    <t>Brazilian Real (BRL)</t>
  </si>
  <si>
    <t>Brunei Dollar (BND)</t>
  </si>
  <si>
    <t>Bulgarian Lev (BGN)</t>
  </si>
  <si>
    <t>Burundi Franc (BIF)</t>
  </si>
  <si>
    <t>Cambodian Riel (KHR)</t>
  </si>
  <si>
    <t>CFA Franc (XAF)</t>
  </si>
  <si>
    <t>Canadian Dollar (CAD)</t>
  </si>
  <si>
    <t>Cape Verde Escudo (CVE)</t>
  </si>
  <si>
    <t>Cayman Is. Dollar (KYD)</t>
  </si>
  <si>
    <t>Chilean Peso (CLP)</t>
  </si>
  <si>
    <t>Chinese Renminbi (CNY)</t>
  </si>
  <si>
    <t>Colombian Peso (COP)</t>
  </si>
  <si>
    <t>Comoros Franc (KMF)</t>
  </si>
  <si>
    <t>Congo Franc, Dem. Rep.of (CDF)</t>
  </si>
  <si>
    <t>New Zealand Dollar (NZD)</t>
  </si>
  <si>
    <t>Costa Rica Colon (CRC)</t>
  </si>
  <si>
    <t>Croatia Kuna (HRK)</t>
  </si>
  <si>
    <t>Cuban Peso (CUP)</t>
  </si>
  <si>
    <t>Czech Koruna (CZK)</t>
  </si>
  <si>
    <t>Korean Won, North Korea (KPW)</t>
  </si>
  <si>
    <t>Danish Krone (DKK)</t>
  </si>
  <si>
    <t>Djibouti Francs (DJF)</t>
  </si>
  <si>
    <t>Dominican Peso (DOP)</t>
  </si>
  <si>
    <t>Egyptian Pound (EGP)</t>
  </si>
  <si>
    <t>El Salvador Colon (SVC)</t>
  </si>
  <si>
    <t>Eritrea Nakfa (ERN)</t>
  </si>
  <si>
    <t>Ethiopian Birr (ETB)</t>
  </si>
  <si>
    <t>Fiji Dollar (FJD)</t>
  </si>
  <si>
    <t>CFP Franc (XPF)</t>
  </si>
  <si>
    <t>Gambian Dalasi (GMD)</t>
  </si>
  <si>
    <t>Georgian Lari (GEL)</t>
  </si>
  <si>
    <t>Ghana Cedi (GHS)</t>
  </si>
  <si>
    <t>Guatemala Quetzal(es) (GTQ)</t>
  </si>
  <si>
    <t>Guinean Franc (GNF)</t>
  </si>
  <si>
    <t>Guyana Dollar (GYD)</t>
  </si>
  <si>
    <t>Haiti Gourde (HTG)</t>
  </si>
  <si>
    <t>Honduras Lempira (HNL)</t>
  </si>
  <si>
    <t>HongKong Dollar (HKD)</t>
  </si>
  <si>
    <t>Hungary Forint (HUF)</t>
  </si>
  <si>
    <t>Iceland Krona (ISK)</t>
  </si>
  <si>
    <t>Indian Rupee (INR)</t>
  </si>
  <si>
    <t>Indonesia Rupiah (IDR)</t>
  </si>
  <si>
    <t>Iranian Rial (IRR)</t>
  </si>
  <si>
    <t>Iraqi Dinar (IQD)</t>
  </si>
  <si>
    <t>Israel Shekel (ILS)</t>
  </si>
  <si>
    <t>Jamaican Dollar (JMD)</t>
  </si>
  <si>
    <t>Japanese Yen (JPY)</t>
  </si>
  <si>
    <t>Jordanian Dinar (JOD)</t>
  </si>
  <si>
    <t>Kazakhstan Tenge (KZT)</t>
  </si>
  <si>
    <t>Kenyan Shilling (KES)</t>
  </si>
  <si>
    <t>Kuwaiti Dinar (KWD)</t>
  </si>
  <si>
    <t>Kyrgyzstan Som (KGS)</t>
  </si>
  <si>
    <t>Laos Kip (LAK)</t>
  </si>
  <si>
    <t>Latvian Lats (LVL)</t>
  </si>
  <si>
    <t>Lebanese Pound (LBP)</t>
  </si>
  <si>
    <t>Lesotho Loti (LSL)</t>
  </si>
  <si>
    <t>Liberian Dollar (LRD)</t>
  </si>
  <si>
    <t>Libyan Dinar (LYD)</t>
  </si>
  <si>
    <t>Swiss Franc (CHF)</t>
  </si>
  <si>
    <t>Lithuania Litas (LTL)</t>
  </si>
  <si>
    <t>Macao Pataca (MOP)</t>
  </si>
  <si>
    <t>Malagasy Ariary, Madagascar (MGA)</t>
  </si>
  <si>
    <t>Malawi Kwacha (MWK)</t>
  </si>
  <si>
    <t>Malaysia Ringgit (MYR)</t>
  </si>
  <si>
    <t>Maldives Rufiyaa (MVR)</t>
  </si>
  <si>
    <t>Mauritania Ouguiya (MRO)</t>
  </si>
  <si>
    <t>Mauritius Rupee (MUR)</t>
  </si>
  <si>
    <t>Mexican Peso (MXN)</t>
  </si>
  <si>
    <t>Mongolia Tugrik (MNT)</t>
  </si>
  <si>
    <t>Morocco Dirham (MAD)</t>
  </si>
  <si>
    <t>Mozambique Metical (MZN)</t>
  </si>
  <si>
    <t>Myanmar Kyat (MMK)</t>
  </si>
  <si>
    <t>Namibia Dollar (NAD)</t>
  </si>
  <si>
    <t>Nepalese Rupee (NPR)</t>
  </si>
  <si>
    <t>Netherlands Antilles Guilder (ANG)</t>
  </si>
  <si>
    <t>Nicaragua Cordoba Oro (NIO)</t>
  </si>
  <si>
    <t>Nigeria Naira (NGN)</t>
  </si>
  <si>
    <t>Norwegian Krone (NOK)</t>
  </si>
  <si>
    <t>Oman Rial (OMR)</t>
  </si>
  <si>
    <t>Pakistani Rupee (PKR)</t>
  </si>
  <si>
    <t>Panama Balboa (PAB)</t>
  </si>
  <si>
    <t>Papua New Guinea Kina (PGK)</t>
  </si>
  <si>
    <t>Paraguay Guarani (PYG)</t>
  </si>
  <si>
    <t>Peru Nuevo Sol (PEN)</t>
  </si>
  <si>
    <t>Philippine Peso (PHP)</t>
  </si>
  <si>
    <t>Poland Zloty (PLN)</t>
  </si>
  <si>
    <t>Qatari Rial (QAR)</t>
  </si>
  <si>
    <t>Korean Won, South Korea (KRW)</t>
  </si>
  <si>
    <t>Moldovan Leu (MDL)</t>
  </si>
  <si>
    <t>Yemeni Rial (YER)</t>
  </si>
  <si>
    <t>Romanian Leu (RON)</t>
  </si>
  <si>
    <t>Russian Rouble (RUB)</t>
  </si>
  <si>
    <t>Rwanda Franc (RWF)</t>
  </si>
  <si>
    <t>St.Helena Pound (SHP)</t>
  </si>
  <si>
    <t>Samoa Tala (WST)</t>
  </si>
  <si>
    <t>Sao Tome Principe Dobra (STD)</t>
  </si>
  <si>
    <t>Saudi Riyal (SAR)</t>
  </si>
  <si>
    <t>Serbian Dinar (RSD)</t>
  </si>
  <si>
    <t>Seychelles Rupee (SCR)</t>
  </si>
  <si>
    <t>Sierra Leone Leone (SLL)</t>
  </si>
  <si>
    <t>Singapore Dollar (SGD)</t>
  </si>
  <si>
    <t>Solomon Is. Dollar (SBD)</t>
  </si>
  <si>
    <t>Somali Shilling (SOS)</t>
  </si>
  <si>
    <t>South Africa Rand (ZAR)</t>
  </si>
  <si>
    <t>South Sudanese Pound (SSP)</t>
  </si>
  <si>
    <t>Sri Lanka Rupee (LKR)</t>
  </si>
  <si>
    <t>Sudanese Pound (SDG)</t>
  </si>
  <si>
    <t>Surinamese Dollar (SRD)</t>
  </si>
  <si>
    <t>Swaziland Lilangeni (SZL)</t>
  </si>
  <si>
    <t>Swedish Krona (SEK)</t>
  </si>
  <si>
    <t>Syrian Pound (SYP)</t>
  </si>
  <si>
    <t>Tajikistan Somoni (TJS)</t>
  </si>
  <si>
    <t>Tanzania Shilling (TZS)</t>
  </si>
  <si>
    <t>Macedonia Denar, the former Rep. of (MKD)</t>
  </si>
  <si>
    <t>Thai Baht (THB)</t>
  </si>
  <si>
    <t>Tonga Pa'anga (TOP)</t>
  </si>
  <si>
    <t>Trinidad and Tobago Dollar (TTD)</t>
  </si>
  <si>
    <t>Tunisian Dinar (TND)</t>
  </si>
  <si>
    <t>Turkish Lira (TRY)</t>
  </si>
  <si>
    <t>Turkmenistan Manat (TMT)</t>
  </si>
  <si>
    <t>Uganda Shilling (UGX)</t>
  </si>
  <si>
    <t>Ukraine Hryvnia (UAH)</t>
  </si>
  <si>
    <t>United Arab Emirates Dirham (AED)</t>
  </si>
  <si>
    <t>U.K. Pound (GBP)</t>
  </si>
  <si>
    <t>Uruguay Peso (UYU)</t>
  </si>
  <si>
    <t>Uzbekistan Sum (UZS)</t>
  </si>
  <si>
    <t>Vanuatu Vatu (VUV)</t>
  </si>
  <si>
    <t>Venezuela Bolivar Fuerte (VEF)</t>
  </si>
  <si>
    <t>Viet Nam Dong (VND)</t>
  </si>
  <si>
    <t>Zambia Kwacha (new) (ZMW)</t>
  </si>
  <si>
    <t xml:space="preserve">Unit of measure </t>
  </si>
  <si>
    <t>(please select)</t>
  </si>
  <si>
    <t>Square Yards</t>
  </si>
  <si>
    <t>Square Kilometers</t>
  </si>
  <si>
    <t>Square Meters</t>
  </si>
  <si>
    <t>Financial figures submitted in:</t>
  </si>
  <si>
    <t>100,000,000 Thousand lakhs or 100 million or 10 crore</t>
  </si>
  <si>
    <t>1 Units</t>
  </si>
  <si>
    <t>10 Tens</t>
  </si>
  <si>
    <t>100 Hundreds</t>
  </si>
  <si>
    <t>1,000 Thousands</t>
  </si>
  <si>
    <t>1,000,000 Millions</t>
  </si>
  <si>
    <t>100,000 Hundreds of Thousands (Lakhs)</t>
  </si>
  <si>
    <t>10,000 Tens  of Thousands</t>
  </si>
  <si>
    <t>10,000,000 Tens of Millions (Crores)</t>
  </si>
  <si>
    <t>1,000,000,000 Billions</t>
  </si>
  <si>
    <t>3.1.1.1</t>
  </si>
  <si>
    <t>3.1.1.2</t>
  </si>
  <si>
    <t>3.1.2.1</t>
  </si>
  <si>
    <t>3.1.2.2</t>
  </si>
  <si>
    <t>3.1.4.1</t>
  </si>
  <si>
    <t>3.1.4.2</t>
  </si>
  <si>
    <t>3.2.5</t>
  </si>
  <si>
    <t>3.2.6</t>
  </si>
  <si>
    <t>Part 5 - Employment</t>
  </si>
  <si>
    <t>Ground handling services:</t>
  </si>
  <si>
    <t>Rescue and fire service</t>
  </si>
  <si>
    <t>Car parking services</t>
  </si>
  <si>
    <t>Cleaning services</t>
  </si>
  <si>
    <t>Maintenance services</t>
  </si>
  <si>
    <t>Air traffic control services</t>
  </si>
  <si>
    <t>Passenger security services</t>
  </si>
  <si>
    <t>5.1.4</t>
  </si>
  <si>
    <t>5.1.5</t>
  </si>
  <si>
    <t>5.1.6</t>
  </si>
  <si>
    <t>5.1.7</t>
  </si>
  <si>
    <t>5.1.8</t>
  </si>
  <si>
    <t>Yes</t>
  </si>
  <si>
    <t>No</t>
  </si>
  <si>
    <t>Management</t>
  </si>
  <si>
    <t>Other</t>
  </si>
  <si>
    <t>6.1.4</t>
  </si>
  <si>
    <t>Comments (please type in the box below):</t>
  </si>
  <si>
    <t>7.1.1</t>
  </si>
  <si>
    <t>Total Airport Income</t>
  </si>
  <si>
    <t>9.1.1</t>
  </si>
  <si>
    <t>9.1.2</t>
  </si>
  <si>
    <t>Total Operating Expenses</t>
  </si>
  <si>
    <t>Capital Costs</t>
  </si>
  <si>
    <t>Taxes &amp; Other Fees</t>
  </si>
  <si>
    <t>(EBITDA minus Capital Costs minus Taxes &amp; Other Fees)</t>
  </si>
  <si>
    <t>ACI Airport Economics Survey 2013</t>
  </si>
  <si>
    <t>Taxes levied on passengers</t>
  </si>
  <si>
    <t>Taxed levied on airlines</t>
  </si>
  <si>
    <t>(Total Airport Income minus Total Operating Expenses)</t>
  </si>
  <si>
    <r>
      <t xml:space="preserve">3-letter IATA Airport Code  -  </t>
    </r>
    <r>
      <rPr>
        <i/>
        <sz val="10"/>
        <rFont val="Arial"/>
        <family val="2"/>
      </rPr>
      <t xml:space="preserve">If the reported figures pertain to more than </t>
    </r>
  </si>
  <si>
    <t>9.2.1</t>
  </si>
  <si>
    <t>11.1.1</t>
  </si>
  <si>
    <t>11.1.2</t>
  </si>
  <si>
    <t>11.1.3</t>
  </si>
  <si>
    <t>Operating Aeronautical Income</t>
  </si>
  <si>
    <t>Operating Non-Aeronautical Income</t>
  </si>
  <si>
    <t>INSTRUCTIONS:</t>
  </si>
  <si>
    <t>The following convention should be used in reporting values in this questionnaire:</t>
  </si>
  <si>
    <t>Please report actual values only (no abridged values);</t>
  </si>
  <si>
    <t>When actual observed values are not available, produce estimated values in italics;</t>
  </si>
  <si>
    <t>When the actual reported value is nil (zero), include the value "0" in the relevant cell;</t>
  </si>
  <si>
    <t>Only when the actual value or an estimate is not available, treat the data item as missing and leave the cell blank.</t>
  </si>
  <si>
    <t>********Please do not alter this questionnaire form by adding columns, rows and/or deleting items.********</t>
  </si>
  <si>
    <t>—</t>
  </si>
  <si>
    <t>Tel: +1 514 373 1229</t>
  </si>
  <si>
    <t>Fax:  +1 514 373 1201</t>
  </si>
  <si>
    <t xml:space="preserve">Debt outstanding </t>
  </si>
  <si>
    <t>(Financial liabilities with maturity of over one year at end of reporting period)</t>
  </si>
  <si>
    <t>Management contract</t>
  </si>
  <si>
    <t>Lease or concession</t>
  </si>
  <si>
    <t>Transfer of minority ownership</t>
  </si>
  <si>
    <t>Private sector ownership and control</t>
  </si>
  <si>
    <t>Operation of parts of activities of an airport</t>
  </si>
  <si>
    <t>Insourced</t>
  </si>
  <si>
    <r>
      <t xml:space="preserve">Please specify the </t>
    </r>
    <r>
      <rPr>
        <b/>
        <u/>
        <sz val="11"/>
        <color rgb="FF7030A0"/>
        <rFont val="Arial"/>
        <family val="2"/>
      </rPr>
      <t>number</t>
    </r>
    <r>
      <rPr>
        <b/>
        <sz val="11"/>
        <color rgb="FF7030A0"/>
        <rFont val="Arial"/>
        <family val="2"/>
      </rPr>
      <t xml:space="preserve"> of:</t>
    </r>
  </si>
  <si>
    <r>
      <t xml:space="preserve">Please submit the completed questionnaire before  </t>
    </r>
    <r>
      <rPr>
        <b/>
        <u/>
        <sz val="11"/>
        <color theme="1"/>
        <rFont val="Arial"/>
        <family val="2"/>
      </rPr>
      <t>August 30th 2013</t>
    </r>
    <r>
      <rPr>
        <sz val="11"/>
        <color theme="1"/>
        <rFont val="Arial"/>
        <family val="2"/>
      </rPr>
      <t xml:space="preserve"> to:</t>
    </r>
  </si>
  <si>
    <t>allocated by regulators (or specified in concession agreements)?</t>
  </si>
  <si>
    <t>Passenger Terminal(s) Building(s) Area</t>
  </si>
  <si>
    <t>Cargo Terminal(s) Building(s) Area</t>
  </si>
  <si>
    <t>Concession services (shops, F&amp;B, etc.)</t>
  </si>
  <si>
    <r>
      <t xml:space="preserve">What type of </t>
    </r>
    <r>
      <rPr>
        <b/>
        <sz val="10"/>
        <rFont val="Arial"/>
        <family val="2"/>
      </rPr>
      <t>pricing regulation</t>
    </r>
    <r>
      <rPr>
        <sz val="10"/>
        <rFont val="Arial"/>
        <family val="2"/>
      </rPr>
      <t xml:space="preserve"> applies to your airport?</t>
    </r>
  </si>
  <si>
    <r>
      <t xml:space="preserve">Which form of </t>
    </r>
    <r>
      <rPr>
        <b/>
        <sz val="10"/>
        <color theme="1"/>
        <rFont val="Arial"/>
        <family val="2"/>
      </rPr>
      <t>economic oversight</t>
    </r>
    <r>
      <rPr>
        <sz val="10"/>
        <color theme="1"/>
        <rFont val="Arial"/>
        <family val="2"/>
      </rPr>
      <t xml:space="preserve"> applies to your airport?</t>
    </r>
  </si>
  <si>
    <r>
      <t xml:space="preserve">What is the </t>
    </r>
    <r>
      <rPr>
        <b/>
        <sz val="10"/>
        <color theme="1"/>
        <rFont val="Arial"/>
        <family val="2"/>
      </rPr>
      <t>ownership structure</t>
    </r>
    <r>
      <rPr>
        <sz val="10"/>
        <color theme="1"/>
        <rFont val="Arial"/>
        <family val="2"/>
      </rPr>
      <t xml:space="preserve"> of your airport(s) (i.e. share ownership)?</t>
    </r>
  </si>
  <si>
    <r>
      <t xml:space="preserve">If there is a </t>
    </r>
    <r>
      <rPr>
        <b/>
        <sz val="10"/>
        <color theme="1"/>
        <rFont val="Arial"/>
        <family val="2"/>
      </rPr>
      <t>private participation/involvement</t>
    </r>
    <r>
      <rPr>
        <sz val="10"/>
        <color theme="1"/>
        <rFont val="Arial"/>
        <family val="2"/>
      </rPr>
      <t xml:space="preserve"> at your airports, please indicate the type:</t>
    </r>
  </si>
  <si>
    <t xml:space="preserve">Commercial Activity Area </t>
  </si>
  <si>
    <t>(inside and outside the terminal building(s))</t>
  </si>
  <si>
    <t>Food &amp; beverage</t>
  </si>
  <si>
    <t>Retail stores / shops / boutiques</t>
  </si>
  <si>
    <t>Restaurants / cafés and other F&amp;B outlets</t>
  </si>
  <si>
    <t>Count:</t>
  </si>
  <si>
    <t>Runway, taxiway, apron operations</t>
  </si>
  <si>
    <t>Part 6 - Airport Revenue</t>
  </si>
  <si>
    <t>6.1.1.1</t>
  </si>
  <si>
    <t>6.1.1.2</t>
  </si>
  <si>
    <t>6.1.1.3</t>
  </si>
  <si>
    <t>6.1.1.4</t>
  </si>
  <si>
    <t>6.1.1.5</t>
  </si>
  <si>
    <t>6.1.1.6</t>
  </si>
  <si>
    <t>6.1.1.7</t>
  </si>
  <si>
    <t>6.1.1.8</t>
  </si>
  <si>
    <t>6.1.1.9</t>
  </si>
  <si>
    <t>6.1.1.10</t>
  </si>
  <si>
    <t>6.1.1.11</t>
  </si>
  <si>
    <t>6.1.1.12</t>
  </si>
  <si>
    <t>6.1.1.13</t>
  </si>
  <si>
    <t>6.1.1.14</t>
  </si>
  <si>
    <t>6.1.1.15</t>
  </si>
  <si>
    <t>6.1.1.16</t>
  </si>
  <si>
    <t>Landing charges</t>
  </si>
  <si>
    <t>Lighting surcharges</t>
  </si>
  <si>
    <t>Noise &amp; other environmental charges</t>
  </si>
  <si>
    <t>Navaid charges</t>
  </si>
  <si>
    <t>Parking charges</t>
  </si>
  <si>
    <t>Boarding bridge charges</t>
  </si>
  <si>
    <t>Passenger charges (excluding AIF or similar)</t>
  </si>
  <si>
    <t>Transfer / transit charges</t>
  </si>
  <si>
    <t>Security charges</t>
  </si>
  <si>
    <t>Cargo (or freight) charges</t>
  </si>
  <si>
    <t>Fueling charges</t>
  </si>
  <si>
    <t>6.1.1.12.1</t>
  </si>
  <si>
    <t>Airport improvement fees - AIF (or Passenger facility charge)</t>
  </si>
  <si>
    <t>Terminal rentals paid by airlines for space utilization</t>
  </si>
  <si>
    <t>Other (please specify in text box below any item &gt;3% of total income)</t>
  </si>
  <si>
    <t>5.1.10</t>
  </si>
  <si>
    <t>5.1.11</t>
  </si>
  <si>
    <t>6.1.2.1</t>
  </si>
  <si>
    <t>6.1.2.2</t>
  </si>
  <si>
    <t>6.1.2.3</t>
  </si>
  <si>
    <t>6.1.2.4</t>
  </si>
  <si>
    <t>6.1.2.5</t>
  </si>
  <si>
    <t>6.1.2.6</t>
  </si>
  <si>
    <t>6.1.2.7</t>
  </si>
  <si>
    <t>Retail concessions</t>
  </si>
  <si>
    <t>6.1.2.1.1</t>
  </si>
  <si>
    <t>Food &amp; Beverage</t>
  </si>
  <si>
    <t>Car parking</t>
  </si>
  <si>
    <t>Rental car concessions</t>
  </si>
  <si>
    <t>Property &amp; real estate income or rent</t>
  </si>
  <si>
    <t>Other (please specify in the text box below any item &gt;3%)</t>
  </si>
  <si>
    <t>6.1.3.1</t>
  </si>
  <si>
    <t>Interest income</t>
  </si>
  <si>
    <t>6.1.3.2</t>
  </si>
  <si>
    <t>6.1.3.3</t>
  </si>
  <si>
    <t>6.1.3.4</t>
  </si>
  <si>
    <t>Asset Divestments</t>
  </si>
  <si>
    <t>Other (please specify in text box any item &gt;3%)</t>
  </si>
  <si>
    <r>
      <rPr>
        <i/>
        <sz val="9"/>
        <rFont val="Arial"/>
        <family val="2"/>
      </rPr>
      <t xml:space="preserve">   of which</t>
    </r>
    <r>
      <rPr>
        <sz val="9"/>
        <rFont val="Arial"/>
        <family val="2"/>
      </rPr>
      <t>: Duty Free concessions</t>
    </r>
  </si>
  <si>
    <t>Part 7 - Airport Operating Expenses</t>
  </si>
  <si>
    <t>7.1.2</t>
  </si>
  <si>
    <t>7.1.3</t>
  </si>
  <si>
    <t>7.1.4</t>
  </si>
  <si>
    <t>7.1.5</t>
  </si>
  <si>
    <t>7.1.6</t>
  </si>
  <si>
    <t>7.1.7</t>
  </si>
  <si>
    <t>7.1.8</t>
  </si>
  <si>
    <t>7.1.9</t>
  </si>
  <si>
    <r>
      <t>Personnel expenses</t>
    </r>
    <r>
      <rPr>
        <i/>
        <sz val="9"/>
        <rFont val="Arial"/>
        <family val="2"/>
      </rPr>
      <t xml:space="preserve"> (salaries and benefits)</t>
    </r>
  </si>
  <si>
    <r>
      <t xml:space="preserve">Contracted services </t>
    </r>
    <r>
      <rPr>
        <i/>
        <sz val="9"/>
        <rFont val="Arial"/>
        <family val="2"/>
      </rPr>
      <t>(cost of services paid to third parties)</t>
    </r>
  </si>
  <si>
    <r>
      <t xml:space="preserve">Materials, equipment, supplies </t>
    </r>
    <r>
      <rPr>
        <i/>
        <sz val="9"/>
        <rFont val="Arial"/>
        <family val="2"/>
      </rPr>
      <t>(excluding maintenance/contracted serv.)</t>
    </r>
  </si>
  <si>
    <r>
      <t xml:space="preserve">Maintenance </t>
    </r>
    <r>
      <rPr>
        <i/>
        <sz val="9"/>
        <rFont val="Arial"/>
        <family val="2"/>
      </rPr>
      <t>(excluding contracted services)</t>
    </r>
  </si>
  <si>
    <r>
      <t>General and administrative expenses</t>
    </r>
    <r>
      <rPr>
        <i/>
        <sz val="9"/>
        <rFont val="Arial"/>
        <family val="2"/>
      </rPr>
      <t xml:space="preserve"> (excluding personnel)</t>
    </r>
  </si>
  <si>
    <r>
      <t>Other  -</t>
    </r>
    <r>
      <rPr>
        <i/>
        <sz val="9"/>
        <rFont val="Arial"/>
        <family val="2"/>
      </rPr>
      <t xml:space="preserve"> (please specify in text box any item &gt;3% of total expenses):</t>
    </r>
  </si>
  <si>
    <t>Part 8 - Income Statement Summary</t>
  </si>
  <si>
    <t>8.1.1</t>
  </si>
  <si>
    <t>8.1.2</t>
  </si>
  <si>
    <t>8.1.3</t>
  </si>
  <si>
    <t>8.4.1</t>
  </si>
  <si>
    <t>8.4.2</t>
  </si>
  <si>
    <t>8.4.3</t>
  </si>
  <si>
    <t>Moody's</t>
  </si>
  <si>
    <t>S&amp;P</t>
  </si>
  <si>
    <t>Fitch</t>
  </si>
  <si>
    <t>Moody's:</t>
  </si>
  <si>
    <t>S&amp;P:</t>
  </si>
  <si>
    <t>Fitch:</t>
  </si>
  <si>
    <t>AAA</t>
  </si>
  <si>
    <t>Aaa</t>
  </si>
  <si>
    <t>Aa1</t>
  </si>
  <si>
    <t>A</t>
  </si>
  <si>
    <t>Aa2</t>
  </si>
  <si>
    <t>Aa3</t>
  </si>
  <si>
    <t>A1</t>
  </si>
  <si>
    <t>A2</t>
  </si>
  <si>
    <t>A3</t>
  </si>
  <si>
    <t>Baa1</t>
  </si>
  <si>
    <t>Baa2</t>
  </si>
  <si>
    <t>Baa3</t>
  </si>
  <si>
    <t>Ba1</t>
  </si>
  <si>
    <t>Ba2</t>
  </si>
  <si>
    <t>Ba3</t>
  </si>
  <si>
    <t>B1</t>
  </si>
  <si>
    <t>B2</t>
  </si>
  <si>
    <t>B3</t>
  </si>
  <si>
    <t>Caa1</t>
  </si>
  <si>
    <t>Caa2</t>
  </si>
  <si>
    <t>Caa3</t>
  </si>
  <si>
    <t>Ca</t>
  </si>
  <si>
    <t>C</t>
  </si>
  <si>
    <t>/</t>
  </si>
  <si>
    <t>AA+</t>
  </si>
  <si>
    <t>AA</t>
  </si>
  <si>
    <t>AA-</t>
  </si>
  <si>
    <t>A+</t>
  </si>
  <si>
    <t>A-</t>
  </si>
  <si>
    <t>BBB+</t>
  </si>
  <si>
    <t>BBB</t>
  </si>
  <si>
    <t>BBB-</t>
  </si>
  <si>
    <t>BB+</t>
  </si>
  <si>
    <t>BB</t>
  </si>
  <si>
    <t>BB-</t>
  </si>
  <si>
    <t>B+</t>
  </si>
  <si>
    <t>B</t>
  </si>
  <si>
    <t>B-</t>
  </si>
  <si>
    <t>CCC+</t>
  </si>
  <si>
    <t>CCC</t>
  </si>
  <si>
    <t>CCC-</t>
  </si>
  <si>
    <t>CC</t>
  </si>
  <si>
    <t>D</t>
  </si>
  <si>
    <t>DDD</t>
  </si>
  <si>
    <t>DD</t>
  </si>
  <si>
    <t>In words:</t>
  </si>
  <si>
    <t>Prime</t>
  </si>
  <si>
    <t>High grade</t>
  </si>
  <si>
    <t>Upper medium grade</t>
  </si>
  <si>
    <t>Lower medium grade</t>
  </si>
  <si>
    <t>Non-investment grade</t>
  </si>
  <si>
    <t>Speculative</t>
  </si>
  <si>
    <t>Highly speculative</t>
  </si>
  <si>
    <t>Substantial risks</t>
  </si>
  <si>
    <t>Extremely speculative</t>
  </si>
  <si>
    <t>In default</t>
  </si>
  <si>
    <t>Total Assets</t>
  </si>
  <si>
    <t>Cash and equivalent</t>
  </si>
  <si>
    <t>Current Assets</t>
  </si>
  <si>
    <t>9.1.1.1</t>
  </si>
  <si>
    <t>9.1.2.1</t>
  </si>
  <si>
    <t>9.1.1.2</t>
  </si>
  <si>
    <t>9.1.2.2</t>
  </si>
  <si>
    <t>Non Current Assets</t>
  </si>
  <si>
    <t>Total Liabilities</t>
  </si>
  <si>
    <t>Current liabilities</t>
  </si>
  <si>
    <t>Non-current liabilities</t>
  </si>
  <si>
    <t>3.2.7</t>
  </si>
  <si>
    <t>3.2.8</t>
  </si>
  <si>
    <t>3.2.9</t>
  </si>
  <si>
    <t>3.2.10</t>
  </si>
  <si>
    <t>Part 4 - Pricing, Ownership &amp; Regulation</t>
  </si>
  <si>
    <t>Part 10 - Accumulated Debt &amp; Credit Rating</t>
  </si>
  <si>
    <r>
      <t>Net Assets</t>
    </r>
    <r>
      <rPr>
        <b/>
        <i/>
        <sz val="11"/>
        <rFont val="Arial"/>
        <family val="2"/>
      </rPr>
      <t xml:space="preserve">   (9.1 - 9.2)</t>
    </r>
  </si>
  <si>
    <t>Please select:</t>
  </si>
  <si>
    <t>Part 9 - Balance Sheet Summary</t>
  </si>
  <si>
    <r>
      <t xml:space="preserve">Operating Aeronautical Revenue </t>
    </r>
    <r>
      <rPr>
        <b/>
        <i/>
        <sz val="8"/>
        <color indexed="18"/>
        <rFont val="Arial"/>
        <family val="2"/>
      </rPr>
      <t>(sum 6.1.1.1 -6.1.1.12, 6.1.1.13-6.1.1.16)</t>
    </r>
  </si>
  <si>
    <r>
      <t xml:space="preserve">Total Airport Revenue </t>
    </r>
    <r>
      <rPr>
        <b/>
        <i/>
        <sz val="9"/>
        <color rgb="FF7030A0"/>
        <rFont val="Arial"/>
        <family val="2"/>
      </rPr>
      <t>(Sum 6.1.1, 6.1.2, 6.1.3)</t>
    </r>
  </si>
  <si>
    <r>
      <t xml:space="preserve">Non-Operating Revenue </t>
    </r>
    <r>
      <rPr>
        <b/>
        <i/>
        <sz val="8"/>
        <color indexed="18"/>
        <rFont val="Arial"/>
        <family val="2"/>
      </rPr>
      <t>(sum 6.1.3.1-6.1.3.4)</t>
    </r>
  </si>
  <si>
    <r>
      <t>Total Operating Expenses</t>
    </r>
    <r>
      <rPr>
        <b/>
        <i/>
        <sz val="11"/>
        <color rgb="FF7030A0"/>
        <rFont val="Arial"/>
        <family val="2"/>
      </rPr>
      <t xml:space="preserve"> </t>
    </r>
    <r>
      <rPr>
        <b/>
        <i/>
        <sz val="8"/>
        <color rgb="FF7030A0"/>
        <rFont val="Arial"/>
        <family val="2"/>
      </rPr>
      <t>(sum 7.1.1 - 7.1.9)</t>
    </r>
  </si>
  <si>
    <t>Region</t>
  </si>
  <si>
    <t>City</t>
  </si>
  <si>
    <t>Operator</t>
  </si>
  <si>
    <t>Code</t>
  </si>
  <si>
    <t>Airport Name</t>
  </si>
  <si>
    <t>Count</t>
  </si>
  <si>
    <t>Size Category</t>
  </si>
  <si>
    <t>Part 11 - Operating Expenses by Functional Area</t>
  </si>
  <si>
    <r>
      <t>Total Operating Expenses</t>
    </r>
    <r>
      <rPr>
        <b/>
        <i/>
        <sz val="11"/>
        <color rgb="FF7030A0"/>
        <rFont val="Arial"/>
        <family val="2"/>
      </rPr>
      <t xml:space="preserve"> </t>
    </r>
    <r>
      <rPr>
        <b/>
        <i/>
        <sz val="8"/>
        <color rgb="FF7030A0"/>
        <rFont val="Arial"/>
        <family val="2"/>
      </rPr>
      <t>(Total corresponds to 7.1)</t>
    </r>
  </si>
  <si>
    <t>11.1.4</t>
  </si>
  <si>
    <t>11.1.5</t>
  </si>
  <si>
    <t>11.1.6</t>
  </si>
  <si>
    <r>
      <t xml:space="preserve">Terminal, Landside Operations &amp; Maintenance </t>
    </r>
    <r>
      <rPr>
        <i/>
        <sz val="8"/>
        <rFont val="Arial"/>
        <family val="2"/>
      </rPr>
      <t>(including commercial operations)</t>
    </r>
  </si>
  <si>
    <t>Administration</t>
  </si>
  <si>
    <t>Sales &amp; Marketing</t>
  </si>
  <si>
    <r>
      <t xml:space="preserve">Other - </t>
    </r>
    <r>
      <rPr>
        <i/>
        <sz val="8"/>
        <rFont val="Arial"/>
        <family val="2"/>
      </rPr>
      <t>(please specify in text box any item &gt;5% of total operating expenses)</t>
    </r>
  </si>
  <si>
    <t>Part 12 - Taxes Collected by Airport on Behalf of Government Agencies</t>
  </si>
  <si>
    <t>13.1.1</t>
  </si>
  <si>
    <t>13.1.2</t>
  </si>
  <si>
    <t>13.1.3</t>
  </si>
  <si>
    <t>13.1.4</t>
  </si>
  <si>
    <t>Part 13 - Capital Expenditure (CAPEX)</t>
  </si>
  <si>
    <t>Passenger check-in desks/counters</t>
  </si>
  <si>
    <t>3.1.4.2.1</t>
  </si>
  <si>
    <t>Runways (paved landing strips)</t>
  </si>
  <si>
    <t>3.2.9.1</t>
  </si>
  <si>
    <r>
      <t xml:space="preserve">Does your airport provide an </t>
    </r>
    <r>
      <rPr>
        <b/>
        <sz val="10"/>
        <rFont val="Arial"/>
        <family val="2"/>
      </rPr>
      <t>incentive scheme</t>
    </r>
    <r>
      <rPr>
        <sz val="10"/>
        <rFont val="Arial"/>
        <family val="2"/>
      </rPr>
      <t xml:space="preserve"> within your pricing structure</t>
    </r>
  </si>
  <si>
    <t>to attract new air services or develop existing ones?</t>
  </si>
  <si>
    <t>Total personnel employed by airport operator</t>
  </si>
  <si>
    <t>Full time equivalent</t>
  </si>
  <si>
    <t>(FTE)</t>
  </si>
  <si>
    <r>
      <rPr>
        <b/>
        <sz val="8"/>
        <color theme="1"/>
        <rFont val="Arial"/>
        <family val="2"/>
      </rPr>
      <t>Out</t>
    </r>
    <r>
      <rPr>
        <sz val="8"/>
        <color theme="1"/>
        <rFont val="Arial"/>
        <family val="2"/>
      </rPr>
      <t>sourced</t>
    </r>
  </si>
  <si>
    <t>5.1.8.1</t>
  </si>
  <si>
    <r>
      <t xml:space="preserve">What is the </t>
    </r>
    <r>
      <rPr>
        <b/>
        <sz val="9"/>
        <rFont val="Arial"/>
        <family val="2"/>
      </rPr>
      <t>credit rating</t>
    </r>
    <r>
      <rPr>
        <sz val="9"/>
        <rFont val="Arial"/>
        <family val="2"/>
      </rPr>
      <t xml:space="preserve"> of financial instruments issued by the airport company?</t>
    </r>
  </si>
  <si>
    <t>Part 14 - Financial Ratios</t>
  </si>
  <si>
    <r>
      <t xml:space="preserve">Part 3.1 - Infrastructure Size </t>
    </r>
    <r>
      <rPr>
        <b/>
        <sz val="12"/>
        <color rgb="FF7030A0"/>
        <rFont val="Arial"/>
        <family val="2"/>
      </rPr>
      <t>(Area)</t>
    </r>
  </si>
  <si>
    <r>
      <t xml:space="preserve">Part 3.2 - Infrastructure </t>
    </r>
    <r>
      <rPr>
        <b/>
        <sz val="12"/>
        <color rgb="FF7030A0"/>
        <rFont val="Arial"/>
        <family val="2"/>
      </rPr>
      <t>Units</t>
    </r>
  </si>
  <si>
    <r>
      <t xml:space="preserve">If applicable, what is the real pre-tax </t>
    </r>
    <r>
      <rPr>
        <b/>
        <sz val="10"/>
        <rFont val="Arial"/>
        <family val="2"/>
      </rPr>
      <t>Weighted Average Cost of Capital (WACC)</t>
    </r>
    <r>
      <rPr>
        <sz val="10"/>
        <rFont val="Arial"/>
        <family val="2"/>
      </rPr>
      <t xml:space="preserve"> </t>
    </r>
  </si>
  <si>
    <t>Other security (e.g. perimeter and cargo security)</t>
  </si>
  <si>
    <t>→</t>
  </si>
  <si>
    <t>Passenger handling services</t>
  </si>
  <si>
    <t>Ramp handling services</t>
  </si>
  <si>
    <t>Cargo handling services</t>
  </si>
  <si>
    <r>
      <t xml:space="preserve">Operating Non-Aeronautical Revenue </t>
    </r>
    <r>
      <rPr>
        <b/>
        <sz val="8"/>
        <color indexed="18"/>
        <rFont val="Arial"/>
        <family val="2"/>
      </rPr>
      <t>(s</t>
    </r>
    <r>
      <rPr>
        <b/>
        <i/>
        <sz val="8"/>
        <color indexed="18"/>
        <rFont val="Arial"/>
        <family val="2"/>
      </rPr>
      <t>um 6.1.2.1 - 6.1.2.7)</t>
    </r>
  </si>
  <si>
    <t>Return on Capital Employed (ROCE) (%)</t>
  </si>
  <si>
    <t>Movements</t>
  </si>
  <si>
    <t xml:space="preserve">Activities undertaken by airport operator </t>
  </si>
  <si>
    <t xml:space="preserve">of which: </t>
  </si>
  <si>
    <t xml:space="preserve">Total number of people working at the airport </t>
  </si>
  <si>
    <t>(i.e. employed by airport operator and other companies)</t>
  </si>
  <si>
    <t>(can be estimated by the number of issued airport security passes)</t>
  </si>
  <si>
    <r>
      <rPr>
        <b/>
        <u/>
        <sz val="8"/>
        <rFont val="Arial"/>
        <family val="2"/>
      </rPr>
      <t>Note:</t>
    </r>
    <r>
      <rPr>
        <sz val="8"/>
        <rFont val="Arial"/>
        <family val="2"/>
      </rPr>
      <t xml:space="preserve">  Certain questionnaire items require respondents to use check boxes and drop down lists. To respond to these items, please click on the appropriate option. </t>
    </r>
  </si>
  <si>
    <t>The items with these features include the corresponding drop lists of unit measures to the right of the reported figures in Section 3.1, check boxes in Section 5</t>
  </si>
  <si>
    <t>and drop lists with predefined options in Sections 2, 4 and 10</t>
  </si>
  <si>
    <t>Telephone Number</t>
  </si>
  <si>
    <t>(%)</t>
  </si>
  <si>
    <t xml:space="preserve">econ@aci.aero </t>
  </si>
  <si>
    <t>ACI Enquête sur l'Économie des Aéroports 2013</t>
  </si>
  <si>
    <t>Tél: +1 514 373 1229</t>
  </si>
  <si>
    <t>La convention suivante doit être utilisée pour le rapport de valeurs dans ce questionnaire:</t>
  </si>
  <si>
    <t xml:space="preserve">Signaler les valeurs réelles seulement (pas de valeurs abrégées); </t>
  </si>
  <si>
    <t>Une cellule doit rester vide seulement au cas où la valeur réelle ou une estimation n'est pas disponible</t>
  </si>
  <si>
    <t>Lorsque la valeur réelle est nulle (zéro), indiquer la valeur;</t>
  </si>
  <si>
    <r>
      <rPr>
        <b/>
        <u/>
        <sz val="8"/>
        <rFont val="Arial"/>
        <family val="2"/>
      </rPr>
      <t>Remarque:</t>
    </r>
    <r>
      <rPr>
        <sz val="8"/>
        <rFont val="Arial"/>
        <family val="2"/>
      </rPr>
      <t xml:space="preserve">  Certains éléments du questionnaire exigent à cocher des cases d'option et à faire des choix des listes déroulantes. </t>
    </r>
  </si>
  <si>
    <t>mesure vers la droite dans la Section 3.1, des cases à cocher dans la Section 5, des listes déroulantes dans les Sections 2, 4 et 10.</t>
  </si>
  <si>
    <t xml:space="preserve">Pour répondre à ces articles, s'il vous plaît choisir l'option appropriée. Les articles avec ces caractéristiques comprennent les listes déroulantes des unités de </t>
  </si>
  <si>
    <t>Nom de l'Aéroport (Veuillez compléter un formulaire pour chaque aéroport):</t>
  </si>
  <si>
    <t>Personne à contacter</t>
  </si>
  <si>
    <t>Titre</t>
  </si>
  <si>
    <r>
      <rPr>
        <b/>
        <sz val="10"/>
        <color theme="1"/>
        <rFont val="Arial"/>
        <family val="2"/>
      </rPr>
      <t>Le code AITA (3 lettres)</t>
    </r>
    <r>
      <rPr>
        <sz val="10"/>
        <color theme="1"/>
        <rFont val="Arial"/>
        <family val="2"/>
      </rPr>
      <t xml:space="preserve"> - Nous vous prions de séparer chaque aéroport par un "/" </t>
    </r>
  </si>
  <si>
    <t>Numéro de Téléphone</t>
  </si>
  <si>
    <t>Adresse courriel</t>
  </si>
  <si>
    <t>Passagers:</t>
  </si>
  <si>
    <t>Cargo (en tonnes):</t>
  </si>
  <si>
    <t>Mouvements</t>
  </si>
  <si>
    <t>Work Load Unit (WLU) est une unité qui correspond à un passager ou 0,1 tonne de fret</t>
  </si>
  <si>
    <t>L'unité WLU:</t>
  </si>
  <si>
    <t>Les chiffres financiers soumis en:</t>
  </si>
  <si>
    <t>La monnaie de présentation (choisir):</t>
  </si>
  <si>
    <t xml:space="preserve">Taux de change suggéré:           </t>
  </si>
  <si>
    <t xml:space="preserve"> 1 USD = </t>
  </si>
  <si>
    <t>Unité de mesure</t>
  </si>
  <si>
    <t>(sélectionner)</t>
  </si>
  <si>
    <t>Superficie totale du site de l'aéroport</t>
  </si>
  <si>
    <t xml:space="preserve">  dont:</t>
  </si>
  <si>
    <t>Zone terrestre</t>
  </si>
  <si>
    <t>Superficie totale des terminaux de passagers</t>
  </si>
  <si>
    <t>Zone d'activité commerciale</t>
  </si>
  <si>
    <t>Superficie totale des terminaux de frets</t>
  </si>
  <si>
    <t>Aliments &amp; boissons</t>
  </si>
  <si>
    <t>(à l'intérieur et à l'extérieur des bâtiments du terminal)</t>
  </si>
  <si>
    <t>La vente au détail</t>
  </si>
  <si>
    <t>Zone hors taxes (Duty Free)</t>
  </si>
  <si>
    <t>Terminaux de passagers</t>
  </si>
  <si>
    <t>Terminaux de frets</t>
  </si>
  <si>
    <t>Comptoirs d'enregistrement</t>
  </si>
  <si>
    <t>Kiosques libre-service géré par l'aéroport</t>
  </si>
  <si>
    <t>Pistes d'atterrissage pavées:</t>
  </si>
  <si>
    <t>Postes de stationnement (B737-800 ou équivalent)</t>
  </si>
  <si>
    <t>Places de stationnement de voitures individuelles</t>
  </si>
  <si>
    <t>dont:</t>
  </si>
  <si>
    <t xml:space="preserve">dont: </t>
  </si>
  <si>
    <t xml:space="preserve">   dont:</t>
  </si>
  <si>
    <t>Restaurants / cafés et autres commerces de F&amp;B</t>
  </si>
  <si>
    <t>Magasins de détails / boutiques / autres commerces au détail</t>
  </si>
  <si>
    <t>Boutiques hors taxes (Duty Free)</t>
  </si>
  <si>
    <t>Comte:</t>
  </si>
  <si>
    <r>
      <t xml:space="preserve">S'il vous plaît indiquer le </t>
    </r>
    <r>
      <rPr>
        <b/>
        <u/>
        <sz val="11"/>
        <color rgb="FF7030A0"/>
        <rFont val="Arial"/>
        <family val="2"/>
      </rPr>
      <t>nombre</t>
    </r>
    <r>
      <rPr>
        <b/>
        <sz val="11"/>
        <color rgb="FF7030A0"/>
        <rFont val="Arial"/>
        <family val="2"/>
      </rPr>
      <t xml:space="preserve"> de:</t>
    </r>
  </si>
  <si>
    <t xml:space="preserve">Partie 1 - Informations de Contact </t>
  </si>
  <si>
    <t>Partie 2 - Informations Générales</t>
  </si>
  <si>
    <r>
      <t xml:space="preserve">Partie 3.1 - Infrastructure </t>
    </r>
    <r>
      <rPr>
        <b/>
        <sz val="12"/>
        <color rgb="FF7030A0"/>
        <rFont val="Arial"/>
        <family val="2"/>
      </rPr>
      <t>(Superficie)</t>
    </r>
  </si>
  <si>
    <r>
      <t xml:space="preserve">Partie 3.2 - Infrastructure </t>
    </r>
    <r>
      <rPr>
        <b/>
        <sz val="12"/>
        <color rgb="FF7030A0"/>
        <rFont val="Arial"/>
        <family val="2"/>
      </rPr>
      <t>(Unités)</t>
    </r>
  </si>
  <si>
    <t>Partie 4 - Propriété, Structure des Prix et Règlement Economique</t>
  </si>
  <si>
    <r>
      <t>Quelle est la</t>
    </r>
    <r>
      <rPr>
        <b/>
        <sz val="10"/>
        <color theme="1"/>
        <rFont val="Arial"/>
        <family val="2"/>
      </rPr>
      <t xml:space="preserve"> structure de propriété</t>
    </r>
    <r>
      <rPr>
        <sz val="10"/>
        <color theme="1"/>
        <rFont val="Arial"/>
        <family val="2"/>
      </rPr>
      <t xml:space="preserve"> de votre (vos) aéroport(s) (ex. actionnariat)?</t>
    </r>
  </si>
  <si>
    <r>
      <t xml:space="preserve">Quel type de </t>
    </r>
    <r>
      <rPr>
        <b/>
        <sz val="10"/>
        <rFont val="Arial"/>
        <family val="2"/>
      </rPr>
      <t>réglementation des prix</t>
    </r>
    <r>
      <rPr>
        <sz val="10"/>
        <rFont val="Arial"/>
        <family val="2"/>
      </rPr>
      <t xml:space="preserve"> s'applique à votre (vos) aéroport(s)?</t>
    </r>
  </si>
  <si>
    <r>
      <t xml:space="preserve">Quelle forme de </t>
    </r>
    <r>
      <rPr>
        <b/>
        <sz val="10"/>
        <color theme="1"/>
        <rFont val="Arial"/>
        <family val="2"/>
      </rPr>
      <t>règlementation économique</t>
    </r>
    <r>
      <rPr>
        <sz val="10"/>
        <color theme="1"/>
        <rFont val="Arial"/>
        <family val="2"/>
      </rPr>
      <t xml:space="preserve"> s'applique à votre (vos) aéroport(s)?</t>
    </r>
  </si>
  <si>
    <t>Effectifs:</t>
  </si>
  <si>
    <t>Équivalent Temps Plein</t>
  </si>
  <si>
    <t>(ETP)</t>
  </si>
  <si>
    <t>Partie 5 - Emploi et Opérations</t>
  </si>
  <si>
    <t>Les activités menées par l'exploitant d'aéroport</t>
  </si>
  <si>
    <t>Gestion</t>
  </si>
  <si>
    <t>alloués par les organismes de réglementation (ou spécifiée dans les contrats de concession)?</t>
  </si>
  <si>
    <r>
      <t xml:space="preserve">Le cas échéant, quel est le </t>
    </r>
    <r>
      <rPr>
        <b/>
        <sz val="10"/>
        <rFont val="Arial"/>
        <family val="2"/>
      </rPr>
      <t>coût moyen pondéré du capital (CMPC)</t>
    </r>
    <r>
      <rPr>
        <sz val="10"/>
        <rFont val="Arial"/>
        <family val="2"/>
      </rPr>
      <t>,</t>
    </r>
  </si>
  <si>
    <r>
      <t xml:space="preserve">Si il y a une </t>
    </r>
    <r>
      <rPr>
        <b/>
        <sz val="10"/>
        <color theme="1"/>
        <rFont val="Arial"/>
        <family val="2"/>
      </rPr>
      <t>participation du secteur privé</t>
    </r>
    <r>
      <rPr>
        <sz val="10"/>
        <color theme="1"/>
        <rFont val="Arial"/>
        <family val="2"/>
      </rPr>
      <t xml:space="preserve"> à votre (vos) aéroport(s), s'il vous plaît indiquer le type:</t>
    </r>
  </si>
  <si>
    <r>
      <t xml:space="preserve">Fournissez-vous un </t>
    </r>
    <r>
      <rPr>
        <b/>
        <sz val="10"/>
        <rFont val="Arial"/>
        <family val="2"/>
      </rPr>
      <t>mécanisme d'incitation au sein</t>
    </r>
    <r>
      <rPr>
        <sz val="10"/>
        <rFont val="Arial"/>
        <family val="2"/>
      </rPr>
      <t xml:space="preserve"> de votre structure de prix</t>
    </r>
  </si>
  <si>
    <t>pour attirer de nouveaux services aériens ou de développer celles qui existent déjà?</t>
  </si>
  <si>
    <t>Revenus Hors Exploitation</t>
  </si>
  <si>
    <t>Concessions de détail</t>
  </si>
  <si>
    <t xml:space="preserve">   dont: Concessions hors taxes (Duty Free)</t>
  </si>
  <si>
    <t>Stationnement de voitures</t>
  </si>
  <si>
    <t>Concessions de location de voiture</t>
  </si>
  <si>
    <t>Loyers ou revenus immobiliers</t>
  </si>
  <si>
    <t>Publicité</t>
  </si>
  <si>
    <r>
      <t xml:space="preserve">Autre </t>
    </r>
    <r>
      <rPr>
        <i/>
        <sz val="8"/>
        <rFont val="Arial"/>
        <family val="2"/>
      </rPr>
      <t>(spécifier tout objet supérieur a 3% des revenus totales)</t>
    </r>
  </si>
  <si>
    <t>Redevances d'aide à la navigation</t>
  </si>
  <si>
    <t>Redevances de sûreté</t>
  </si>
  <si>
    <t>Redevances liées au bruit et autres taxes environnementales</t>
  </si>
  <si>
    <t>Redevances d'atterrissage</t>
  </si>
  <si>
    <t>Redevance d'utilisation des passerelles d'embarquement</t>
  </si>
  <si>
    <t>Redevances de stationnement des avions</t>
  </si>
  <si>
    <t>Portes air bridge avec passerelles d'embarquement:</t>
  </si>
  <si>
    <t>Redevances passagers (FAA ou frais similaires exclu)</t>
  </si>
  <si>
    <t>Frais de transfert / transit</t>
  </si>
  <si>
    <t>Frais de cargaison (fret avionné)</t>
  </si>
  <si>
    <t>Frais supplémentaires d'éclairage de piste d'atterrissage</t>
  </si>
  <si>
    <t>Redevances de ravitaillement (carburant)</t>
  </si>
  <si>
    <t>Services de manutention au sol (frais de carburant exclu)</t>
  </si>
  <si>
    <t>Frais d'amélioration aéroportuaire - FAA (charge d'installations-passagers)</t>
  </si>
  <si>
    <t>Charges utilitaires (ex. eau, électricité, etc.)</t>
  </si>
  <si>
    <t>Location de terminal pas compagnies aériennes</t>
  </si>
  <si>
    <t>Revenus d'intérêts</t>
  </si>
  <si>
    <t>Cessions d'actifs</t>
  </si>
  <si>
    <t>Commentaires (s'il vous plaît tapez dans la boîte ci-dessous):</t>
  </si>
  <si>
    <t>Subsidies / Subventions</t>
  </si>
  <si>
    <t>Total Dépenses d'Exploitation</t>
  </si>
  <si>
    <r>
      <t>Frais de personnel</t>
    </r>
    <r>
      <rPr>
        <i/>
        <sz val="8"/>
        <rFont val="Arial"/>
        <family val="2"/>
      </rPr>
      <t xml:space="preserve"> (salaires et avantages sociaux)</t>
    </r>
  </si>
  <si>
    <t>Sélectionner</t>
  </si>
  <si>
    <r>
      <t xml:space="preserve">Services contractuels </t>
    </r>
    <r>
      <rPr>
        <i/>
        <sz val="8"/>
        <rFont val="Arial"/>
        <family val="2"/>
      </rPr>
      <t>(cout des services payés à des tiers)</t>
    </r>
  </si>
  <si>
    <r>
      <t xml:space="preserve">Matériels, équipements, fournitures </t>
    </r>
    <r>
      <rPr>
        <i/>
        <sz val="8"/>
        <rFont val="Arial"/>
        <family val="2"/>
      </rPr>
      <t>(hors entretien/services contractuels)</t>
    </r>
  </si>
  <si>
    <t>Communications, utilitaires, énergie &amp; déchets</t>
  </si>
  <si>
    <t>Assurances, Déclaration de sinistre, Règlement</t>
  </si>
  <si>
    <t>Entretien (à l'exclusion des services contractuels)</t>
  </si>
  <si>
    <t>Bail, loyer, Paiement des frais de concession</t>
  </si>
  <si>
    <r>
      <t xml:space="preserve">Autre </t>
    </r>
    <r>
      <rPr>
        <i/>
        <sz val="8"/>
        <rFont val="Arial"/>
        <family val="2"/>
      </rPr>
      <t>(spécifier tout objet supérieur a 3% des dépenses totales)</t>
    </r>
  </si>
  <si>
    <r>
      <t xml:space="preserve">Frais généraux et dépenses administratives </t>
    </r>
    <r>
      <rPr>
        <i/>
        <sz val="8"/>
        <rFont val="Arial"/>
        <family val="2"/>
      </rPr>
      <t>(hors personnel)</t>
    </r>
  </si>
  <si>
    <t>Services d'assistance en escales:</t>
  </si>
  <si>
    <t>Services d'assistance des passagers</t>
  </si>
  <si>
    <t>Service de sécurité incendie</t>
  </si>
  <si>
    <t>Services de stationnement de voitures</t>
  </si>
  <si>
    <t>Services de nettoyage</t>
  </si>
  <si>
    <t>Services d'entretien</t>
  </si>
  <si>
    <t>Services de contrôle du trafic aérien</t>
  </si>
  <si>
    <t>Services de sécurité des passagers</t>
  </si>
  <si>
    <r>
      <t>Autre sécurité</t>
    </r>
    <r>
      <rPr>
        <i/>
        <sz val="8"/>
        <rFont val="Arial"/>
        <family val="2"/>
      </rPr>
      <t xml:space="preserve"> (ex: sécurité du périmètre et cargo)</t>
    </r>
  </si>
  <si>
    <t>Services de vente au détail et restauration</t>
  </si>
  <si>
    <t>Operations de piste, chemins de roulement, tablier</t>
  </si>
  <si>
    <t>Autre</t>
  </si>
  <si>
    <t>Redevances Aéronautiques</t>
  </si>
  <si>
    <t>Redevances Non-Aéronautiques (Commerciales)</t>
  </si>
  <si>
    <t>Revenu Total</t>
  </si>
  <si>
    <t>(Marge opérationnelle) Revenu Total moins Total Dépenses d'Exploitation</t>
  </si>
  <si>
    <t>L'excédent brut d'exploitation (EBE) (EBITDA)</t>
  </si>
  <si>
    <t>Amortissement/dépréciation des immobilisations corporelles</t>
  </si>
  <si>
    <t>Autres dépenses en immobilisations (veuillez préciser ci-dessous)</t>
  </si>
  <si>
    <t>Actif</t>
  </si>
  <si>
    <t>Passif</t>
  </si>
  <si>
    <t>Actifs courants</t>
  </si>
  <si>
    <t>Actifs non courants</t>
  </si>
  <si>
    <t>Passifs courants</t>
  </si>
  <si>
    <t>Passifs non courant</t>
  </si>
  <si>
    <t>Trésorerie et équivalents</t>
  </si>
  <si>
    <t>Immobilisations</t>
  </si>
  <si>
    <r>
      <t>Actif Net</t>
    </r>
    <r>
      <rPr>
        <b/>
        <i/>
        <sz val="11"/>
        <rFont val="Arial"/>
        <family val="2"/>
      </rPr>
      <t xml:space="preserve">   (9.1 - 9.2)</t>
    </r>
  </si>
  <si>
    <t>Partie 9 - Bilan Comptable</t>
  </si>
  <si>
    <t>Partie 8 - Compte de Résultat</t>
  </si>
  <si>
    <t>Encours des Dettes</t>
  </si>
  <si>
    <t>aéroportuaire?</t>
  </si>
  <si>
    <r>
      <t xml:space="preserve">Quelle est la </t>
    </r>
    <r>
      <rPr>
        <b/>
        <sz val="9"/>
        <rFont val="Arial"/>
        <family val="2"/>
      </rPr>
      <t>cote de crédit</t>
    </r>
    <r>
      <rPr>
        <sz val="9"/>
        <rFont val="Arial"/>
        <family val="2"/>
      </rPr>
      <t xml:space="preserve"> des instruments financiers émis par la société</t>
    </r>
  </si>
  <si>
    <t>Partie 11 - Coût d'Exploitation par Domaine Fonctionnel</t>
  </si>
  <si>
    <r>
      <t xml:space="preserve">Charges d'Exploitation Totales </t>
    </r>
    <r>
      <rPr>
        <b/>
        <i/>
        <sz val="11"/>
        <color rgb="FF7030A0"/>
        <rFont val="Arial"/>
        <family val="2"/>
      </rPr>
      <t/>
    </r>
  </si>
  <si>
    <t>(Totale correspond à 7.1)</t>
  </si>
  <si>
    <t>Sécurité</t>
  </si>
  <si>
    <t>Ventes et Marketing</t>
  </si>
  <si>
    <t>Autre - spécifier tout objet supérieur à 5% des dépenses totales</t>
  </si>
  <si>
    <r>
      <t xml:space="preserve">Exploitation &amp; entretien des pistes </t>
    </r>
    <r>
      <rPr>
        <i/>
        <sz val="9"/>
        <rFont val="Arial"/>
        <family val="2"/>
      </rPr>
      <t>(services incendies &amp; hivernaux inclus)</t>
    </r>
  </si>
  <si>
    <t>Taxes et Autres Frais/Impôts</t>
  </si>
  <si>
    <t>Partie 12 - Impôts Perçus par l'Aéroport pour le Compte d'Agences Gouvernementaux</t>
  </si>
  <si>
    <t>Impôts prélevés sur les passagers</t>
  </si>
  <si>
    <t>Impôts prélevés sur les compagnies aériennes</t>
  </si>
  <si>
    <t>Partie 13 - Les Dépenses d'Investissement de Capital (CAPEX)</t>
  </si>
  <si>
    <t>Dépenses d’Investissement de Capital (CAPEX)</t>
  </si>
  <si>
    <t>Achat d'immobilisations corporelles</t>
  </si>
  <si>
    <t>Dépenses de construction</t>
  </si>
  <si>
    <t>Achat d'autres biens et services</t>
  </si>
  <si>
    <t>Autres dépenses de capital (s'il vous plaît préciser ci-dessous)</t>
  </si>
  <si>
    <t>Partie 14 - Ratios Financiers</t>
  </si>
  <si>
    <t>Rendement du capital investi (RCI) (%)</t>
  </si>
  <si>
    <t>Rentabilité des capitaux employés (RCE) (%)</t>
  </si>
  <si>
    <t>********Prière de ne pas modifier cette questionnaire en ajoutant ou supprimant des colonnes, des lignes et/ou des éléments********</t>
  </si>
  <si>
    <t>Services d'assistance "opérations en piste"</t>
  </si>
  <si>
    <t>Services de manutention de fret aérien</t>
  </si>
  <si>
    <t>(c'est-à-dire employé par l'exploitant d'aéroport et autres compagnies)</t>
  </si>
  <si>
    <t>(peut être estimée par le nombre des passes de sécurité délivres)</t>
  </si>
  <si>
    <t>Partie 6 - Revenue. Chiffre d'Affaires</t>
  </si>
  <si>
    <t>Partie 7 - Dépenses d'Exploitation</t>
  </si>
  <si>
    <t>au cas où les chiffres indiqués représentent plusieurs  aéroports (ex. XXX/YYY/ZZZ)</t>
  </si>
  <si>
    <t>Année Budgétaire (choisir une option):</t>
  </si>
  <si>
    <t>Externalisée</t>
  </si>
  <si>
    <t>Internalisée</t>
  </si>
  <si>
    <r>
      <t xml:space="preserve">Revenu Total </t>
    </r>
    <r>
      <rPr>
        <b/>
        <i/>
        <sz val="9"/>
        <color rgb="FF7030A0"/>
        <rFont val="Arial"/>
        <family val="2"/>
      </rPr>
      <t>(Somme 6.1.1, 6.1.2, 6.1.3)</t>
    </r>
  </si>
  <si>
    <r>
      <t xml:space="preserve">Opérations &amp; Entretien terminaux et côté terrestre </t>
    </r>
    <r>
      <rPr>
        <i/>
        <sz val="9"/>
        <rFont val="Arial"/>
        <family val="2"/>
      </rPr>
      <t>(exploitation commerciale inclue)</t>
    </r>
  </si>
  <si>
    <t>Pieds carrés</t>
  </si>
  <si>
    <t>Yards carrés</t>
  </si>
  <si>
    <t>Mètres carrés</t>
  </si>
  <si>
    <t>Kilomètres carrés</t>
  </si>
  <si>
    <t>Milles carrés</t>
  </si>
  <si>
    <t>1 Unités</t>
  </si>
  <si>
    <t>10 Dizaines</t>
  </si>
  <si>
    <t>100 Centaines</t>
  </si>
  <si>
    <t>1,000 Milliers</t>
  </si>
  <si>
    <t>10,000,000 Dizaines de Millions (crores)</t>
  </si>
  <si>
    <t>100,000 Centaines de Milliers (Lakhs)</t>
  </si>
  <si>
    <t>10,000 Dizaines de Milliers</t>
  </si>
  <si>
    <t>1,000,000,000 Milliards</t>
  </si>
  <si>
    <t>100,000,000 Mille lakhs ou 100 millions ou 10 crores</t>
  </si>
  <si>
    <t>Caisse Unique</t>
  </si>
  <si>
    <t>Caisse Double</t>
  </si>
  <si>
    <t>Caisse Hybride</t>
  </si>
  <si>
    <t>La propriété publique (100%)</t>
  </si>
  <si>
    <t>La propriété privée (100%)</t>
  </si>
  <si>
    <t>Partenariat public-privé (PPP)</t>
  </si>
  <si>
    <t>Plafonnement des prix</t>
  </si>
  <si>
    <t xml:space="preserve">Plafonnement des revenus </t>
  </si>
  <si>
    <t>Taux de rendement</t>
  </si>
  <si>
    <t xml:space="preserve">Recouvrement des coûts </t>
  </si>
  <si>
    <t>Aucune réglementation spécifique</t>
  </si>
  <si>
    <t>Réglementation allégée</t>
  </si>
  <si>
    <t>Réglementation gouvernementale</t>
  </si>
  <si>
    <t>Réglementation de repli</t>
  </si>
  <si>
    <t>Exigences institutionnelles</t>
  </si>
  <si>
    <t>Contrat de gestion</t>
  </si>
  <si>
    <t>Bail commercial / Concession</t>
  </si>
  <si>
    <t>Participation minoritaire d'une société privée</t>
  </si>
  <si>
    <t>Propriété et le contrôle du secteur privé</t>
  </si>
  <si>
    <t>Fonctionnement des éléments des activités d'un aéroport</t>
  </si>
  <si>
    <t>INSTRUCCIONES:</t>
  </si>
  <si>
    <t>Las siguientes convenciones deben utilizarse para reportar los valores en este cuestionario:</t>
  </si>
  <si>
    <t>Por favor reporte los valores reales (no valores abreviados);</t>
  </si>
  <si>
    <t>Cuando el valor real es cero, incluya el valor "0" en la celda correspondiente;</t>
  </si>
  <si>
    <t>Solamente cuando el valor real or el estimado no esté disponible, trate el dato como no-disponible y deje la celda en blanco.</t>
  </si>
  <si>
    <t>Persona de contacto</t>
  </si>
  <si>
    <t>Título</t>
  </si>
  <si>
    <t>Código IATA de 3 letras - Si los datos corresponden a más de un aeropuerto,</t>
  </si>
  <si>
    <t xml:space="preserve"> liste cada aeropuerto separados con "/"  (e.g. XXX/YYY/ZZZ)</t>
  </si>
  <si>
    <t>Número de teléfono</t>
  </si>
  <si>
    <t>Dirección de E-mail</t>
  </si>
  <si>
    <t>Pasajeros:</t>
  </si>
  <si>
    <t>Carga (toneladas):</t>
  </si>
  <si>
    <t>Movimientos:</t>
  </si>
  <si>
    <t>Work Load Unit is equal to 1 passenger or 100 kg of cargo</t>
  </si>
  <si>
    <t>WLU es igual a 1 pasajero o 100 kg de carga</t>
  </si>
  <si>
    <t>Año económico (por favor, seleccione):</t>
  </si>
  <si>
    <t>Las cifras financieras presentadas:</t>
  </si>
  <si>
    <t>Moneda de Referencia (seleccione):</t>
  </si>
  <si>
    <t>1 USD =</t>
  </si>
  <si>
    <t>Tipo de cambio sugerido:</t>
  </si>
  <si>
    <t>ACI Encuesta Económica 2013</t>
  </si>
  <si>
    <r>
      <t xml:space="preserve">Por favor, especifique el </t>
    </r>
    <r>
      <rPr>
        <b/>
        <u/>
        <sz val="11"/>
        <color rgb="FF7030A0"/>
        <rFont val="Arial"/>
        <family val="2"/>
      </rPr>
      <t>número</t>
    </r>
    <r>
      <rPr>
        <b/>
        <sz val="11"/>
        <color rgb="FF7030A0"/>
        <rFont val="Arial"/>
        <family val="2"/>
      </rPr>
      <t xml:space="preserve"> de:</t>
    </r>
  </si>
  <si>
    <t>Pistas (pistas de aterrizaje pavimentadas)</t>
  </si>
  <si>
    <t>Terminales de pasajeros</t>
  </si>
  <si>
    <t>Número de estacionamientos remotos (B737-800 o equivalente)</t>
  </si>
  <si>
    <t>Terminales de carga</t>
  </si>
  <si>
    <t>Número de mostradores de facturación</t>
  </si>
  <si>
    <t>Número de plazas de estacionamiento de vehículos</t>
  </si>
  <si>
    <t>Tiendas (venta al por menor)</t>
  </si>
  <si>
    <t xml:space="preserve">  de las cuales:</t>
  </si>
  <si>
    <t>de las cuales:</t>
  </si>
  <si>
    <t xml:space="preserve">de las cuales: </t>
  </si>
  <si>
    <t xml:space="preserve">   de las cuales:</t>
  </si>
  <si>
    <t>Tiendas libres de impuestos (Duty Free)</t>
  </si>
  <si>
    <t>Restaurantes / cafeterías y demás establecimientos de F &amp; B</t>
  </si>
  <si>
    <r>
      <t xml:space="preserve">¿Qué tipo de </t>
    </r>
    <r>
      <rPr>
        <b/>
        <sz val="10"/>
        <rFont val="Arial"/>
        <family val="2"/>
      </rPr>
      <t>regulación tarifaria</t>
    </r>
    <r>
      <rPr>
        <sz val="10"/>
        <rFont val="Arial"/>
        <family val="2"/>
      </rPr>
      <t xml:space="preserve"> aplica a su aeropuerto?</t>
    </r>
  </si>
  <si>
    <t>Por favor seleccione:</t>
  </si>
  <si>
    <r>
      <t xml:space="preserve">¿Qué forma de </t>
    </r>
    <r>
      <rPr>
        <b/>
        <sz val="10"/>
        <color theme="1"/>
        <rFont val="Arial"/>
        <family val="2"/>
      </rPr>
      <t>vigilancia económica</t>
    </r>
    <r>
      <rPr>
        <sz val="10"/>
        <color theme="1"/>
        <rFont val="Arial"/>
        <family val="2"/>
      </rPr>
      <t xml:space="preserve"> se aplica a su aeropuerto?</t>
    </r>
  </si>
  <si>
    <r>
      <t xml:space="preserve">¿Cual es la </t>
    </r>
    <r>
      <rPr>
        <b/>
        <sz val="10"/>
        <color theme="1"/>
        <rFont val="Arial"/>
        <family val="2"/>
      </rPr>
      <t>estructura propietaria</t>
    </r>
    <r>
      <rPr>
        <sz val="10"/>
        <color theme="1"/>
        <rFont val="Arial"/>
        <family val="2"/>
      </rPr>
      <t xml:space="preserve"> del aeropuerto(s) (p.e. propiedad de las acciones)?</t>
    </r>
  </si>
  <si>
    <r>
      <t xml:space="preserve">Si hay una </t>
    </r>
    <r>
      <rPr>
        <b/>
        <sz val="10"/>
        <color theme="1"/>
        <rFont val="Arial"/>
        <family val="2"/>
      </rPr>
      <t>participación privada</t>
    </r>
    <r>
      <rPr>
        <sz val="10"/>
        <color theme="1"/>
        <rFont val="Arial"/>
        <family val="2"/>
      </rPr>
      <t xml:space="preserve"> en los aeropuertos, por favor indique el tipo:</t>
    </r>
  </si>
  <si>
    <r>
      <t xml:space="preserve">En su caso, ¿qué es el </t>
    </r>
    <r>
      <rPr>
        <b/>
        <sz val="10"/>
        <rFont val="Arial"/>
        <family val="2"/>
      </rPr>
      <t>Costo Promedio Ponderado de Capital</t>
    </r>
    <r>
      <rPr>
        <sz val="10"/>
        <rFont val="Arial"/>
        <family val="2"/>
      </rPr>
      <t xml:space="preserve"> (WACC en inglés)</t>
    </r>
  </si>
  <si>
    <t>asignado por los reguladores (o se especifica en los contratos de concesión)?</t>
  </si>
  <si>
    <t>¿Tiene el aeropuerto un esquema de incentivos tarifarios?</t>
  </si>
  <si>
    <t>para atraer a nuevos servicios aéreos o desarrollar los ya existentes?</t>
  </si>
  <si>
    <r>
      <t xml:space="preserve">Si les valeurs réelles sont pas disponibles, prière d'indiquer des valeurs estimées en </t>
    </r>
    <r>
      <rPr>
        <i/>
        <sz val="8"/>
        <rFont val="Arial"/>
        <family val="2"/>
      </rPr>
      <t>italique</t>
    </r>
    <r>
      <rPr>
        <sz val="8"/>
        <rFont val="Arial"/>
        <family val="2"/>
      </rPr>
      <t>;</t>
    </r>
  </si>
  <si>
    <r>
      <t xml:space="preserve">Ingresos Aeroportuarios Totales </t>
    </r>
    <r>
      <rPr>
        <b/>
        <i/>
        <sz val="9"/>
        <color rgb="FF7030A0"/>
        <rFont val="Arial"/>
        <family val="2"/>
      </rPr>
      <t>(Sum 6.1.1, 6.1.2, 6.1.3)</t>
    </r>
  </si>
  <si>
    <t>Tarifas de aterrizaje</t>
  </si>
  <si>
    <t>Sobrecargos de iluminación</t>
  </si>
  <si>
    <t>Emisiones acústicas y otras tarifas medioambientales</t>
  </si>
  <si>
    <t>Tarifas de navegación (Navaid)</t>
  </si>
  <si>
    <t>Tarifas de aparcamiento de aeronaves</t>
  </si>
  <si>
    <t>Tarifas de pasajero (excluyendo AIF o similar)</t>
  </si>
  <si>
    <t>Tarifas de pasajeros en tránsito/transfer</t>
  </si>
  <si>
    <t>Tarifas de seguridad</t>
  </si>
  <si>
    <t>Tarifas de carga aérea</t>
  </si>
  <si>
    <t>Tarifas de repostaje de combustible</t>
  </si>
  <si>
    <t>Recargas de servicios (p.e. agua, electricidad, etc.)</t>
  </si>
  <si>
    <t>Alquileres de Terminal (únicamente para aeropuertos USA)</t>
  </si>
  <si>
    <t>Otras - (indique en la casilla ingresos &gt;3% del ingreso total):</t>
  </si>
  <si>
    <t>Servicios de Asistencia en Tierra (excluye tarifas de combustible)</t>
  </si>
  <si>
    <t>Ground handling infrastructure (if additional to 6.1.1.4)</t>
  </si>
  <si>
    <t>Concesiones comerciales (tiendas)</t>
  </si>
  <si>
    <t>Alimentos y bebidas, bares y restaurantes (Food &amp; Beverage)</t>
  </si>
  <si>
    <t>Aparcamiento de vehículos privados</t>
  </si>
  <si>
    <t>Alquileres y rentas (Property and real estate income or rent)</t>
  </si>
  <si>
    <t>Publicidad</t>
  </si>
  <si>
    <t>Otros  - (indique en la casilla cualquier otro ingreso &gt;3% del ingreso total):</t>
  </si>
  <si>
    <r>
      <t xml:space="preserve">Ingresos Aeronáuticos (Operativos) </t>
    </r>
    <r>
      <rPr>
        <b/>
        <i/>
        <sz val="8"/>
        <color indexed="18"/>
        <rFont val="Arial"/>
        <family val="2"/>
      </rPr>
      <t>(sum 6.1.1.1 -6.1.1.12, 6.1.1.13-6.1.1.16)</t>
    </r>
  </si>
  <si>
    <r>
      <t xml:space="preserve">Ingresos No-Aeronáuticos (Operativos) </t>
    </r>
    <r>
      <rPr>
        <b/>
        <sz val="8"/>
        <color indexed="18"/>
        <rFont val="Arial"/>
        <family val="2"/>
      </rPr>
      <t>(s</t>
    </r>
    <r>
      <rPr>
        <b/>
        <i/>
        <sz val="8"/>
        <color indexed="18"/>
        <rFont val="Arial"/>
        <family val="2"/>
      </rPr>
      <t>um 6.1.2.1 - 6.1.2.7)</t>
    </r>
  </si>
  <si>
    <r>
      <t xml:space="preserve">Ingresos No-Operativos   </t>
    </r>
    <r>
      <rPr>
        <b/>
        <i/>
        <sz val="8"/>
        <color indexed="18"/>
        <rFont val="Arial"/>
        <family val="2"/>
      </rPr>
      <t>(sum 6.1.3.1-6.1.3.4)</t>
    </r>
  </si>
  <si>
    <t>Ingreso por intereses</t>
  </si>
  <si>
    <t>Subsidios / Donaciones</t>
  </si>
  <si>
    <t>Ventas de activos</t>
  </si>
  <si>
    <t>Otros - (indique en la casilla cualquier concepto &gt;3% del ingreso total):</t>
  </si>
  <si>
    <t>Comentarios (por favor, escriba en el cuadro a continuación):</t>
  </si>
  <si>
    <r>
      <t xml:space="preserve">Gastos Operativos Totales </t>
    </r>
    <r>
      <rPr>
        <b/>
        <i/>
        <sz val="8"/>
        <color rgb="FF7030A0"/>
        <rFont val="Arial"/>
        <family val="2"/>
      </rPr>
      <t>(sum 7.1.1 - 7.1.9)</t>
    </r>
  </si>
  <si>
    <t>Gastos de personal (salarios y beneficios)</t>
  </si>
  <si>
    <t>Servicios contratados (costo de los servicios pagados a terceros)</t>
  </si>
  <si>
    <t>Comunicaciones, electricidad, suministro de agua, saneamiento/basuras, etc.</t>
  </si>
  <si>
    <t>Seguros, reclamos, liquidaciones</t>
  </si>
  <si>
    <t>Mantenimiento (excluye servicios contratados)</t>
  </si>
  <si>
    <t>Leasing, alquileres, pagos de concesiones</t>
  </si>
  <si>
    <t>Gastos generales y administrativos (excluye gastos de personal)</t>
  </si>
  <si>
    <t>Otros  - (por favor, indique en la casilla conceptos &gt;3% de gastos totales):</t>
  </si>
  <si>
    <r>
      <t xml:space="preserve">Materiales, equipamiento, suministros </t>
    </r>
    <r>
      <rPr>
        <sz val="8"/>
        <rFont val="Arial"/>
        <family val="2"/>
      </rPr>
      <t>(excluye mantenimiento/servicios contratados)</t>
    </r>
  </si>
  <si>
    <t>Ingresos Aeroportuarios Totales</t>
  </si>
  <si>
    <t>Ingresos Aeronáuticos (Operativos)</t>
  </si>
  <si>
    <t>Ingresos No-Aeronáuticos (Operativos)</t>
  </si>
  <si>
    <t>Ingresos No-Operativos</t>
  </si>
  <si>
    <t>Gastos Operativos Totales</t>
  </si>
  <si>
    <t xml:space="preserve">Beneficio/Déficit Operativo (EBITDA) </t>
  </si>
  <si>
    <t>(Ingresos Totales menos Gastos Operativos)</t>
  </si>
  <si>
    <t>Costes de Capital</t>
  </si>
  <si>
    <t>Depreciación y/o amortización de la propiedad, planta y equipo</t>
  </si>
  <si>
    <t>Otros costes de capital (por favor, indique)</t>
  </si>
  <si>
    <t>Beneficios / Pérdidas Netas</t>
  </si>
  <si>
    <t>Impuestos y Similares</t>
  </si>
  <si>
    <t>(EBITDA menos los costes de capital menos los impuestos y otros pagos)</t>
  </si>
  <si>
    <t>Activos Totales</t>
  </si>
  <si>
    <t>Activo Corriente</t>
  </si>
  <si>
    <t xml:space="preserve">Efectivo y Equivalente de Efectivo </t>
  </si>
  <si>
    <t>Otros</t>
  </si>
  <si>
    <t>Activo No Corriente</t>
  </si>
  <si>
    <t>Activos Fijos</t>
  </si>
  <si>
    <t>Total Pasivo</t>
  </si>
  <si>
    <t>Pasivo no corriente</t>
  </si>
  <si>
    <t>Pasivo corriente</t>
  </si>
  <si>
    <r>
      <t>Activos Netos</t>
    </r>
    <r>
      <rPr>
        <b/>
        <i/>
        <sz val="11"/>
        <rFont val="Arial"/>
        <family val="2"/>
      </rPr>
      <t xml:space="preserve">  (9.1 - 9.2)</t>
    </r>
  </si>
  <si>
    <t>Deuda pendiente</t>
  </si>
  <si>
    <t>(obligaciones financieras de más de un año al final del periodo reportado)</t>
  </si>
  <si>
    <t xml:space="preserve">¿Cuál es la calificación crediticia de los instrumentos financieros </t>
  </si>
  <si>
    <t>emitidos por la empresa aeroportuaria?</t>
  </si>
  <si>
    <r>
      <t>Gastos Operativos Totales</t>
    </r>
    <r>
      <rPr>
        <b/>
        <i/>
        <sz val="11"/>
        <color rgb="FF7030A0"/>
        <rFont val="Arial"/>
        <family val="2"/>
      </rPr>
      <t xml:space="preserve"> </t>
    </r>
    <r>
      <rPr>
        <b/>
        <i/>
        <sz val="7"/>
        <color rgb="FF7030A0"/>
        <rFont val="Arial"/>
        <family val="2"/>
      </rPr>
      <t>(Corresponde al Total de 7.1)</t>
    </r>
  </si>
  <si>
    <t>Seguridad</t>
  </si>
  <si>
    <t>Administración</t>
  </si>
  <si>
    <t>Ventas &amp; Marketing</t>
  </si>
  <si>
    <r>
      <t xml:space="preserve">Operaciones del Campo de Vuelos y Mantenimiento </t>
    </r>
    <r>
      <rPr>
        <sz val="7"/>
        <rFont val="Arial"/>
        <family val="2"/>
      </rPr>
      <t>(incl. bomberos, rescate y servicios invernales)</t>
    </r>
  </si>
  <si>
    <r>
      <t xml:space="preserve">Terminal, Operaciones Lado Tierra &amp; Mantenimiento </t>
    </r>
    <r>
      <rPr>
        <sz val="7"/>
        <rFont val="Arial"/>
        <family val="2"/>
      </rPr>
      <t>(incluye operaciones comerciales)</t>
    </r>
  </si>
  <si>
    <r>
      <t xml:space="preserve">Otros - </t>
    </r>
    <r>
      <rPr>
        <i/>
        <sz val="7"/>
        <rFont val="Arial"/>
        <family val="2"/>
      </rPr>
      <t>(por favor indique en la casilla conceptos &gt;5% del total de costos operativos):</t>
    </r>
  </si>
  <si>
    <t xml:space="preserve">Impuestos a los pasajeros </t>
  </si>
  <si>
    <t>Impuestos a las aerolíneas</t>
  </si>
  <si>
    <t xml:space="preserve">Gastos de capital (CAPEX) / Inversiones </t>
  </si>
  <si>
    <t>Adquisición de propiedad, planta y equipo</t>
  </si>
  <si>
    <t>Gastos de construcción</t>
  </si>
  <si>
    <t>Compra de otros bienes y servicios</t>
  </si>
  <si>
    <t>Otras partidas de gastos de capital (indique a continuación)</t>
  </si>
  <si>
    <t>Retorno sobre Capital Invertido (ROIC) (%)*</t>
  </si>
  <si>
    <t>Retorno sobre Capital Empleado(ROCE) (%)**</t>
  </si>
  <si>
    <t>Unidad de medida</t>
  </si>
  <si>
    <t>(seleccione)</t>
  </si>
  <si>
    <t>Cuenta:</t>
  </si>
  <si>
    <t>Las actividades realizadas por el operador aeroportuario</t>
  </si>
  <si>
    <t>Gestión</t>
  </si>
  <si>
    <t xml:space="preserve">  de ellos:</t>
  </si>
  <si>
    <t>Bomberos y rescate</t>
  </si>
  <si>
    <t>Aparcamiento de vehículos</t>
  </si>
  <si>
    <t>Servicios de limpieza</t>
  </si>
  <si>
    <t>Servicios de mantenimiento</t>
  </si>
  <si>
    <t>Servicios de control de tráfico aéreo (ATC)</t>
  </si>
  <si>
    <t>Servicios de seguridad de pasajeros</t>
  </si>
  <si>
    <t>Otros servicios de seguridad</t>
  </si>
  <si>
    <t>Servicios comerciales y restauración (F&amp;B)</t>
  </si>
  <si>
    <t xml:space="preserve">Operaciones de pistas, calles de rodaje, delantal </t>
  </si>
  <si>
    <t xml:space="preserve">Asistencia en tierra de rampa </t>
  </si>
  <si>
    <t>Asistencia en tierra de pasajeros</t>
  </si>
  <si>
    <t>Asistencia en tierra de cargo</t>
  </si>
  <si>
    <t>Número total de personas que trabajan en el aeropuerto</t>
  </si>
  <si>
    <t>(es decir, contratados por el operador de aeropuertos y otras empresas)</t>
  </si>
  <si>
    <t>********Por favor no altere este cuestionario añadiendo columnas, filas y/o eliminando preguntas********</t>
  </si>
  <si>
    <t>Quioscos de autoservicio operados por aeropuerto</t>
  </si>
  <si>
    <t>Total de personal empleado por el operador aeroportuario</t>
  </si>
  <si>
    <t>Número de personal</t>
  </si>
  <si>
    <t xml:space="preserve">Trabajadores a </t>
  </si>
  <si>
    <t>Tiempo Completo</t>
  </si>
  <si>
    <t>(puede ser estimado por el número de emitida pasa a la seguridad)</t>
  </si>
  <si>
    <t xml:space="preserve">Tarifas de puentes de abordaje (pasarela aérea) </t>
  </si>
  <si>
    <t>Servicios de asistencia en tierra a aeronaves:</t>
  </si>
  <si>
    <t>Infraestructura de Asistencia en Tierra (si son adicionales a 6.1.1.4)</t>
  </si>
  <si>
    <t>Tarifa de mejora aeroportuaria (o Passenger facility charge)</t>
  </si>
  <si>
    <t>Concesión de alquiler de vehículos (car rental)</t>
  </si>
  <si>
    <t>Parte 1 - Información de contacto</t>
  </si>
  <si>
    <t>Parte 2 - Información General</t>
  </si>
  <si>
    <t>Parte 4 - Propiedad, Estructura Tarifaria y Regulación Económica</t>
  </si>
  <si>
    <t xml:space="preserve">Parte 5 - Empleo y Operaciones </t>
  </si>
  <si>
    <t xml:space="preserve">Parte 6 - Ingresos Aeroportuarios </t>
  </si>
  <si>
    <t>Parte 7 - Gastos Operativos</t>
  </si>
  <si>
    <t>Parte 8 - Estado de Resultados</t>
  </si>
  <si>
    <t xml:space="preserve">Parte 9 - Balance </t>
  </si>
  <si>
    <t>Parte 10 - Deuda Pendiente y Clasificación del Crédito</t>
  </si>
  <si>
    <t>Parte 11 - Gastos Operativos por Área Funcional</t>
  </si>
  <si>
    <t>Parte 12 -  Impuestos Recaudados por el Aeropuerto en Nombre de Agencias Gubernamentales</t>
  </si>
  <si>
    <t>Parte 13 - Gastos de capital (CAPEX) / Inversiones</t>
  </si>
  <si>
    <t>Parte 14 - Ratios Financieros</t>
  </si>
  <si>
    <r>
      <t xml:space="preserve">Parte 3.1 - Tamaño de la Infraestructura </t>
    </r>
    <r>
      <rPr>
        <b/>
        <sz val="12"/>
        <color rgb="FF7030A0"/>
        <rFont val="Arial"/>
        <family val="2"/>
      </rPr>
      <t>(Área)</t>
    </r>
  </si>
  <si>
    <t>Área Total del Aeropuerto</t>
  </si>
  <si>
    <t>Área total de las terminales de pasajeros</t>
  </si>
  <si>
    <t>Área total de las terminales de carga</t>
  </si>
  <si>
    <t xml:space="preserve">Área dedicada a las actividades comerciales </t>
  </si>
  <si>
    <t xml:space="preserve">(dentro y fuera de los edificios terminales) </t>
  </si>
  <si>
    <t>Zona de restauración (F&amp;B)</t>
  </si>
  <si>
    <t>Área de venta al por menor</t>
  </si>
  <si>
    <t>Área de tiendas libres de impuestos</t>
  </si>
  <si>
    <t>En otras palabras:</t>
  </si>
  <si>
    <r>
      <t xml:space="preserve">   de las cuales: </t>
    </r>
    <r>
      <rPr>
        <sz val="9"/>
        <rFont val="Arial"/>
        <family val="2"/>
      </rPr>
      <t>concesiones libres de impuestos (Duty Free)</t>
    </r>
  </si>
  <si>
    <t>Año calendario 2012</t>
  </si>
  <si>
    <t>100 Cientos</t>
  </si>
  <si>
    <t>1000 Miles</t>
  </si>
  <si>
    <t>10000 Decenas de miles</t>
  </si>
  <si>
    <t>10000000 Decenas de Millones (Crores)</t>
  </si>
  <si>
    <t>10 Decenas</t>
  </si>
  <si>
    <t>1 Unidades</t>
  </si>
  <si>
    <t xml:space="preserve">100000 Cientos de miles </t>
  </si>
  <si>
    <t>1.000.000 Millones</t>
  </si>
  <si>
    <t>Caja única</t>
  </si>
  <si>
    <t>Doble caja</t>
  </si>
  <si>
    <t>Caja hibrida</t>
  </si>
  <si>
    <t>Propiedad publica (100%)</t>
  </si>
  <si>
    <t>Propiedad privada (100%)</t>
  </si>
  <si>
    <t>Propiedad Publico-Privada (PPP)</t>
  </si>
  <si>
    <t>Tasa de rendimiento/retorno</t>
  </si>
  <si>
    <t>Recuperación de costos</t>
  </si>
  <si>
    <t>No hay regulación especifica</t>
  </si>
  <si>
    <t>Aprobación gubernamental</t>
  </si>
  <si>
    <t xml:space="preserve">Requisitos institucionales </t>
  </si>
  <si>
    <t xml:space="preserve">Precio Máximo </t>
  </si>
  <si>
    <t>Ingresos Máximos</t>
  </si>
  <si>
    <t>Pies Cuadrados</t>
  </si>
  <si>
    <t>Yardas cuadradas</t>
  </si>
  <si>
    <t>Metros Cuadrados</t>
  </si>
  <si>
    <t>Kilómetros cuadrados</t>
  </si>
  <si>
    <t>Hectáreas</t>
  </si>
  <si>
    <t>Millas Cuadradas</t>
  </si>
  <si>
    <t>Contrato de gestión</t>
  </si>
  <si>
    <t>Contrato De Arrendamiento / Concesión</t>
  </si>
  <si>
    <t>Transferencia de propiedad minoritaria</t>
  </si>
  <si>
    <t>Propiedad y el control privado</t>
  </si>
  <si>
    <t xml:space="preserve">Funcionamiento de las actividades </t>
  </si>
  <si>
    <t>Subcontratado</t>
  </si>
  <si>
    <r>
      <t xml:space="preserve">Parte 3.2 - Infraestructura </t>
    </r>
    <r>
      <rPr>
        <b/>
        <sz val="12"/>
        <color rgb="FF7030A0"/>
        <rFont val="Arial"/>
        <family val="2"/>
      </rPr>
      <t>(Unidades)</t>
    </r>
  </si>
  <si>
    <r>
      <t xml:space="preserve">Cuando los valores reales no estén disponibles, indique los valores estimados en </t>
    </r>
    <r>
      <rPr>
        <i/>
        <sz val="8"/>
        <rFont val="Arial"/>
        <family val="2"/>
      </rPr>
      <t>cursiva</t>
    </r>
    <r>
      <rPr>
        <sz val="8"/>
        <rFont val="Arial"/>
        <family val="2"/>
      </rPr>
      <t>;</t>
    </r>
  </si>
  <si>
    <t>Grado medio superior</t>
  </si>
  <si>
    <t>Bajo grado medio</t>
  </si>
  <si>
    <t>Sin grado de inversión</t>
  </si>
  <si>
    <t>Extremadamente especulativo</t>
  </si>
  <si>
    <t>En su defecto</t>
  </si>
  <si>
    <t>Alto grado</t>
  </si>
  <si>
    <t>Especulativo</t>
  </si>
  <si>
    <t>Altamente especulativa</t>
  </si>
  <si>
    <t>Riesgos considerables</t>
  </si>
  <si>
    <t>Primer grado</t>
  </si>
  <si>
    <r>
      <t xml:space="preserve">2012 </t>
    </r>
    <r>
      <rPr>
        <b/>
        <sz val="8"/>
        <color theme="1"/>
        <rFont val="Arial"/>
        <family val="2"/>
      </rPr>
      <t>(Financial Year)</t>
    </r>
  </si>
  <si>
    <r>
      <t xml:space="preserve">2011 </t>
    </r>
    <r>
      <rPr>
        <b/>
        <sz val="8"/>
        <color theme="1"/>
        <rFont val="Arial"/>
        <family val="2"/>
      </rPr>
      <t>(Previous financial year)</t>
    </r>
  </si>
  <si>
    <r>
      <t xml:space="preserve">2012 </t>
    </r>
    <r>
      <rPr>
        <b/>
        <sz val="9"/>
        <color theme="1"/>
        <rFont val="Arial"/>
        <family val="2"/>
      </rPr>
      <t>(Année budgétaire)</t>
    </r>
  </si>
  <si>
    <r>
      <t xml:space="preserve">2011 </t>
    </r>
    <r>
      <rPr>
        <b/>
        <sz val="9"/>
        <color theme="1"/>
        <rFont val="Arial"/>
        <family val="2"/>
      </rPr>
      <t>(Année budg. précédente)</t>
    </r>
  </si>
  <si>
    <r>
      <t xml:space="preserve">2012 </t>
    </r>
    <r>
      <rPr>
        <b/>
        <sz val="9"/>
        <color theme="1"/>
        <rFont val="Arial"/>
        <family val="2"/>
      </rPr>
      <t>(Año fiscal)</t>
    </r>
  </si>
  <si>
    <r>
      <t xml:space="preserve">2011 </t>
    </r>
    <r>
      <rPr>
        <b/>
        <sz val="9"/>
        <color theme="1"/>
        <rFont val="Arial"/>
        <family val="2"/>
      </rPr>
      <t>(Año fiscal anterior)</t>
    </r>
  </si>
  <si>
    <t>Subsidies / Grants</t>
  </si>
  <si>
    <t>Contact gates with air bridge (jet bridge)</t>
  </si>
  <si>
    <t>2.3 Movements</t>
  </si>
  <si>
    <t>2.1 Passengers:</t>
  </si>
  <si>
    <t>2.2 Cargo (metric tons):</t>
  </si>
  <si>
    <t>2.4 WLU:</t>
  </si>
  <si>
    <t>2.5 Financial Year (please select):</t>
  </si>
  <si>
    <t>2.6 Financial figures submitted in:</t>
  </si>
  <si>
    <t>2.7 Reporting Currency (please select):</t>
  </si>
  <si>
    <t xml:space="preserve">2.8 Suggested exchange rate:    </t>
  </si>
  <si>
    <t>3.1.1 Total Airport Site Area</t>
  </si>
  <si>
    <t>3.1.1.1 Airside Area</t>
  </si>
  <si>
    <t>3.1.1.2 Landside area</t>
  </si>
  <si>
    <t>3.1.2 Passenger Terminal(s) Building(s) Area</t>
  </si>
  <si>
    <t>3.1.2.1 Airside Area</t>
  </si>
  <si>
    <t>3.1.2.2 Landside area</t>
  </si>
  <si>
    <t>3.1.3 Cargo Terminal(s) Building(s) Area</t>
  </si>
  <si>
    <t xml:space="preserve">3.1.4 Commercial Activity Area </t>
  </si>
  <si>
    <t>3.1.4.1 Food &amp; beverage</t>
  </si>
  <si>
    <t>3.1.4.2 Retail Activity Area</t>
  </si>
  <si>
    <t>3.1.4.2.1 Duty Free Area</t>
  </si>
  <si>
    <t>3.2.1 Runways (paved landing strips)</t>
  </si>
  <si>
    <t>3.2.2 Contact gates with air bridge (jet bridge)</t>
  </si>
  <si>
    <t>3.2.3 Remote stands (B737-800 or equivalent)</t>
  </si>
  <si>
    <t>3.2.4 Passenger terminals</t>
  </si>
  <si>
    <t>3.2.5 Cargo terminals</t>
  </si>
  <si>
    <t>3.2.6 Passenger check-in desks/counters</t>
  </si>
  <si>
    <t>3.2.7 Self service kiosks operated by airport</t>
  </si>
  <si>
    <t>3.2.8 Individual car parking spaces</t>
  </si>
  <si>
    <t>3.2.9 Retail stores / shops / boutiques</t>
  </si>
  <si>
    <t>3.2.9.1 Duty-Free shops</t>
  </si>
  <si>
    <t>3.2.10 Restaurants / cafés and other F&amp;B outlets</t>
  </si>
  <si>
    <t>4.1 Pricing regulation</t>
  </si>
  <si>
    <t>4.2 Economic Oversigght</t>
  </si>
  <si>
    <t>4.3 Ownership Structure</t>
  </si>
  <si>
    <t>4.4 Private participation</t>
  </si>
  <si>
    <t>4.5 WACC</t>
  </si>
  <si>
    <t>4.6 Incentive scheme</t>
  </si>
  <si>
    <t>5.1.1 Management | Insourced</t>
  </si>
  <si>
    <t>5.1.2 Ground handling services: | Insourced</t>
  </si>
  <si>
    <t>5.1.2.1 Passenger handling services | Insourced</t>
  </si>
  <si>
    <t>5.1.2.2 Ramp handling services | Insourced</t>
  </si>
  <si>
    <t>5.1.2.3 Cargo handling services | Insourced</t>
  </si>
  <si>
    <t>5.1.3 Rescue and fire service | Insourced</t>
  </si>
  <si>
    <t>5.1.4 Car parking services | Insourced</t>
  </si>
  <si>
    <t>5.1.5 Cleaning services | Insourced</t>
  </si>
  <si>
    <t>5.1.6 Maintenance services | Insourced</t>
  </si>
  <si>
    <t>5.1.7 Air traffic control services | Insourced</t>
  </si>
  <si>
    <t>5.1.8 Passenger security services | Insourced</t>
  </si>
  <si>
    <t>5.1.8.1 Other security (e.g. perimeter and cargo security) | Insourced</t>
  </si>
  <si>
    <t>5.1.10 Concession services (shops, F&amp;B, etc.) | Insourced</t>
  </si>
  <si>
    <t>5.1.1 Management | Outsourced</t>
  </si>
  <si>
    <t>5.1.2 Ground handling services: | Outsourced</t>
  </si>
  <si>
    <t>5.1.2.1 Passenger handling services | Outsourced</t>
  </si>
  <si>
    <t>5.1.2.2 Ramp handling services | Outsourced</t>
  </si>
  <si>
    <t>5.1.2.3 Cargo handling services | Outsourced</t>
  </si>
  <si>
    <t>5.1.3 Rescue and fire service | Outsourced</t>
  </si>
  <si>
    <t>5.1.4 Car parking services | Outsourced</t>
  </si>
  <si>
    <t>5.1.5 Cleaning services | Outsourced</t>
  </si>
  <si>
    <t>5.1.6 Maintenance services | Outsourced</t>
  </si>
  <si>
    <t>5.1.7 Air traffic control services | Outsourced</t>
  </si>
  <si>
    <t>5.1.8 Passenger security services | Outsourced</t>
  </si>
  <si>
    <t>5.1.8.1 Other security (e.g. perimeter and cargo security) | Outsourced</t>
  </si>
  <si>
    <t>5.1.10 Concession services (shops, F&amp;B, etc.) | Outsourced</t>
  </si>
  <si>
    <t>5.1.1 Management | Headcount</t>
  </si>
  <si>
    <t>5.1.2 Ground handling services: | Headcount</t>
  </si>
  <si>
    <t>5.1.2.1 Passenger handling services | Headcount</t>
  </si>
  <si>
    <t>5.1.2.2 Ramp handling services | Headcount</t>
  </si>
  <si>
    <t>5.1.2.3 Cargo handling services | Headcount</t>
  </si>
  <si>
    <t>5.1.3 Rescue and fire service | Headcount</t>
  </si>
  <si>
    <t>5.1.4 Car parking services | Headcount</t>
  </si>
  <si>
    <t>5.1.5 Cleaning services | Headcount</t>
  </si>
  <si>
    <t>5.1.6 Maintenance services | Headcount</t>
  </si>
  <si>
    <t>5.1.7 Air traffic control services | Headcount</t>
  </si>
  <si>
    <t>5.1.8 Passenger security services | Headcount</t>
  </si>
  <si>
    <t>5.1.8.1 Other security (e.g. perimeter and cargo security) | Headcount</t>
  </si>
  <si>
    <t>5.1.10 Concession services (shops, F&amp;B, etc.) | Headcount</t>
  </si>
  <si>
    <t>5.1.1 Management | FTE</t>
  </si>
  <si>
    <t>5.1.2 Ground handling services: | FTE</t>
  </si>
  <si>
    <t>5.1.2.1 Passenger handling services | FTE</t>
  </si>
  <si>
    <t>5.1.2.2 Ramp handling services | FTE</t>
  </si>
  <si>
    <t>5.1.2.3 Cargo handling services | FTE</t>
  </si>
  <si>
    <t>5.1.3 Rescue and fire service | FTE</t>
  </si>
  <si>
    <t>5.1.4 Car parking services | FTE</t>
  </si>
  <si>
    <t>5.1.5 Cleaning services | FTE</t>
  </si>
  <si>
    <t>5.1.6 Maintenance services | FTE</t>
  </si>
  <si>
    <t>5.1.7 Air traffic control services | FTE</t>
  </si>
  <si>
    <t>5.1.8 Passenger security services | FTE</t>
  </si>
  <si>
    <t>5.1.8.1 Other security (e.g. perimeter and cargo security) | FTE</t>
  </si>
  <si>
    <t>5.1.10 Concession services (shops, F&amp;B, etc.) | FTE</t>
  </si>
  <si>
    <t>5.1 Total personnel employed by airport operator | FTE</t>
  </si>
  <si>
    <t xml:space="preserve">5.2 Total number of people working at the airport </t>
  </si>
  <si>
    <t>6.1 Total Airport Revenue (Sum 6.1.1, 6.1.2, 6.1.3)</t>
  </si>
  <si>
    <t>6.1.1 Operating Aeronautical Revenue (sum 6.1.1.1 -6.1.1.12, 6.1.1.13-6.1.1.16)</t>
  </si>
  <si>
    <t>6.1.1.1 Landing charges</t>
  </si>
  <si>
    <t>6.1.1.2 Lighting surcharges</t>
  </si>
  <si>
    <t>6.1.1.3 Noise &amp; other environmental charges</t>
  </si>
  <si>
    <t>6.1.1.4 Navaid charges</t>
  </si>
  <si>
    <t>6.1.1.5 Parking charges</t>
  </si>
  <si>
    <t>6.1.1.6 Boarding bridge charges</t>
  </si>
  <si>
    <t>6.1.1.7 Passenger charges (excluding AIF or similar)</t>
  </si>
  <si>
    <t>6.1.1.8 Transfer / transit charges</t>
  </si>
  <si>
    <t>6.1.1.9 Security charges</t>
  </si>
  <si>
    <t>6.1.1.10 Cargo (or freight) charges</t>
  </si>
  <si>
    <t>6.1.1.11 Fueling charges</t>
  </si>
  <si>
    <t>6.1.1.12 Ground handling services (excluding fuel charges)</t>
  </si>
  <si>
    <t>6.1.1.12.1 Ground handling infrastructure (if additional to 6.1.1.4)</t>
  </si>
  <si>
    <t>6.1.1.13 Airport improvement fees - AIF (or Passenger facility charge)</t>
  </si>
  <si>
    <t>6.1.1.14 Utility recharges (e.g. water, electricity, etc.)</t>
  </si>
  <si>
    <t>6.1.1.15 Terminal rentals paid by airlines for space utilization</t>
  </si>
  <si>
    <t>6.1.1.16 Other (please specify in text box below any item &gt;3% of total income)</t>
  </si>
  <si>
    <t>6.1.2 Operating Non-Aeronautical Revenue (sum 6.1.2.1 - 6.1.2.7)</t>
  </si>
  <si>
    <t>6.1.2.1 Retail concessions</t>
  </si>
  <si>
    <t>6.1.2.1.1    of which: Duty Free concessions</t>
  </si>
  <si>
    <t>6.1.2.2 Food &amp; Beverage</t>
  </si>
  <si>
    <t>6.1.2.3 Car parking</t>
  </si>
  <si>
    <t>6.1.2.4 Rental car concessions</t>
  </si>
  <si>
    <t>6.1.2.5 Property &amp; real estate income or rent</t>
  </si>
  <si>
    <t>6.1.2.6 Advertising</t>
  </si>
  <si>
    <t>6.1.2.7 Other (please specify in the text box below any item &gt;3%)</t>
  </si>
  <si>
    <t>6.1.3 Non-Operating Revenue (sum 6.1.3.1-6.1.3.4)</t>
  </si>
  <si>
    <t>6.1.3.1 Interest income</t>
  </si>
  <si>
    <t>6.1.3.2 Subsidies / Grants</t>
  </si>
  <si>
    <t>6.1.3.3 Asset Divestments</t>
  </si>
  <si>
    <t>6.1.3.4 Other (please specify in text box any item &gt;3%)</t>
  </si>
  <si>
    <t>6.1.1.16 Other TEXT</t>
  </si>
  <si>
    <t>6.1.2.7 Other TEXT</t>
  </si>
  <si>
    <t>6.1.3.4 Other TEXT</t>
  </si>
  <si>
    <t>6.1.4 Comments (please type in the box below):</t>
  </si>
  <si>
    <t>7.1 Total Operating Expenses (sum 7.1.1 - 7.1.9)</t>
  </si>
  <si>
    <t>7.1.1 Personnel expenses (salaries and benefits)</t>
  </si>
  <si>
    <t>7.1.2 Contracted services (cost of services paid to third parties)</t>
  </si>
  <si>
    <t>7.1.3 Materials, equipment, supplies (excluding maintenance/contracted serv.)</t>
  </si>
  <si>
    <t>7.1.4 Communications, utilities, energy &amp; waste</t>
  </si>
  <si>
    <t>7.1.5 Insurance, claims, settlements</t>
  </si>
  <si>
    <t>7.1.6 Maintenance (excluding contracted services)</t>
  </si>
  <si>
    <t>7.1.7 Lease, rent, concession fee payments</t>
  </si>
  <si>
    <t>7.1.8 General and administrative expenses (excluding personnel)</t>
  </si>
  <si>
    <t>7.1.9 Other  - (please specify in text box any item &gt;3% of total expenses):</t>
  </si>
  <si>
    <t>7.1.9 Other  TEXT</t>
  </si>
  <si>
    <t>7.2 Comments (please type in the box below):</t>
  </si>
  <si>
    <t>8.1 Total Airport Income</t>
  </si>
  <si>
    <t>8.1.1 Operating Aeronautical Income</t>
  </si>
  <si>
    <t>8.1.2 Operating Non-Aeronautical Income</t>
  </si>
  <si>
    <t>8.1.3 Non-Operating Income</t>
  </si>
  <si>
    <t>8.2 Total Operating Expenses</t>
  </si>
  <si>
    <t xml:space="preserve">8.3 Operating Surplus/Deficit (EBITDA) </t>
  </si>
  <si>
    <t>8.4 Capital Costs</t>
  </si>
  <si>
    <t>8.4.1 Interest and dividends paid to third parties</t>
  </si>
  <si>
    <t>8.4.2 Depreciation or/and amortization of property, plant &amp; equipment</t>
  </si>
  <si>
    <t>8.4.3 Other capital costs (please specify below)</t>
  </si>
  <si>
    <t>8.4.3 Other capital costs TEXT</t>
  </si>
  <si>
    <t>8.5 Taxes &amp; Other Fees</t>
  </si>
  <si>
    <t>8.6 Net Profit / Loss</t>
  </si>
  <si>
    <t>8.7 Comments (please type in the box below):</t>
  </si>
  <si>
    <t>9.1 Total Assets</t>
  </si>
  <si>
    <t>9.1.1 Current Assets</t>
  </si>
  <si>
    <t>9.1.1.1 Cash and equivalent</t>
  </si>
  <si>
    <t>9.1.1.2 Other</t>
  </si>
  <si>
    <t>9.1.2 Non Current Assets</t>
  </si>
  <si>
    <t>9.1.2.1 Fixed assets</t>
  </si>
  <si>
    <t>9.1.2.2 Other</t>
  </si>
  <si>
    <t>9.2 Total Liabilities</t>
  </si>
  <si>
    <t>9.2.1 Current liabilities</t>
  </si>
  <si>
    <t>9.2.1 Non-current liabilities</t>
  </si>
  <si>
    <t>9.3 Net Assets   (9.1 - 9.2)</t>
  </si>
  <si>
    <t>9.4 Accumulated depreciation of fixed assets (9.1.2.1)</t>
  </si>
  <si>
    <t>(Current)</t>
  </si>
  <si>
    <t xml:space="preserve">10.1 Debt outstanding </t>
  </si>
  <si>
    <t>10.2 What is the credit rating of financial instruments issued by the airport company? Moody's:</t>
  </si>
  <si>
    <t>10.2 What is the credit rating of financial instruments issued by the airport company? S&amp;P:</t>
  </si>
  <si>
    <t>10.2 What is the credit rating of financial instruments issued by the airport company? Fitch:</t>
  </si>
  <si>
    <t>10.2 What is the credit rating of financial instruments issued by the airport company? In words:</t>
  </si>
  <si>
    <t>11.1 Total Operating Expenses (Total corresponds to 7.1)</t>
  </si>
  <si>
    <t>11.1.1 Security</t>
  </si>
  <si>
    <t>11.1.2 Airfield Operations &amp; Maintenance (including firefighting &amp; winter services)</t>
  </si>
  <si>
    <t>11.1.3 Terminal, Landside Operations &amp; Maintenance (including commercial operations)</t>
  </si>
  <si>
    <t>11.1.4 Administration</t>
  </si>
  <si>
    <t>11.1.5 Sales &amp; Marketing</t>
  </si>
  <si>
    <t>11.1.6 Other - (please specify in text box any item &gt;5% of total operating expenses)</t>
  </si>
  <si>
    <t>11.1.6 Other - TEXT</t>
  </si>
  <si>
    <t>12.1 Taxes levied on passengers</t>
  </si>
  <si>
    <t>12.2 Taxed levied on airlines</t>
  </si>
  <si>
    <t>13.1 Airport Capital Expenditure (CAPEX)</t>
  </si>
  <si>
    <t>13.1.1 Purchase of property, plant &amp; equipment</t>
  </si>
  <si>
    <t>13.1.2 Construction expenses</t>
  </si>
  <si>
    <t>13.1.3 Purchase of other goods &amp; services</t>
  </si>
  <si>
    <t>13.1.4 Other capital expenditure items (please specify below)</t>
  </si>
  <si>
    <t>13.1.4 Other capital expenditure items TEXT</t>
  </si>
  <si>
    <t>13.2 Comments (please type in the box below):</t>
  </si>
  <si>
    <t>14.1 Return On Invested Capital (ROIC) (%)</t>
  </si>
  <si>
    <t>14.2 Return on Capital Employed (ROCE) (%)</t>
  </si>
  <si>
    <r>
      <t xml:space="preserve">6 </t>
    </r>
    <r>
      <rPr>
        <b/>
        <sz val="8"/>
        <color theme="1"/>
        <rFont val="Calibri"/>
        <family val="2"/>
        <scheme val="minor"/>
      </rPr>
      <t>(2011)</t>
    </r>
  </si>
  <si>
    <r>
      <t xml:space="preserve">7 </t>
    </r>
    <r>
      <rPr>
        <b/>
        <sz val="8"/>
        <color theme="1"/>
        <rFont val="Calibri"/>
        <family val="2"/>
        <scheme val="minor"/>
      </rPr>
      <t>(2011)</t>
    </r>
  </si>
  <si>
    <r>
      <t xml:space="preserve">8 </t>
    </r>
    <r>
      <rPr>
        <b/>
        <sz val="8"/>
        <color theme="1"/>
        <rFont val="Calibri"/>
        <family val="2"/>
        <scheme val="minor"/>
      </rPr>
      <t>(2011)</t>
    </r>
  </si>
  <si>
    <r>
      <t xml:space="preserve">9 </t>
    </r>
    <r>
      <rPr>
        <b/>
        <sz val="8"/>
        <color theme="1"/>
        <rFont val="Calibri"/>
        <family val="2"/>
        <scheme val="minor"/>
      </rPr>
      <t>(2011)</t>
    </r>
  </si>
  <si>
    <r>
      <t xml:space="preserve">10 </t>
    </r>
    <r>
      <rPr>
        <b/>
        <sz val="8"/>
        <color theme="1"/>
        <rFont val="Calibri"/>
        <family val="2"/>
        <scheme val="minor"/>
      </rPr>
      <t>(2011)</t>
    </r>
  </si>
  <si>
    <r>
      <t xml:space="preserve">11 </t>
    </r>
    <r>
      <rPr>
        <b/>
        <sz val="8"/>
        <color theme="1"/>
        <rFont val="Calibri"/>
        <family val="2"/>
        <scheme val="minor"/>
      </rPr>
      <t>(2011)</t>
    </r>
  </si>
  <si>
    <r>
      <t xml:space="preserve">12 </t>
    </r>
    <r>
      <rPr>
        <b/>
        <sz val="8"/>
        <color theme="1"/>
        <rFont val="Calibri"/>
        <family val="2"/>
        <scheme val="minor"/>
      </rPr>
      <t>(2011)</t>
    </r>
  </si>
  <si>
    <r>
      <t xml:space="preserve">13 </t>
    </r>
    <r>
      <rPr>
        <b/>
        <sz val="8"/>
        <color theme="1"/>
        <rFont val="Calibri"/>
        <family val="2"/>
        <scheme val="minor"/>
      </rPr>
      <t>(2011)</t>
    </r>
  </si>
  <si>
    <r>
      <t xml:space="preserve">14 </t>
    </r>
    <r>
      <rPr>
        <b/>
        <sz val="8"/>
        <color theme="1"/>
        <rFont val="Calibri"/>
        <family val="2"/>
        <scheme val="minor"/>
      </rPr>
      <t>(2011)</t>
    </r>
  </si>
  <si>
    <t>Redevances Non-Aéronautiques - Résultat d'Exploitation</t>
  </si>
  <si>
    <t>Coût d'Immobilisation (Capital)</t>
  </si>
  <si>
    <r>
      <t xml:space="preserve">(EBE </t>
    </r>
    <r>
      <rPr>
        <b/>
        <i/>
        <sz val="8"/>
        <rFont val="Arial"/>
        <family val="2"/>
      </rPr>
      <t>moins</t>
    </r>
    <r>
      <rPr>
        <b/>
        <sz val="8"/>
        <rFont val="Arial"/>
        <family val="2"/>
      </rPr>
      <t xml:space="preserve"> Coût d'Immobilisation </t>
    </r>
    <r>
      <rPr>
        <b/>
        <i/>
        <sz val="8"/>
        <rFont val="Arial"/>
        <family val="2"/>
      </rPr>
      <t>moins</t>
    </r>
    <r>
      <rPr>
        <b/>
        <sz val="8"/>
        <rFont val="Arial"/>
        <family val="2"/>
      </rPr>
      <t xml:space="preserve"> Taxes et Autres Frais)</t>
    </r>
  </si>
  <si>
    <t>Partie 10 - Endettement et Cote de Crédit</t>
  </si>
  <si>
    <t>(Dettes financières à long terme dont l'échéance est à plus d'un an)</t>
  </si>
  <si>
    <t>Oui</t>
  </si>
  <si>
    <t>Non</t>
  </si>
  <si>
    <t>Total du personnel employé sur le site de l'aéroport</t>
  </si>
  <si>
    <t>Total du personnel directement employé par l'opérateur d'aéroport</t>
  </si>
  <si>
    <t xml:space="preserve">Sí </t>
  </si>
  <si>
    <t>Nombre del aeropuerto (Por favor llene un formulario/cuestionario por CADA aeropuerto)</t>
  </si>
  <si>
    <t>Interno</t>
  </si>
  <si>
    <r>
      <rPr>
        <b/>
        <u/>
        <sz val="8"/>
        <rFont val="Arial"/>
        <family val="2"/>
      </rPr>
      <t>Nota</t>
    </r>
    <r>
      <rPr>
        <b/>
        <sz val="8"/>
        <rFont val="Arial"/>
        <family val="2"/>
      </rPr>
      <t xml:space="preserve">: </t>
    </r>
    <r>
      <rPr>
        <sz val="8"/>
        <rFont val="Arial"/>
        <family val="2"/>
      </rPr>
      <t>Algunas preguntas de este cuestionario se responden marcando la casilla o seleccionando la opción correcta del menú desplegable. Por favor, responda según sea el caso.</t>
    </r>
  </si>
  <si>
    <t>Lado aire</t>
  </si>
  <si>
    <t>Lado tierra</t>
  </si>
  <si>
    <t>Número de puertas de contacto con pasarela aérea (jet bridge)</t>
  </si>
  <si>
    <t>Regulación ligera</t>
  </si>
  <si>
    <t>Q2 2012 - Q1 2013</t>
  </si>
  <si>
    <t>Q3 2012 - Q2 2013</t>
  </si>
  <si>
    <t>Année civile  2012</t>
  </si>
  <si>
    <t>Please tick the Insourced box OR the Outsourced box for each employment activity and record the corresponding number of employees (if available) as both headcounts and full-time equivalents. Insourced refers to activities where personnel are primarily employed by the airport operator directly. Outsourced refers to activities or personnel that are primarily contracted to a third party.</t>
  </si>
  <si>
    <t xml:space="preserve">Por favor seleccione la casilla “Interno” o “Subcontratado” dependiendo de si su organización realiza dicha actividad por sí misma a si está subcontratada. </t>
  </si>
  <si>
    <r>
      <t xml:space="preserve">S'il vous plaît cocher la boîte </t>
    </r>
    <r>
      <rPr>
        <u/>
        <sz val="9"/>
        <color rgb="FFC00000"/>
        <rFont val="Arial"/>
        <family val="2"/>
      </rPr>
      <t>internalisée</t>
    </r>
    <r>
      <rPr>
        <sz val="9"/>
        <color rgb="FFC00000"/>
        <rFont val="Arial"/>
        <family val="2"/>
      </rPr>
      <t xml:space="preserve"> OU </t>
    </r>
    <r>
      <rPr>
        <u/>
        <sz val="9"/>
        <color rgb="FFC00000"/>
        <rFont val="Arial"/>
        <family val="2"/>
      </rPr>
      <t>externalisée</t>
    </r>
    <r>
      <rPr>
        <sz val="9"/>
        <color rgb="FFC00000"/>
        <rFont val="Arial"/>
        <family val="2"/>
      </rPr>
      <t xml:space="preserve"> pour chaque activité et indiquer le numéro correspondant d'employés - le nombre de personnes physiques et équivalents temps plein. Les activités internalisée se réfèrent à des tâches gérées principalement par l'exploitant de l'aéroport. Les activités externalisé se réfèrent à des tâches qui sont principalement contractés à des tiers.</t>
    </r>
  </si>
  <si>
    <t>5.1 Total personnel employed by airport operator | Headcount</t>
  </si>
  <si>
    <t>5.1.11 Runway, taxiway, apron operations | Outsourced</t>
  </si>
  <si>
    <t>5.1.12 Other | Outsorced</t>
  </si>
  <si>
    <t>5.1.11 Runway, taxiway, apron operations |Insourced</t>
  </si>
  <si>
    <t>5.1.12 Other |Insourced</t>
  </si>
  <si>
    <t>5.1.11 Runway, taxiway, apron operations | Headcount</t>
  </si>
  <si>
    <t>5.1.12 Other | Headcount</t>
  </si>
  <si>
    <t>5.1.11 Runway, taxiway, apron operations | FTE</t>
  </si>
  <si>
    <t>5.1.12 Other | FTE</t>
  </si>
  <si>
    <t>6.1.2.1.1Duty Free concessions</t>
  </si>
  <si>
    <r>
      <t xml:space="preserve">End of 2012 </t>
    </r>
    <r>
      <rPr>
        <b/>
        <sz val="8"/>
        <color theme="1"/>
        <rFont val="Arial"/>
        <family val="2"/>
      </rPr>
      <t>(Financial Year)</t>
    </r>
  </si>
  <si>
    <r>
      <t xml:space="preserve">End of 2011 </t>
    </r>
    <r>
      <rPr>
        <b/>
        <sz val="8"/>
        <color theme="1"/>
        <rFont val="Arial"/>
        <family val="2"/>
      </rPr>
      <t>(Prev. fin. year)</t>
    </r>
  </si>
  <si>
    <t>En d'autres termes</t>
  </si>
  <si>
    <r>
      <t xml:space="preserve">Operating Surplus/Deficit (EBITDA)  </t>
    </r>
    <r>
      <rPr>
        <b/>
        <u/>
        <sz val="9"/>
        <color rgb="FF7030A0"/>
        <rFont val="Arial"/>
        <family val="2"/>
      </rPr>
      <t>8.1 - 8.2</t>
    </r>
  </si>
  <si>
    <r>
      <t xml:space="preserve">Net Profit / Loss  </t>
    </r>
    <r>
      <rPr>
        <b/>
        <u/>
        <sz val="9"/>
        <color rgb="FF7030A0"/>
        <rFont val="Arial"/>
        <family val="2"/>
      </rPr>
      <t>8.3-8.4-8.5</t>
    </r>
  </si>
  <si>
    <t>Redevances Aéronautiques - Résultat d'Exploitation</t>
  </si>
  <si>
    <r>
      <t xml:space="preserve">Total Dépenses d'Exploitation </t>
    </r>
    <r>
      <rPr>
        <b/>
        <sz val="8"/>
        <color rgb="FF7030A0"/>
        <rFont val="Arial"/>
        <family val="2"/>
      </rPr>
      <t>(somme 7.1.1 - 7.1.9)</t>
    </r>
  </si>
  <si>
    <t xml:space="preserve">Bénéfice/Déficit Net </t>
  </si>
  <si>
    <t>5.1.9</t>
  </si>
  <si>
    <r>
      <t xml:space="preserve">Airfield Operations &amp; Maintenance </t>
    </r>
    <r>
      <rPr>
        <i/>
        <sz val="8"/>
        <rFont val="Arial"/>
        <family val="2"/>
      </rPr>
      <t>(including fire fighting &amp; winter services)</t>
    </r>
  </si>
  <si>
    <t>Infrastructure de manutention au sol  (si additionnelle à 6.1.1.4)</t>
  </si>
  <si>
    <t>Zone aérienne (ex: côté piste)</t>
  </si>
  <si>
    <t>Zone terrestre (ex: côté ville)</t>
  </si>
  <si>
    <t xml:space="preserve">Zone aérienne </t>
  </si>
  <si>
    <t>Less Accumulated depreciation on fixed assets (9.1.2.1)</t>
  </si>
  <si>
    <t>Fixed assets (book value)</t>
  </si>
  <si>
    <t>Menos Amortización Acumulada del Inmovilizado (9.1.2.1)</t>
  </si>
  <si>
    <t>Minus Cumul des amortissements des immobilisations (9.1.2.1)</t>
  </si>
  <si>
    <t>Interest expenses</t>
  </si>
  <si>
    <t xml:space="preserve">Charges d'intérêts </t>
  </si>
  <si>
    <t xml:space="preserve">Gastos por intereses </t>
  </si>
  <si>
    <t xml:space="preserve"> are the fraction of each source of financing in the company’s target capital structure.</t>
  </si>
  <si>
    <t>return on a company’s common stock, preferred stock, and long-term debt, where the weights</t>
  </si>
  <si>
    <t>operating revenue.</t>
  </si>
  <si>
    <t>(i.e. flights that contain one or more international flight stages).</t>
  </si>
  <si>
    <t>(i.e. having exclusively domestic stages).</t>
  </si>
  <si>
    <t>and take-off of aircraft.</t>
  </si>
  <si>
    <t>continuing their journey.</t>
  </si>
  <si>
    <t>their air journey. Excludes passengers who remain onboard and are</t>
  </si>
  <si>
    <t>passengers at an airport, including passengers who are continuing</t>
  </si>
  <si>
    <t>contributions, capital distributions, extraordinary losses, and taxes.</t>
  </si>
  <si>
    <t>operations of the airport, such as interest charges, pension</t>
  </si>
  <si>
    <t>employee parking, hotel and ground transportation.</t>
  </si>
  <si>
    <t>food &amp; beverage, retail, and advertising, rental cars, public and</t>
  </si>
  <si>
    <t>revenues from land rental and non-terminal facilities, concessions for</t>
  </si>
  <si>
    <t xml:space="preserve"> that is not derived from the aeronautical use of the airport. Includes</t>
  </si>
  <si>
    <t>and depreciation.</t>
  </si>
  <si>
    <t>overhead costs. Excludes non-operating costs such as debt service</t>
  </si>
  <si>
    <t>claims, and settlements. Includes administrative costs and allocated</t>
  </si>
  <si>
    <t>promotion, supplies and materials, contractual services, insurance,</t>
  </si>
  <si>
    <t>and utilities, repairs and maintenance, marketing, advertising and</t>
  </si>
  <si>
    <t>the following: personnel compensation and benefits, communications</t>
  </si>
  <si>
    <t>airports.</t>
  </si>
  <si>
    <t>fees which are a significant source of aeronautical revenue at some</t>
  </si>
  <si>
    <t>imposed in lieu of passenger charges. Includes ground handling user</t>
  </si>
  <si>
    <t>fees, security charges, and in the U.S., terminal rental charges</t>
  </si>
  <si>
    <t>landing and takeoff fees, aircraft parking charges, passenger service</t>
  </si>
  <si>
    <t>after discounts and incentives. Includes charges such as aircraft</t>
  </si>
  <si>
    <t>uses by airlines, aircraft owners and FBOs, measured on a net basis</t>
  </si>
  <si>
    <t>extended period of time (usually more than one year).</t>
  </si>
  <si>
    <t xml:space="preserve">control services, Passenger security services, Concession services (shops, F&amp;B, etc.) and Runway, </t>
  </si>
  <si>
    <t xml:space="preserve">Rescue and fire service, Car parking services, Cleaning services, Maintenance services, Air traffic </t>
  </si>
  <si>
    <t xml:space="preserve">initiatives for new products, marketing, public relations and advertising campaigns; </t>
  </si>
  <si>
    <t xml:space="preserve">evaluating strategies and policies; providing advice to senior Managers; directing the development of </t>
  </si>
  <si>
    <t xml:space="preserve">establishing and directing operational and administrative procedures; implementing, monitoring and </t>
  </si>
  <si>
    <t xml:space="preserve">Tasks include formulating and administering policy advice, strategic and financial planning; </t>
  </si>
  <si>
    <t>and organizations, or of enterprises that provide such services to other enterprises and organizations.</t>
  </si>
  <si>
    <t xml:space="preserve">research and development, advertising, public relations, and sales and marketing activities of enterprises </t>
  </si>
  <si>
    <t xml:space="preserve">Plan, organize, direct, control and coordinate the financial, administrative, human resource, policy, planning, </t>
  </si>
  <si>
    <t>Administrative and commercial managers</t>
  </si>
  <si>
    <t>(k)  ensuring the organization complies with relevant legislation and regulations</t>
  </si>
  <si>
    <t>(j)   selecting, or approving the selection of senior staff;</t>
  </si>
  <si>
    <t xml:space="preserve">seminars, public hearings and forums; </t>
  </si>
  <si>
    <t xml:space="preserve">(i)  representing the organization at official occasions and board meetings, in negotiations, at conventions, </t>
  </si>
  <si>
    <t>(h)  consulting with senior subordinate staff and reviewing recommendations and reports;</t>
  </si>
  <si>
    <t>policies;</t>
  </si>
  <si>
    <t xml:space="preserve">(g)  monitoring and evaluating performance of the organization or enterprise against established objectives and </t>
  </si>
  <si>
    <t>(f)   authorising material, human and financial resources to implement organizational policies and programs;</t>
  </si>
  <si>
    <t>(e)  establishing and managing budgets, controlling expenditure and ensuring the efficient use of resources;</t>
  </si>
  <si>
    <t xml:space="preserve">(d)  providing overall leadership and management to the enterprise or organization; </t>
  </si>
  <si>
    <t>(c)  determining objectives, strategies, policies and programs for the enterprise or organization;</t>
  </si>
  <si>
    <t>and governing bodies;</t>
  </si>
  <si>
    <t xml:space="preserve">(b)  reviewing the operations and results of the enterprise, or organization and reporting to boards of directors </t>
  </si>
  <si>
    <t>(a)  planning, directing and coordinating the general functioning of an enterprise or organization;</t>
  </si>
  <si>
    <t>Tasks include -</t>
  </si>
  <si>
    <t>body to whom they are answerable for the operations undertaken and results.</t>
  </si>
  <si>
    <t xml:space="preserve">other managers, usually within guidelines established by a board of directors or a governing </t>
  </si>
  <si>
    <t xml:space="preserve">(except special interest organizations and government departments) with the support of </t>
  </si>
  <si>
    <t>direct coordinate and evaluate the overall activities of enterprises or organizations</t>
  </si>
  <si>
    <t>(excludes contracted services).</t>
  </si>
  <si>
    <t xml:space="preserve">replacement, preservation, modification or defect rectification of airport infrastructure </t>
  </si>
  <si>
    <t>clearways. Does not include fees for parking aircraft.</t>
  </si>
  <si>
    <t>use of runways, taxiways, landing strips, runway protection zones, and</t>
  </si>
  <si>
    <t>handling systems and infrastructure or similar.</t>
  </si>
  <si>
    <t xml:space="preserve">charged by the airport company for the use of baggage handling and cargo </t>
  </si>
  <si>
    <t xml:space="preserve">Excludes fuelling charges. Ground handling infrastructure are fees </t>
  </si>
  <si>
    <t xml:space="preserve">of baggage and freight, aircraft servicing (e.g. aircraft cleaning). </t>
  </si>
  <si>
    <t>handling services such as passenger check-in, loading and unloading</t>
  </si>
  <si>
    <t xml:space="preserve">Fees charged by the airport company for passenger and ground </t>
  </si>
  <si>
    <t>Ground handling</t>
  </si>
  <si>
    <t>typically counted separately.</t>
  </si>
  <si>
    <t>aircraft; smaller positions used for regional jets or turboprops are</t>
  </si>
  <si>
    <t>defined to include positions large enough for narrowbody or larger</t>
  </si>
  <si>
    <t>connected to the terminal by a loading bridge. Gates are typically</t>
  </si>
  <si>
    <t>are measured.</t>
  </si>
  <si>
    <t>measured in the same way that enplaning and deplaning passengers</t>
  </si>
  <si>
    <t>extend beyond a year and they are not intended for immediate sale.</t>
  </si>
  <si>
    <t xml:space="preserve">services for sale, rather than their sale value. The expected benefits of the asset usually </t>
  </si>
  <si>
    <t xml:space="preserve">into cash, the value of fixed assets to a company lies in their use in producing goods and </t>
  </si>
  <si>
    <t xml:space="preserve">operations of a business. Unlike current assets which are converted by successive steps </t>
  </si>
  <si>
    <t xml:space="preserve">tools and equipment of all kinds, trucks, furnishings and so on used in the day-to-day </t>
  </si>
  <si>
    <t>a particular debt instrument, or within a particular reporting period.</t>
  </si>
  <si>
    <t>typically one year or less.</t>
  </si>
  <si>
    <t>payable, or accrued liabilities—that are expected to be settled in the near future,</t>
  </si>
  <si>
    <t>into cash in the near future, typically one year or less.</t>
  </si>
  <si>
    <t>in 90 days or less.</t>
  </si>
  <si>
    <t>held in banks and similar accounts that can be used in payment of obligations.</t>
  </si>
  <si>
    <t xml:space="preserve">(e.g., petty cash and cash not yet deposited to the bank) and demand deposits </t>
  </si>
  <si>
    <t xml:space="preserve">that can be used in payment of obligations.In accounting contexts, cash on hand </t>
  </si>
  <si>
    <t xml:space="preserve">deposited to the bank) and demand deposits held in banks and similar accounts </t>
  </si>
  <si>
    <t>everything from repairing a roof to building a new terminal building or runway.</t>
  </si>
  <si>
    <t>or upgrade physical assets such as property, industrial buildings or equipment.</t>
  </si>
  <si>
    <t>two movements, measured over the course of a year.</t>
  </si>
  <si>
    <t>airport traffic purposes one arrival and one departure are counted as</t>
  </si>
  <si>
    <t>Available in English only</t>
  </si>
  <si>
    <t>Return on Invested Capital (ROIC) (%)</t>
  </si>
  <si>
    <r>
      <rPr>
        <b/>
        <sz val="10"/>
        <rFont val="Arial"/>
        <family val="2"/>
      </rPr>
      <t xml:space="preserve">Aircraft Movement </t>
    </r>
    <r>
      <rPr>
        <sz val="10"/>
        <color theme="1"/>
        <rFont val="Arial"/>
        <family val="2"/>
      </rPr>
      <t>– An aircraft take-off or landing at an airport. For</t>
    </r>
  </si>
  <si>
    <r>
      <t xml:space="preserve">Capital Expenditure - (CAPEX) – </t>
    </r>
    <r>
      <rPr>
        <sz val="10"/>
        <color theme="1"/>
        <rFont val="Arial"/>
        <family val="2"/>
      </rPr>
      <t xml:space="preserve">Funds used by a airport operator to acquire </t>
    </r>
  </si>
  <si>
    <r>
      <t xml:space="preserve">Cash – </t>
    </r>
    <r>
      <rPr>
        <sz val="10"/>
        <color theme="1"/>
        <rFont val="Arial"/>
        <family val="2"/>
      </rPr>
      <t xml:space="preserve">In accounting contexts, cash on hand (e.g., petty cash and cash not yet </t>
    </r>
  </si>
  <si>
    <r>
      <t xml:space="preserve">Cash equivalents  – </t>
    </r>
    <r>
      <rPr>
        <sz val="10"/>
        <color theme="1"/>
        <rFont val="Arial"/>
        <family val="2"/>
      </rPr>
      <t xml:space="preserve">Very liquid short-term investments, usually maturing </t>
    </r>
  </si>
  <si>
    <r>
      <t>Current assets –</t>
    </r>
    <r>
      <rPr>
        <sz val="10"/>
        <color theme="1"/>
        <rFont val="Arial"/>
        <family val="2"/>
      </rPr>
      <t xml:space="preserve"> Assets that are expected to be consumed or converted </t>
    </r>
  </si>
  <si>
    <r>
      <t xml:space="preserve">Current liabilities  </t>
    </r>
    <r>
      <rPr>
        <sz val="10"/>
        <color theme="1"/>
        <rFont val="Arial"/>
        <family val="2"/>
      </rPr>
      <t>Short-term obligations—such as accounts payable, wages</t>
    </r>
  </si>
  <si>
    <r>
      <rPr>
        <b/>
        <sz val="10"/>
        <rFont val="Arial"/>
        <family val="2"/>
      </rPr>
      <t xml:space="preserve">Debt Service </t>
    </r>
    <r>
      <rPr>
        <sz val="10"/>
        <color theme="1"/>
        <rFont val="Arial"/>
        <family val="2"/>
      </rPr>
      <t>– Principal plus interest paid or to be paid over the life of</t>
    </r>
  </si>
  <si>
    <r>
      <rPr>
        <b/>
        <sz val="10"/>
        <rFont val="Arial"/>
        <family val="2"/>
      </rPr>
      <t xml:space="preserve">Fixed Assets  – </t>
    </r>
    <r>
      <rPr>
        <sz val="10"/>
        <color theme="1"/>
        <rFont val="Arial"/>
        <family val="2"/>
      </rPr>
      <t>consist of land, buildings (e.g. runways, terminals, etc.), machinery,</t>
    </r>
  </si>
  <si>
    <r>
      <rPr>
        <b/>
        <sz val="10"/>
        <rFont val="Arial"/>
        <family val="2"/>
      </rPr>
      <t xml:space="preserve">Freight (or mail) </t>
    </r>
    <r>
      <rPr>
        <sz val="10"/>
        <color theme="1"/>
        <rFont val="Arial"/>
        <family val="2"/>
      </rPr>
      <t>– Freight or mail loaded or unloaded at the airport,</t>
    </r>
  </si>
  <si>
    <r>
      <rPr>
        <b/>
        <sz val="10"/>
        <rFont val="Arial"/>
        <family val="2"/>
      </rPr>
      <t xml:space="preserve">Gate </t>
    </r>
    <r>
      <rPr>
        <sz val="10"/>
        <color theme="1"/>
        <rFont val="Arial"/>
        <family val="2"/>
      </rPr>
      <t>– Aircraft parking position on the terminal ramp (apron) usually</t>
    </r>
  </si>
  <si>
    <r>
      <rPr>
        <b/>
        <sz val="10"/>
        <rFont val="Arial"/>
        <family val="2"/>
      </rPr>
      <t>Landing charges/fees</t>
    </r>
    <r>
      <rPr>
        <sz val="10"/>
        <color theme="1"/>
        <rFont val="Arial"/>
        <family val="2"/>
      </rPr>
      <t xml:space="preserve"> – Fees charged to aircraft owners and operators for the</t>
    </r>
  </si>
  <si>
    <r>
      <rPr>
        <b/>
        <sz val="10"/>
        <rFont val="Arial"/>
        <family val="2"/>
      </rPr>
      <t>Maintenance</t>
    </r>
    <r>
      <rPr>
        <sz val="10"/>
        <color theme="1"/>
        <rFont val="Arial"/>
        <family val="2"/>
      </rPr>
      <t xml:space="preserve"> refers to any one or combination of overhaul, repair, inspection, </t>
    </r>
  </si>
  <si>
    <r>
      <t xml:space="preserve">Managing directors and chief executives </t>
    </r>
    <r>
      <rPr>
        <sz val="10"/>
        <color theme="1"/>
        <rFont val="Arial"/>
        <family val="2"/>
      </rPr>
      <t xml:space="preserve">formulate and review the policies and plan, </t>
    </r>
  </si>
  <si>
    <r>
      <rPr>
        <b/>
        <i/>
        <u/>
        <sz val="10"/>
        <rFont val="Arial"/>
        <family val="2"/>
      </rPr>
      <t>Note:</t>
    </r>
    <r>
      <rPr>
        <sz val="10"/>
        <color theme="1"/>
        <rFont val="Arial"/>
        <family val="2"/>
      </rPr>
      <t xml:space="preserve"> </t>
    </r>
    <r>
      <rPr>
        <b/>
        <sz val="10"/>
        <rFont val="Arial"/>
        <family val="2"/>
      </rPr>
      <t>Management and supervisory positions for specialized functions</t>
    </r>
    <r>
      <rPr>
        <sz val="10"/>
        <color theme="1"/>
        <rFont val="Arial"/>
        <family val="2"/>
      </rPr>
      <t xml:space="preserve"> in </t>
    </r>
    <r>
      <rPr>
        <i/>
        <sz val="10"/>
        <rFont val="Arial"/>
        <family val="2"/>
      </rPr>
      <t xml:space="preserve">Ground handling services, </t>
    </r>
  </si>
  <si>
    <r>
      <rPr>
        <b/>
        <sz val="10"/>
        <rFont val="Arial"/>
        <family val="2"/>
      </rPr>
      <t>Noncurrent assets</t>
    </r>
    <r>
      <rPr>
        <sz val="10"/>
        <color theme="1"/>
        <rFont val="Arial"/>
        <family val="2"/>
      </rPr>
      <t xml:space="preserve"> –  Assets that are expected to benefit the company over an </t>
    </r>
  </si>
  <si>
    <r>
      <rPr>
        <b/>
        <sz val="10"/>
        <rFont val="Arial"/>
        <family val="2"/>
      </rPr>
      <t>Operating</t>
    </r>
    <r>
      <rPr>
        <sz val="10"/>
        <color theme="1"/>
        <rFont val="Arial"/>
        <family val="2"/>
      </rPr>
      <t xml:space="preserve"> a</t>
    </r>
    <r>
      <rPr>
        <b/>
        <sz val="10"/>
        <rFont val="Arial"/>
        <family val="2"/>
      </rPr>
      <t>eronautical revenue</t>
    </r>
    <r>
      <rPr>
        <sz val="10"/>
        <color theme="1"/>
        <rFont val="Arial"/>
        <family val="2"/>
      </rPr>
      <t xml:space="preserve"> – Airport income from aeronautical</t>
    </r>
  </si>
  <si>
    <r>
      <rPr>
        <b/>
        <sz val="10"/>
        <rFont val="Arial"/>
        <family val="2"/>
      </rPr>
      <t>Operating expenses</t>
    </r>
    <r>
      <rPr>
        <sz val="10"/>
        <color theme="1"/>
        <rFont val="Arial"/>
        <family val="2"/>
      </rPr>
      <t xml:space="preserve"> – Ordinary airport operating costs, including</t>
    </r>
  </si>
  <si>
    <r>
      <rPr>
        <b/>
        <sz val="10"/>
        <rFont val="Arial"/>
        <family val="2"/>
      </rPr>
      <t xml:space="preserve">Operating non-aeronautical revenue </t>
    </r>
    <r>
      <rPr>
        <sz val="10"/>
        <color theme="1"/>
        <rFont val="Arial"/>
        <family val="2"/>
      </rPr>
      <t>– Airport operating income</t>
    </r>
  </si>
  <si>
    <r>
      <rPr>
        <b/>
        <sz val="10"/>
        <rFont val="Arial"/>
        <family val="2"/>
      </rPr>
      <t xml:space="preserve">Non-operating expenses </t>
    </r>
    <r>
      <rPr>
        <sz val="10"/>
        <color theme="1"/>
        <rFont val="Arial"/>
        <family val="2"/>
      </rPr>
      <t>– Expenses for activities not relating to the core</t>
    </r>
  </si>
  <si>
    <r>
      <rPr>
        <b/>
        <sz val="10"/>
        <rFont val="Arial"/>
        <family val="2"/>
      </rPr>
      <t>Passengers</t>
    </r>
    <r>
      <rPr>
        <sz val="10"/>
        <color theme="1"/>
        <rFont val="Arial"/>
        <family val="2"/>
      </rPr>
      <t xml:space="preserve"> – Enplaning (embarking) and deplaning (disembarking)</t>
    </r>
  </si>
  <si>
    <r>
      <t xml:space="preserve">Return on invested capital (ROIC) – </t>
    </r>
    <r>
      <rPr>
        <sz val="10"/>
        <color theme="1"/>
        <rFont val="Arial"/>
        <family val="2"/>
      </rPr>
      <t xml:space="preserve">The after-tax net operating profits </t>
    </r>
  </si>
  <si>
    <r>
      <rPr>
        <b/>
        <sz val="10"/>
        <rFont val="Arial"/>
        <family val="2"/>
      </rPr>
      <t>Runway</t>
    </r>
    <r>
      <rPr>
        <sz val="10"/>
        <color theme="1"/>
        <rFont val="Arial"/>
        <family val="2"/>
      </rPr>
      <t xml:space="preserve"> - a defined rectangular area on a land aerodrome prepared for the landing </t>
    </r>
  </si>
  <si>
    <r>
      <rPr>
        <b/>
        <sz val="10"/>
        <rFont val="Arial"/>
        <family val="2"/>
      </rPr>
      <t>Terminal</t>
    </r>
    <r>
      <rPr>
        <sz val="10"/>
        <color theme="1"/>
        <rFont val="Arial"/>
        <family val="2"/>
      </rPr>
      <t xml:space="preserve"> - the part of an aerodrome used for embarking or disembarking passengers or cargo.</t>
    </r>
  </si>
  <si>
    <r>
      <rPr>
        <b/>
        <sz val="10"/>
        <rFont val="Arial"/>
        <family val="2"/>
      </rPr>
      <t>Domestic:</t>
    </r>
    <r>
      <rPr>
        <sz val="10"/>
        <color theme="1"/>
        <rFont val="Arial"/>
        <family val="2"/>
      </rPr>
      <t xml:space="preserve"> terminal used primarily for domestic flights </t>
    </r>
  </si>
  <si>
    <r>
      <rPr>
        <b/>
        <sz val="10"/>
        <rFont val="Arial"/>
        <family val="2"/>
      </rPr>
      <t xml:space="preserve">International: </t>
    </r>
    <r>
      <rPr>
        <sz val="10"/>
        <color theme="1"/>
        <rFont val="Arial"/>
        <family val="2"/>
      </rPr>
      <t xml:space="preserve">terminal used primarily for international flights </t>
    </r>
  </si>
  <si>
    <r>
      <rPr>
        <b/>
        <sz val="10"/>
        <rFont val="Arial"/>
        <family val="2"/>
      </rPr>
      <t>Total Operating Revenue</t>
    </r>
    <r>
      <rPr>
        <sz val="10"/>
        <color theme="1"/>
        <rFont val="Arial"/>
        <family val="2"/>
      </rPr>
      <t xml:space="preserve"> – The sum of Aeronautical and Nonaeronautical</t>
    </r>
  </si>
  <si>
    <r>
      <rPr>
        <b/>
        <sz val="10"/>
        <rFont val="Arial"/>
        <family val="2"/>
      </rPr>
      <t xml:space="preserve">Weighted-average cost of capital </t>
    </r>
    <r>
      <rPr>
        <sz val="10"/>
        <color theme="1"/>
        <rFont val="Arial"/>
        <family val="2"/>
      </rPr>
      <t xml:space="preserve">– A weighted average of the after-tax required rates of </t>
    </r>
  </si>
  <si>
    <r>
      <t xml:space="preserve">Return on capital employed (ROCE) – </t>
    </r>
    <r>
      <rPr>
        <sz val="10"/>
        <rFont val="Arial"/>
        <family val="2"/>
      </rPr>
      <t>Operating surplus (EBIDTA)</t>
    </r>
  </si>
  <si>
    <r>
      <rPr>
        <i/>
        <sz val="10"/>
        <rFont val="Arial"/>
        <family val="2"/>
      </rPr>
      <t>taxiway, apron operations</t>
    </r>
    <r>
      <rPr>
        <sz val="10"/>
        <rFont val="Arial"/>
        <family val="2"/>
      </rPr>
      <t xml:space="preserve"> </t>
    </r>
    <r>
      <rPr>
        <b/>
        <u/>
        <sz val="10"/>
        <rFont val="Arial"/>
        <family val="2"/>
      </rPr>
      <t>should be recorded under items 5.1.2 to 5.1.11</t>
    </r>
  </si>
  <si>
    <t>as a percent of (Total assets - Current liabilities).</t>
  </si>
  <si>
    <t>as a percent of total assets.</t>
  </si>
  <si>
    <t>This type of outlay is made by companies to maintain or increase the scope of their</t>
  </si>
  <si>
    <t xml:space="preserve">operations and allocated for specific time period. These expenditures can include </t>
  </si>
  <si>
    <r>
      <t xml:space="preserve">Nous vous prions de soumettre le questionnaire dûment rempli avant le </t>
    </r>
    <r>
      <rPr>
        <b/>
        <u/>
        <sz val="11"/>
        <color theme="1"/>
        <rFont val="Arial"/>
        <family val="2"/>
      </rPr>
      <t>30 Août 2013</t>
    </r>
    <r>
      <rPr>
        <sz val="11"/>
        <color theme="1"/>
        <rFont val="Arial"/>
        <family val="2"/>
      </rPr>
      <t xml:space="preserve"> à l'adresse de:</t>
    </r>
  </si>
  <si>
    <r>
      <t xml:space="preserve">Por favor, envíe el cuestionario completo antes del </t>
    </r>
    <r>
      <rPr>
        <b/>
        <u/>
        <sz val="11"/>
        <color theme="1"/>
        <rFont val="Arial"/>
        <family val="2"/>
      </rPr>
      <t>30 de agosto de 2013</t>
    </r>
    <r>
      <rPr>
        <sz val="11"/>
        <color theme="1"/>
        <rFont val="Arial"/>
        <family val="2"/>
      </rPr>
      <t xml:space="preserve"> a:</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</si>
</sst>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0.0_-;\-* #,##0.0_-;_-* &quot;-&quot;??_-;_-@_-"/>
    <numFmt numFmtId="165" formatCode="#,##0.000"/>
    <numFmt numFmtId="166" formatCode="\(##\)\(###\)\ ###\-####"/>
  </numFmts>
  <fonts count="87" x14ac:knownFonts="1">
    <font>
      <sz val="11"/>
      <color theme="1"/>
      <name val="Calibri"/>
      <family val="2"/>
      <scheme val="minor"/>
    </font>
    <font>
      <sz val="11"/>
      <color theme="1"/>
      <name val="Calibri"/>
      <family val="2"/>
      <scheme val="minor"/>
    </font>
    <font>
      <sz val="9"/>
      <name val="Arial"/>
      <family val="2"/>
    </font>
    <font>
      <sz val="9"/>
      <color indexed="81"/>
      <name val="Tahoma"/>
      <family val="2"/>
    </font>
    <font>
      <b/>
      <sz val="9"/>
      <color indexed="81"/>
      <name val="Tahoma"/>
      <family val="2"/>
    </font>
    <font>
      <sz val="10"/>
      <color theme="1"/>
      <name val="Calibri"/>
      <family val="2"/>
      <scheme val="minor"/>
    </font>
    <font>
      <b/>
      <sz val="12"/>
      <name val="Arial"/>
      <family val="2"/>
    </font>
    <font>
      <sz val="9"/>
      <color indexed="18"/>
      <name val="Arial"/>
      <family val="2"/>
    </font>
    <font>
      <i/>
      <sz val="8"/>
      <name val="Arial"/>
      <family val="2"/>
    </font>
    <font>
      <sz val="11"/>
      <name val="Calibri"/>
      <family val="2"/>
      <scheme val="minor"/>
    </font>
    <font>
      <sz val="8"/>
      <name val="Arial"/>
      <family val="2"/>
    </font>
    <font>
      <b/>
      <sz val="9"/>
      <name val="Arial"/>
      <family val="2"/>
    </font>
    <font>
      <b/>
      <sz val="8"/>
      <name val="Arial"/>
      <family val="2"/>
    </font>
    <font>
      <b/>
      <sz val="11"/>
      <color rgb="FF7030A0"/>
      <name val="Arial"/>
      <family val="2"/>
    </font>
    <font>
      <sz val="8"/>
      <color theme="1"/>
      <name val="Arial"/>
      <family val="2"/>
    </font>
    <font>
      <b/>
      <u/>
      <sz val="11"/>
      <color rgb="FF7030A0"/>
      <name val="Arial"/>
      <family val="2"/>
    </font>
    <font>
      <b/>
      <sz val="10"/>
      <color rgb="FF7030A0"/>
      <name val="Arial"/>
      <family val="2"/>
    </font>
    <font>
      <b/>
      <sz val="11"/>
      <name val="Arial"/>
      <family val="2"/>
    </font>
    <font>
      <sz val="11"/>
      <color theme="1"/>
      <name val="Arial"/>
      <family val="2"/>
    </font>
    <font>
      <sz val="11"/>
      <color indexed="18"/>
      <name val="Arial"/>
      <family val="2"/>
    </font>
    <font>
      <sz val="11"/>
      <name val="Arial"/>
      <family val="2"/>
    </font>
    <font>
      <sz val="9"/>
      <color theme="1"/>
      <name val="Arial"/>
      <family val="2"/>
    </font>
    <font>
      <b/>
      <sz val="11"/>
      <color theme="1"/>
      <name val="Arial"/>
      <family val="2"/>
    </font>
    <font>
      <sz val="10"/>
      <color theme="1"/>
      <name val="Arial"/>
      <family val="2"/>
    </font>
    <font>
      <sz val="10"/>
      <color indexed="30"/>
      <name val="Arial"/>
      <family val="2"/>
    </font>
    <font>
      <sz val="10"/>
      <name val="Arial"/>
      <family val="2"/>
    </font>
    <font>
      <i/>
      <sz val="10"/>
      <name val="Arial"/>
      <family val="2"/>
    </font>
    <font>
      <b/>
      <sz val="12"/>
      <color rgb="FF7030A0"/>
      <name val="Arial"/>
      <family val="2"/>
    </font>
    <font>
      <b/>
      <sz val="10"/>
      <name val="Arial"/>
      <family val="2"/>
    </font>
    <font>
      <b/>
      <sz val="10"/>
      <color theme="1"/>
      <name val="Arial"/>
      <family val="2"/>
    </font>
    <font>
      <b/>
      <sz val="10"/>
      <color indexed="18"/>
      <name val="Arial"/>
      <family val="2"/>
    </font>
    <font>
      <b/>
      <sz val="9"/>
      <color rgb="FF7030A0"/>
      <name val="Arial"/>
      <family val="2"/>
    </font>
    <font>
      <sz val="28"/>
      <color rgb="FF002060"/>
      <name val="Arial"/>
      <family val="2"/>
    </font>
    <font>
      <sz val="11"/>
      <color theme="0"/>
      <name val="Arial"/>
      <family val="2"/>
    </font>
    <font>
      <b/>
      <sz val="11"/>
      <color theme="0"/>
      <name val="Arial"/>
      <family val="2"/>
    </font>
    <font>
      <b/>
      <u/>
      <sz val="11"/>
      <color theme="1"/>
      <name val="Arial"/>
      <family val="2"/>
    </font>
    <font>
      <sz val="8"/>
      <color indexed="18"/>
      <name val="Arial"/>
      <family val="2"/>
    </font>
    <font>
      <b/>
      <u/>
      <sz val="8"/>
      <name val="Arial"/>
      <family val="2"/>
    </font>
    <font>
      <sz val="11"/>
      <color theme="1"/>
      <name val="Calibri"/>
      <family val="2"/>
    </font>
    <font>
      <u/>
      <sz val="11"/>
      <color theme="10"/>
      <name val="Calibri"/>
      <family val="2"/>
      <scheme val="minor"/>
    </font>
    <font>
      <b/>
      <sz val="11"/>
      <color rgb="FFFF0000"/>
      <name val="Arial"/>
      <family val="2"/>
    </font>
    <font>
      <b/>
      <sz val="11"/>
      <color rgb="FFFF0000"/>
      <name val="Calibri"/>
      <family val="2"/>
      <scheme val="minor"/>
    </font>
    <font>
      <sz val="11"/>
      <color rgb="FFFF0000"/>
      <name val="Arial"/>
      <family val="2"/>
    </font>
    <font>
      <sz val="9"/>
      <color rgb="FFC00000"/>
      <name val="Arial"/>
      <family val="2"/>
    </font>
    <font>
      <i/>
      <sz val="9"/>
      <name val="Arial"/>
      <family val="2"/>
    </font>
    <font>
      <u/>
      <sz val="9"/>
      <name val="Arial"/>
      <family val="2"/>
    </font>
    <font>
      <b/>
      <i/>
      <sz val="11"/>
      <name val="Arial"/>
      <family val="2"/>
    </font>
    <font>
      <b/>
      <sz val="11"/>
      <color theme="1"/>
      <name val="Calibri"/>
      <family val="2"/>
      <scheme val="minor"/>
    </font>
    <font>
      <b/>
      <i/>
      <sz val="11"/>
      <color rgb="FF7030A0"/>
      <name val="Arial"/>
      <family val="2"/>
    </font>
    <font>
      <b/>
      <i/>
      <sz val="8"/>
      <color indexed="18"/>
      <name val="Arial"/>
      <family val="2"/>
    </font>
    <font>
      <b/>
      <i/>
      <sz val="9"/>
      <color rgb="FF7030A0"/>
      <name val="Arial"/>
      <family val="2"/>
    </font>
    <font>
      <b/>
      <i/>
      <sz val="8"/>
      <color rgb="FF7030A0"/>
      <name val="Arial"/>
      <family val="2"/>
    </font>
    <font>
      <sz val="11"/>
      <color theme="10"/>
      <name val="Calibri"/>
      <family val="2"/>
      <scheme val="minor"/>
    </font>
    <font>
      <b/>
      <sz val="8"/>
      <color theme="1"/>
      <name val="Arial"/>
      <family val="2"/>
    </font>
    <font>
      <sz val="9"/>
      <color theme="1"/>
      <name val="Calibri"/>
      <family val="2"/>
      <scheme val="minor"/>
    </font>
    <font>
      <b/>
      <sz val="9"/>
      <color indexed="18"/>
      <name val="Arial"/>
      <family val="2"/>
    </font>
    <font>
      <b/>
      <sz val="8"/>
      <color indexed="18"/>
      <name val="Arial"/>
      <family val="2"/>
    </font>
    <font>
      <i/>
      <sz val="10"/>
      <name val="Calibri"/>
      <family val="2"/>
      <scheme val="minor"/>
    </font>
    <font>
      <b/>
      <u/>
      <sz val="16"/>
      <color theme="10"/>
      <name val="Calibri"/>
      <family val="2"/>
      <scheme val="minor"/>
    </font>
    <font>
      <sz val="7"/>
      <color theme="1"/>
      <name val="Arial"/>
      <family val="2"/>
    </font>
    <font>
      <b/>
      <sz val="7"/>
      <color theme="1"/>
      <name val="Arial"/>
      <family val="2"/>
    </font>
    <font>
      <sz val="11"/>
      <color rgb="FF7030A0"/>
      <name val="Arial"/>
      <family val="2"/>
    </font>
    <font>
      <sz val="11"/>
      <color theme="3"/>
      <name val="Arial"/>
      <family val="2"/>
    </font>
    <font>
      <i/>
      <sz val="8"/>
      <color theme="1"/>
      <name val="Arial"/>
      <family val="2"/>
    </font>
    <font>
      <b/>
      <i/>
      <sz val="7"/>
      <color rgb="FF7030A0"/>
      <name val="Arial"/>
      <family val="2"/>
    </font>
    <font>
      <sz val="7"/>
      <name val="Arial"/>
      <family val="2"/>
    </font>
    <font>
      <i/>
      <sz val="7"/>
      <name val="Arial"/>
      <family val="2"/>
    </font>
    <font>
      <b/>
      <sz val="9"/>
      <color theme="1"/>
      <name val="Arial"/>
      <family val="2"/>
    </font>
    <font>
      <b/>
      <sz val="18"/>
      <color theme="1"/>
      <name val="Calibri"/>
      <family val="2"/>
      <scheme val="minor"/>
    </font>
    <font>
      <b/>
      <sz val="8"/>
      <color theme="1"/>
      <name val="Calibri"/>
      <family val="2"/>
      <scheme val="minor"/>
    </font>
    <font>
      <b/>
      <i/>
      <sz val="8"/>
      <name val="Arial"/>
      <family val="2"/>
    </font>
    <font>
      <sz val="9"/>
      <color rgb="FFC00000"/>
      <name val="Calibri"/>
      <family val="2"/>
      <scheme val="minor"/>
    </font>
    <font>
      <u/>
      <sz val="9"/>
      <color rgb="FFC00000"/>
      <name val="Arial"/>
      <family val="2"/>
    </font>
    <font>
      <b/>
      <sz val="8"/>
      <color rgb="FFFF0000"/>
      <name val="Arial"/>
      <family val="2"/>
    </font>
    <font>
      <sz val="10"/>
      <color theme="0"/>
      <name val="Arial"/>
      <family val="2"/>
    </font>
    <font>
      <b/>
      <sz val="18"/>
      <name val="Calibri"/>
      <family val="2"/>
      <scheme val="minor"/>
    </font>
    <font>
      <b/>
      <sz val="8"/>
      <color rgb="FFC00000"/>
      <name val="Arial"/>
      <family val="2"/>
    </font>
    <font>
      <b/>
      <u/>
      <sz val="9"/>
      <color rgb="FF7030A0"/>
      <name val="Arial"/>
      <family val="2"/>
    </font>
    <font>
      <b/>
      <sz val="8"/>
      <color rgb="FF7030A0"/>
      <name val="Arial"/>
      <family val="2"/>
    </font>
    <font>
      <b/>
      <u/>
      <sz val="10"/>
      <name val="Arial"/>
      <family val="2"/>
    </font>
    <font>
      <b/>
      <i/>
      <u/>
      <sz val="10"/>
      <name val="Arial"/>
      <family val="2"/>
    </font>
    <font>
      <b/>
      <i/>
      <sz val="10"/>
      <name val="Arial"/>
      <family val="2"/>
    </font>
    <font>
      <sz val="10"/>
      <color rgb="FF111111"/>
      <name val="Arial"/>
      <family val="2"/>
    </font>
    <font>
      <sz val="16"/>
      <color rgb="FF362F2D"/>
      <name val="Georgia"/>
      <family val="1"/>
    </font>
    <font>
      <sz val="8.1"/>
      <color rgb="FF000000"/>
      <name val="Arial"/>
      <family val="2"/>
    </font>
    <font>
      <b/>
      <sz val="8.1"/>
      <color rgb="FF000000"/>
      <name val="Arial"/>
      <family val="2"/>
    </font>
    <font>
      <b/>
      <i/>
      <sz val="12"/>
      <name val="Arial"/>
      <family val="2"/>
    </font>
  </fonts>
  <fills count="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3F8FF"/>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0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theme="4" tint="-0.24994659260841701"/>
      </left>
      <right/>
      <top style="thick">
        <color theme="4" tint="-0.24994659260841701"/>
      </top>
      <bottom/>
      <diagonal/>
    </border>
    <border>
      <left/>
      <right/>
      <top style="thick">
        <color theme="4" tint="-0.24994659260841701"/>
      </top>
      <bottom/>
      <diagonal/>
    </border>
    <border>
      <left/>
      <right style="thick">
        <color theme="4" tint="-0.24994659260841701"/>
      </right>
      <top style="thick">
        <color theme="4" tint="-0.24994659260841701"/>
      </top>
      <bottom/>
      <diagonal/>
    </border>
    <border>
      <left style="thick">
        <color theme="4" tint="-0.24994659260841701"/>
      </left>
      <right/>
      <top/>
      <bottom/>
      <diagonal/>
    </border>
    <border>
      <left/>
      <right style="thick">
        <color theme="4" tint="-0.24994659260841701"/>
      </right>
      <top/>
      <bottom/>
      <diagonal/>
    </border>
    <border>
      <left style="thick">
        <color theme="4" tint="-0.24994659260841701"/>
      </left>
      <right/>
      <top/>
      <bottom style="thick">
        <color theme="4" tint="-0.24994659260841701"/>
      </bottom>
      <diagonal/>
    </border>
    <border>
      <left/>
      <right/>
      <top/>
      <bottom style="thick">
        <color theme="4" tint="-0.24994659260841701"/>
      </bottom>
      <diagonal/>
    </border>
    <border>
      <left/>
      <right style="thick">
        <color theme="4" tint="-0.24994659260841701"/>
      </right>
      <top/>
      <bottom style="thick">
        <color theme="4" tint="-0.2499465926084170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bottom/>
      <diagonal/>
    </border>
    <border>
      <left style="double">
        <color indexed="64"/>
      </left>
      <right/>
      <top/>
      <bottom/>
      <diagonal/>
    </border>
    <border>
      <left style="double">
        <color indexed="64"/>
      </left>
      <right/>
      <top style="medium">
        <color indexed="64"/>
      </top>
      <bottom style="medium">
        <color indexed="64"/>
      </bottom>
      <diagonal/>
    </border>
    <border>
      <left/>
      <right/>
      <top style="thin">
        <color indexed="64"/>
      </top>
      <bottom style="thick">
        <color theme="4" tint="-0.24994659260841701"/>
      </bottom>
      <diagonal/>
    </border>
    <border>
      <left/>
      <right/>
      <top style="medium">
        <color indexed="64"/>
      </top>
      <bottom/>
      <diagonal/>
    </border>
    <border>
      <left/>
      <right/>
      <top style="thin">
        <color indexed="64"/>
      </top>
      <bottom style="medium">
        <color indexed="64"/>
      </bottom>
      <diagonal/>
    </border>
    <border>
      <left/>
      <right/>
      <top style="double">
        <color indexed="64"/>
      </top>
      <bottom style="medium">
        <color indexed="64"/>
      </bottom>
      <diagonal/>
    </border>
    <border>
      <left/>
      <right/>
      <top style="medium">
        <color indexed="64"/>
      </top>
      <bottom style="thin">
        <color indexed="64"/>
      </bottom>
      <diagonal/>
    </border>
    <border>
      <left/>
      <right/>
      <top style="thick">
        <color auto="1"/>
      </top>
      <bottom/>
      <diagonal/>
    </border>
    <border>
      <left/>
      <right/>
      <top/>
      <bottom style="double">
        <color indexed="64"/>
      </bottom>
      <diagonal/>
    </border>
  </borders>
  <cellStyleXfs count="14">
    <xf numFmtId="0" fontId="0" fillId="0" borderId="0"/>
    <xf numFmtId="43" fontId="1" fillId="0" borderId="0" applyFont="0" applyFill="0" applyBorder="0" applyAlignment="0" applyProtection="0"/>
    <xf numFmtId="0" fontId="2" fillId="0" borderId="0"/>
    <xf numFmtId="0" fontId="39" fillId="0" borderId="0" applyNumberFormat="0" applyFill="0" applyBorder="0" applyAlignment="0" applyProtection="0"/>
    <xf numFmtId="0" fontId="25" fillId="0" borderId="0"/>
    <xf numFmtId="43" fontId="25" fillId="0" borderId="0" applyFont="0" applyFill="0" applyBorder="0" applyAlignment="0" applyProtection="0"/>
    <xf numFmtId="0" fontId="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644">
    <xf numFmtId="0" fontId="0" fillId="0" borderId="0" xfId="0"/>
    <xf numFmtId="3" fontId="18" fillId="2" borderId="0" xfId="0" applyNumberFormat="1" applyFont="1" applyFill="1"/>
    <xf numFmtId="3" fontId="18" fillId="4" borderId="13" xfId="0" applyNumberFormat="1" applyFont="1" applyFill="1" applyBorder="1"/>
    <xf numFmtId="3" fontId="18" fillId="4" borderId="14" xfId="0" applyNumberFormat="1" applyFont="1" applyFill="1" applyBorder="1"/>
    <xf numFmtId="3" fontId="18" fillId="4" borderId="16" xfId="0" applyNumberFormat="1" applyFont="1" applyFill="1" applyBorder="1"/>
    <xf numFmtId="3" fontId="18" fillId="4" borderId="0" xfId="0" applyNumberFormat="1" applyFont="1" applyFill="1" applyBorder="1"/>
    <xf numFmtId="3" fontId="18" fillId="4" borderId="17" xfId="0" applyNumberFormat="1" applyFont="1" applyFill="1" applyBorder="1"/>
    <xf numFmtId="3" fontId="14" fillId="4" borderId="16" xfId="0" applyNumberFormat="1" applyFont="1" applyFill="1" applyBorder="1"/>
    <xf numFmtId="3" fontId="37" fillId="4" borderId="0" xfId="0" applyNumberFormat="1" applyFont="1" applyFill="1" applyBorder="1"/>
    <xf numFmtId="3" fontId="36" fillId="4" borderId="0" xfId="2" applyNumberFormat="1" applyFont="1" applyFill="1" applyBorder="1" applyAlignment="1">
      <alignment vertical="center"/>
    </xf>
    <xf numFmtId="3" fontId="14" fillId="4" borderId="0" xfId="0" applyNumberFormat="1" applyFont="1" applyFill="1" applyBorder="1"/>
    <xf numFmtId="3" fontId="10" fillId="4" borderId="0" xfId="0" applyNumberFormat="1" applyFont="1" applyFill="1" applyBorder="1"/>
    <xf numFmtId="3" fontId="38" fillId="4" borderId="0" xfId="0" applyNumberFormat="1" applyFont="1" applyFill="1" applyBorder="1" applyAlignment="1">
      <alignment horizontal="right"/>
    </xf>
    <xf numFmtId="3" fontId="10" fillId="4" borderId="0" xfId="0" applyNumberFormat="1" applyFont="1" applyFill="1" applyBorder="1" applyAlignment="1">
      <alignment horizontal="left"/>
    </xf>
    <xf numFmtId="3" fontId="14" fillId="4" borderId="18" xfId="0" applyNumberFormat="1" applyFont="1" applyFill="1" applyBorder="1"/>
    <xf numFmtId="3" fontId="14" fillId="4" borderId="19" xfId="0" applyNumberFormat="1" applyFont="1" applyFill="1" applyBorder="1"/>
    <xf numFmtId="3" fontId="18" fillId="4" borderId="19" xfId="0" applyNumberFormat="1" applyFont="1" applyFill="1" applyBorder="1"/>
    <xf numFmtId="3" fontId="18" fillId="4" borderId="20" xfId="0" applyNumberFormat="1" applyFont="1" applyFill="1" applyBorder="1"/>
    <xf numFmtId="3" fontId="18" fillId="2" borderId="0" xfId="0" applyNumberFormat="1" applyFont="1" applyFill="1" applyBorder="1"/>
    <xf numFmtId="3" fontId="18" fillId="4" borderId="15" xfId="0" applyNumberFormat="1" applyFont="1" applyFill="1" applyBorder="1"/>
    <xf numFmtId="3" fontId="6" fillId="4" borderId="0" xfId="0" applyNumberFormat="1" applyFont="1" applyFill="1" applyBorder="1"/>
    <xf numFmtId="3" fontId="19" fillId="4" borderId="0" xfId="2" applyNumberFormat="1" applyFont="1" applyFill="1" applyBorder="1" applyAlignment="1">
      <alignment vertical="center"/>
    </xf>
    <xf numFmtId="3" fontId="23" fillId="4" borderId="0" xfId="0" applyNumberFormat="1" applyFont="1" applyFill="1" applyBorder="1"/>
    <xf numFmtId="3" fontId="24" fillId="4" borderId="0" xfId="2" applyNumberFormat="1" applyFont="1" applyFill="1" applyBorder="1" applyAlignment="1">
      <alignment vertical="center"/>
    </xf>
    <xf numFmtId="3" fontId="23" fillId="4" borderId="0" xfId="0" applyNumberFormat="1" applyFont="1" applyFill="1" applyBorder="1" applyAlignment="1">
      <alignment vertical="center"/>
    </xf>
    <xf numFmtId="3" fontId="25" fillId="4" borderId="0" xfId="2" applyNumberFormat="1" applyFont="1" applyFill="1" applyBorder="1" applyAlignment="1">
      <alignment vertical="center"/>
    </xf>
    <xf numFmtId="3" fontId="26" fillId="4" borderId="0" xfId="0" applyNumberFormat="1" applyFont="1" applyFill="1" applyBorder="1" applyAlignment="1">
      <alignment vertical="center"/>
    </xf>
    <xf numFmtId="3" fontId="18" fillId="4" borderId="18" xfId="0" applyNumberFormat="1" applyFont="1" applyFill="1" applyBorder="1"/>
    <xf numFmtId="3" fontId="20" fillId="4" borderId="16" xfId="0" applyNumberFormat="1" applyFont="1" applyFill="1" applyBorder="1"/>
    <xf numFmtId="3" fontId="20" fillId="4" borderId="0" xfId="2" applyNumberFormat="1" applyFont="1" applyFill="1" applyBorder="1" applyAlignment="1">
      <alignment vertical="center"/>
    </xf>
    <xf numFmtId="3" fontId="18" fillId="4" borderId="0" xfId="0" applyNumberFormat="1" applyFont="1" applyFill="1"/>
    <xf numFmtId="3" fontId="28" fillId="4" borderId="0" xfId="0" applyNumberFormat="1" applyFont="1" applyFill="1" applyBorder="1" applyAlignment="1">
      <alignment vertical="center"/>
    </xf>
    <xf numFmtId="3" fontId="25" fillId="4" borderId="0" xfId="0" applyNumberFormat="1" applyFont="1" applyFill="1" applyBorder="1" applyAlignment="1"/>
    <xf numFmtId="3" fontId="10" fillId="4" borderId="0" xfId="0" applyNumberFormat="1" applyFont="1" applyFill="1" applyBorder="1" applyAlignment="1">
      <alignment horizontal="left" vertical="center"/>
    </xf>
    <xf numFmtId="3" fontId="23" fillId="4" borderId="0" xfId="0" applyNumberFormat="1" applyFont="1" applyFill="1"/>
    <xf numFmtId="3" fontId="23" fillId="4" borderId="0" xfId="0" applyNumberFormat="1" applyFont="1" applyFill="1" applyBorder="1" applyAlignment="1" applyProtection="1">
      <alignment horizontal="center" wrapText="1"/>
      <protection locked="0"/>
    </xf>
    <xf numFmtId="3" fontId="23" fillId="4" borderId="0" xfId="0" applyNumberFormat="1" applyFont="1" applyFill="1" applyBorder="1" applyAlignment="1" applyProtection="1">
      <alignment horizontal="left"/>
      <protection locked="0"/>
    </xf>
    <xf numFmtId="3" fontId="23" fillId="4" borderId="0" xfId="0" applyNumberFormat="1" applyFont="1" applyFill="1" applyBorder="1" applyAlignment="1" applyProtection="1">
      <alignment horizontal="center"/>
      <protection locked="0"/>
    </xf>
    <xf numFmtId="3" fontId="21" fillId="4" borderId="0" xfId="0" applyNumberFormat="1" applyFont="1" applyFill="1" applyBorder="1" applyAlignment="1" applyProtection="1">
      <alignment horizontal="center"/>
      <protection locked="0"/>
    </xf>
    <xf numFmtId="3" fontId="14" fillId="4" borderId="0" xfId="0" applyNumberFormat="1" applyFont="1" applyFill="1" applyBorder="1" applyAlignment="1" applyProtection="1">
      <alignment horizontal="center" wrapText="1"/>
      <protection locked="0"/>
    </xf>
    <xf numFmtId="3" fontId="20" fillId="4" borderId="0" xfId="0" applyNumberFormat="1" applyFont="1" applyFill="1" applyBorder="1" applyAlignment="1">
      <alignment vertical="center"/>
    </xf>
    <xf numFmtId="3" fontId="10" fillId="4" borderId="0" xfId="0" applyNumberFormat="1" applyFont="1" applyFill="1" applyBorder="1" applyAlignment="1">
      <alignment vertical="center"/>
    </xf>
    <xf numFmtId="3" fontId="8" fillId="4" borderId="0" xfId="0" applyNumberFormat="1" applyFont="1" applyFill="1" applyBorder="1" applyAlignment="1"/>
    <xf numFmtId="3" fontId="10" fillId="4" borderId="0" xfId="0" applyNumberFormat="1" applyFont="1" applyFill="1" applyBorder="1" applyAlignment="1">
      <alignment horizontal="center" vertical="center"/>
    </xf>
    <xf numFmtId="3" fontId="42" fillId="4" borderId="16" xfId="0" applyNumberFormat="1" applyFont="1" applyFill="1" applyBorder="1"/>
    <xf numFmtId="3" fontId="42" fillId="4" borderId="0" xfId="0" applyNumberFormat="1" applyFont="1" applyFill="1" applyBorder="1" applyAlignment="1"/>
    <xf numFmtId="3" fontId="42" fillId="4" borderId="17" xfId="0" applyNumberFormat="1" applyFont="1" applyFill="1" applyBorder="1"/>
    <xf numFmtId="3" fontId="42" fillId="2" borderId="0" xfId="0" applyNumberFormat="1" applyFont="1" applyFill="1"/>
    <xf numFmtId="3" fontId="10" fillId="4" borderId="0" xfId="0" applyNumberFormat="1" applyFont="1" applyFill="1" applyBorder="1" applyAlignment="1">
      <alignment horizontal="right" vertical="center"/>
    </xf>
    <xf numFmtId="3" fontId="25" fillId="4" borderId="0" xfId="0" applyNumberFormat="1" applyFont="1" applyFill="1" applyBorder="1" applyAlignment="1">
      <alignment horizontal="left" indent="1"/>
    </xf>
    <xf numFmtId="3" fontId="17" fillId="4" borderId="0" xfId="0" applyNumberFormat="1" applyFont="1" applyFill="1" applyBorder="1"/>
    <xf numFmtId="3" fontId="25" fillId="4" borderId="0" xfId="0" applyNumberFormat="1" applyFont="1" applyFill="1" applyBorder="1" applyAlignment="1">
      <alignment vertical="center"/>
    </xf>
    <xf numFmtId="3" fontId="25" fillId="4" borderId="0" xfId="0" applyNumberFormat="1" applyFont="1" applyFill="1" applyBorder="1" applyAlignment="1">
      <alignment horizontal="left" vertical="top"/>
    </xf>
    <xf numFmtId="3" fontId="22" fillId="4" borderId="14" xfId="0" applyNumberFormat="1" applyFont="1" applyFill="1" applyBorder="1" applyAlignment="1">
      <alignment horizontal="left" vertical="center"/>
    </xf>
    <xf numFmtId="3" fontId="22" fillId="4" borderId="14" xfId="0" applyNumberFormat="1" applyFont="1" applyFill="1" applyBorder="1" applyAlignment="1">
      <alignment horizontal="left" wrapText="1"/>
    </xf>
    <xf numFmtId="3" fontId="18" fillId="4" borderId="15" xfId="0" applyNumberFormat="1" applyFont="1" applyFill="1" applyBorder="1" applyAlignment="1">
      <alignment horizontal="left"/>
    </xf>
    <xf numFmtId="3" fontId="22" fillId="4" borderId="0" xfId="0" applyNumberFormat="1" applyFont="1" applyFill="1" applyBorder="1" applyAlignment="1">
      <alignment horizontal="left" wrapText="1"/>
    </xf>
    <xf numFmtId="3" fontId="18" fillId="4" borderId="17" xfId="0" applyNumberFormat="1" applyFont="1" applyFill="1" applyBorder="1" applyAlignment="1">
      <alignment horizontal="left"/>
    </xf>
    <xf numFmtId="3" fontId="13" fillId="4" borderId="0" xfId="0" applyNumberFormat="1" applyFont="1" applyFill="1" applyBorder="1"/>
    <xf numFmtId="3" fontId="21" fillId="4" borderId="0" xfId="0" applyNumberFormat="1" applyFont="1" applyFill="1" applyBorder="1"/>
    <xf numFmtId="3" fontId="14" fillId="4" borderId="0" xfId="0" applyNumberFormat="1" applyFont="1" applyFill="1" applyBorder="1" applyAlignment="1">
      <alignment horizontal="center"/>
    </xf>
    <xf numFmtId="3" fontId="7" fillId="4" borderId="0" xfId="2" applyNumberFormat="1" applyFont="1" applyFill="1" applyBorder="1" applyAlignment="1">
      <alignment vertical="center"/>
    </xf>
    <xf numFmtId="3" fontId="10" fillId="3" borderId="0" xfId="0" applyNumberFormat="1" applyFont="1" applyFill="1" applyBorder="1" applyAlignment="1">
      <alignment horizontal="left"/>
    </xf>
    <xf numFmtId="3" fontId="30" fillId="3" borderId="0" xfId="2" applyNumberFormat="1" applyFont="1" applyFill="1" applyBorder="1" applyAlignment="1">
      <alignment vertical="center"/>
    </xf>
    <xf numFmtId="3" fontId="18" fillId="3" borderId="0" xfId="0" applyNumberFormat="1" applyFont="1" applyFill="1" applyBorder="1"/>
    <xf numFmtId="3" fontId="10" fillId="4" borderId="0" xfId="0" applyNumberFormat="1" applyFont="1" applyFill="1" applyBorder="1" applyAlignment="1">
      <alignment horizontal="center"/>
    </xf>
    <xf numFmtId="3" fontId="2" fillId="4" borderId="0" xfId="2" applyNumberFormat="1" applyFont="1" applyFill="1" applyBorder="1" applyAlignment="1">
      <alignment vertical="center"/>
    </xf>
    <xf numFmtId="3" fontId="20" fillId="4" borderId="0" xfId="0" applyNumberFormat="1" applyFont="1" applyFill="1" applyBorder="1"/>
    <xf numFmtId="3" fontId="10" fillId="4" borderId="0" xfId="0" applyNumberFormat="1" applyFont="1" applyFill="1" applyBorder="1" applyAlignment="1">
      <alignment horizontal="right"/>
    </xf>
    <xf numFmtId="3" fontId="28" fillId="4" borderId="0" xfId="2" applyNumberFormat="1" applyFont="1" applyFill="1" applyBorder="1" applyAlignment="1">
      <alignment vertical="center"/>
    </xf>
    <xf numFmtId="3" fontId="15" fillId="4" borderId="0" xfId="0" applyNumberFormat="1" applyFont="1" applyFill="1" applyBorder="1"/>
    <xf numFmtId="3" fontId="16" fillId="4" borderId="0" xfId="0" applyNumberFormat="1" applyFont="1" applyFill="1" applyBorder="1" applyAlignment="1">
      <alignment horizontal="left"/>
    </xf>
    <xf numFmtId="3" fontId="13" fillId="4" borderId="0" xfId="0" applyNumberFormat="1" applyFont="1" applyFill="1" applyBorder="1" applyAlignment="1">
      <alignment horizontal="left"/>
    </xf>
    <xf numFmtId="3" fontId="12" fillId="4" borderId="0" xfId="0" applyNumberFormat="1" applyFont="1" applyFill="1" applyBorder="1"/>
    <xf numFmtId="3" fontId="8" fillId="4" borderId="0" xfId="2" applyNumberFormat="1" applyFont="1" applyFill="1" applyBorder="1" applyAlignment="1">
      <alignment vertical="center"/>
    </xf>
    <xf numFmtId="3" fontId="11" fillId="4" borderId="0" xfId="2" applyNumberFormat="1" applyFont="1" applyFill="1" applyBorder="1" applyAlignment="1">
      <alignment vertical="center"/>
    </xf>
    <xf numFmtId="3" fontId="17" fillId="4" borderId="0" xfId="2" applyNumberFormat="1" applyFont="1" applyFill="1" applyBorder="1" applyAlignment="1">
      <alignment vertical="center"/>
    </xf>
    <xf numFmtId="3" fontId="45" fillId="4" borderId="0" xfId="2" applyNumberFormat="1" applyFont="1" applyFill="1" applyBorder="1" applyAlignment="1">
      <alignment vertical="center"/>
    </xf>
    <xf numFmtId="3" fontId="33" fillId="2" borderId="0" xfId="0" applyNumberFormat="1" applyFont="1" applyFill="1"/>
    <xf numFmtId="3" fontId="34" fillId="2" borderId="0" xfId="0" applyNumberFormat="1" applyFont="1" applyFill="1"/>
    <xf numFmtId="3" fontId="20" fillId="2" borderId="0" xfId="0" applyNumberFormat="1" applyFont="1" applyFill="1"/>
    <xf numFmtId="164" fontId="10" fillId="4" borderId="0" xfId="1" applyNumberFormat="1" applyFont="1" applyFill="1" applyBorder="1" applyAlignment="1">
      <alignment horizontal="left" vertical="center"/>
    </xf>
    <xf numFmtId="0" fontId="10" fillId="4" borderId="0" xfId="1" applyNumberFormat="1" applyFont="1" applyFill="1" applyBorder="1" applyAlignment="1">
      <alignment horizontal="left" vertical="center"/>
    </xf>
    <xf numFmtId="0" fontId="10" fillId="4" borderId="0" xfId="0" applyNumberFormat="1" applyFont="1" applyFill="1" applyBorder="1" applyAlignment="1">
      <alignment horizontal="left" vertical="center"/>
    </xf>
    <xf numFmtId="0" fontId="10" fillId="4" borderId="0" xfId="0" applyNumberFormat="1" applyFont="1" applyFill="1" applyBorder="1" applyAlignment="1">
      <alignment horizontal="left"/>
    </xf>
    <xf numFmtId="0" fontId="14" fillId="4" borderId="0" xfId="0" applyNumberFormat="1" applyFont="1" applyFill="1" applyBorder="1"/>
    <xf numFmtId="0" fontId="14" fillId="4" borderId="0" xfId="0" applyNumberFormat="1" applyFont="1" applyFill="1" applyBorder="1" applyAlignment="1">
      <alignment horizontal="right"/>
    </xf>
    <xf numFmtId="0" fontId="18" fillId="4" borderId="0" xfId="0" applyNumberFormat="1" applyFont="1" applyFill="1" applyBorder="1"/>
    <xf numFmtId="0" fontId="6" fillId="4" borderId="0" xfId="0" applyNumberFormat="1" applyFont="1" applyFill="1" applyBorder="1"/>
    <xf numFmtId="0" fontId="10" fillId="4" borderId="0" xfId="0" applyNumberFormat="1" applyFont="1" applyFill="1" applyBorder="1" applyAlignment="1">
      <alignment horizontal="right"/>
    </xf>
    <xf numFmtId="0" fontId="18" fillId="4" borderId="19" xfId="0" applyNumberFormat="1" applyFont="1" applyFill="1" applyBorder="1"/>
    <xf numFmtId="0" fontId="18" fillId="2" borderId="0" xfId="0" applyNumberFormat="1" applyFont="1" applyFill="1" applyBorder="1"/>
    <xf numFmtId="0" fontId="18" fillId="4" borderId="14" xfId="0" applyNumberFormat="1" applyFont="1" applyFill="1" applyBorder="1"/>
    <xf numFmtId="0" fontId="10" fillId="4" borderId="0" xfId="0" applyNumberFormat="1" applyFont="1" applyFill="1" applyBorder="1" applyAlignment="1">
      <alignment horizontal="center"/>
    </xf>
    <xf numFmtId="3" fontId="8" fillId="4" borderId="0" xfId="0" applyNumberFormat="1" applyFont="1" applyFill="1" applyBorder="1" applyAlignment="1">
      <alignment horizontal="left"/>
    </xf>
    <xf numFmtId="1" fontId="18" fillId="4" borderId="0" xfId="0" applyNumberFormat="1" applyFont="1" applyFill="1" applyBorder="1"/>
    <xf numFmtId="3" fontId="20" fillId="4" borderId="17" xfId="0" applyNumberFormat="1" applyFont="1" applyFill="1" applyBorder="1"/>
    <xf numFmtId="3" fontId="2" fillId="4" borderId="0" xfId="0" applyNumberFormat="1" applyFont="1" applyFill="1" applyBorder="1" applyAlignment="1"/>
    <xf numFmtId="3" fontId="17" fillId="4" borderId="16" xfId="0" applyNumberFormat="1" applyFont="1" applyFill="1" applyBorder="1"/>
    <xf numFmtId="3" fontId="28" fillId="4" borderId="0" xfId="0" applyNumberFormat="1" applyFont="1" applyFill="1" applyBorder="1" applyAlignment="1"/>
    <xf numFmtId="3" fontId="17" fillId="4" borderId="17" xfId="0" applyNumberFormat="1" applyFont="1" applyFill="1" applyBorder="1"/>
    <xf numFmtId="3" fontId="17" fillId="2" borderId="0" xfId="0" applyNumberFormat="1" applyFont="1" applyFill="1"/>
    <xf numFmtId="3" fontId="25" fillId="4" borderId="0" xfId="0" applyNumberFormat="1" applyFont="1" applyFill="1" applyAlignment="1"/>
    <xf numFmtId="3" fontId="2" fillId="4" borderId="0" xfId="0" applyNumberFormat="1" applyFont="1" applyFill="1" applyBorder="1"/>
    <xf numFmtId="3" fontId="38" fillId="4" borderId="0" xfId="0" applyNumberFormat="1" applyFont="1" applyFill="1" applyBorder="1"/>
    <xf numFmtId="3" fontId="22" fillId="4" borderId="16" xfId="0" applyNumberFormat="1" applyFont="1" applyFill="1" applyBorder="1"/>
    <xf numFmtId="0" fontId="12" fillId="4" borderId="0" xfId="0" applyNumberFormat="1" applyFont="1" applyFill="1" applyBorder="1" applyAlignment="1">
      <alignment horizontal="left"/>
    </xf>
    <xf numFmtId="3" fontId="35" fillId="4" borderId="0" xfId="0" applyNumberFormat="1" applyFont="1" applyFill="1" applyBorder="1"/>
    <xf numFmtId="3" fontId="22" fillId="4" borderId="0" xfId="0" applyNumberFormat="1" applyFont="1" applyFill="1" applyBorder="1"/>
    <xf numFmtId="3" fontId="22" fillId="4" borderId="0" xfId="0" applyNumberFormat="1" applyFont="1" applyFill="1" applyBorder="1" applyAlignment="1">
      <alignment horizontal="center"/>
    </xf>
    <xf numFmtId="3" fontId="22" fillId="2" borderId="0" xfId="0" applyNumberFormat="1" applyFont="1" applyFill="1"/>
    <xf numFmtId="3" fontId="55" fillId="4" borderId="0" xfId="2" applyNumberFormat="1" applyFont="1" applyFill="1" applyBorder="1" applyAlignment="1">
      <alignment vertical="center"/>
    </xf>
    <xf numFmtId="0" fontId="14" fillId="4" borderId="0" xfId="1" applyNumberFormat="1" applyFont="1" applyFill="1" applyBorder="1" applyAlignment="1"/>
    <xf numFmtId="3" fontId="22" fillId="4" borderId="0" xfId="0" applyNumberFormat="1" applyFont="1" applyFill="1" applyBorder="1" applyAlignment="1" applyProtection="1">
      <alignment horizontal="center"/>
      <protection locked="0"/>
    </xf>
    <xf numFmtId="3" fontId="22" fillId="4" borderId="0" xfId="0" applyNumberFormat="1" applyFont="1" applyFill="1" applyBorder="1" applyAlignment="1"/>
    <xf numFmtId="3" fontId="10" fillId="4" borderId="38" xfId="0" applyNumberFormat="1" applyFont="1" applyFill="1" applyBorder="1" applyAlignment="1">
      <alignment horizontal="left" vertical="center"/>
    </xf>
    <xf numFmtId="3" fontId="2" fillId="4" borderId="38" xfId="0" applyNumberFormat="1" applyFont="1" applyFill="1" applyBorder="1"/>
    <xf numFmtId="3" fontId="20" fillId="4" borderId="38" xfId="0" applyNumberFormat="1" applyFont="1" applyFill="1" applyBorder="1"/>
    <xf numFmtId="3" fontId="18" fillId="4" borderId="38" xfId="0" applyNumberFormat="1" applyFont="1" applyFill="1" applyBorder="1" applyAlignment="1"/>
    <xf numFmtId="3" fontId="18" fillId="4" borderId="38" xfId="0" applyNumberFormat="1" applyFont="1" applyFill="1" applyBorder="1"/>
    <xf numFmtId="0" fontId="14" fillId="4" borderId="0" xfId="0" applyNumberFormat="1" applyFont="1" applyFill="1" applyBorder="1" applyAlignment="1">
      <alignment horizontal="center"/>
    </xf>
    <xf numFmtId="3" fontId="52" fillId="4" borderId="0" xfId="3" applyNumberFormat="1" applyFont="1" applyFill="1" applyBorder="1" applyAlignment="1"/>
    <xf numFmtId="0" fontId="14" fillId="4" borderId="0" xfId="0" applyNumberFormat="1" applyFont="1" applyFill="1" applyBorder="1" applyAlignment="1" applyProtection="1">
      <alignment horizontal="center"/>
      <protection locked="0"/>
    </xf>
    <xf numFmtId="0" fontId="14" fillId="4" borderId="0" xfId="1" applyNumberFormat="1" applyFont="1" applyFill="1" applyBorder="1" applyAlignment="1" applyProtection="1">
      <alignment horizontal="center"/>
      <protection locked="0"/>
    </xf>
    <xf numFmtId="0" fontId="14" fillId="4" borderId="0" xfId="1" applyNumberFormat="1" applyFont="1" applyFill="1" applyBorder="1" applyAlignment="1">
      <alignment vertical="center"/>
    </xf>
    <xf numFmtId="0" fontId="14" fillId="4" borderId="0" xfId="1" applyNumberFormat="1" applyFont="1" applyFill="1" applyBorder="1" applyAlignment="1">
      <alignment horizontal="left" vertical="center"/>
    </xf>
    <xf numFmtId="0" fontId="10" fillId="4" borderId="0" xfId="1" applyNumberFormat="1" applyFont="1" applyFill="1" applyBorder="1" applyAlignment="1"/>
    <xf numFmtId="3" fontId="58" fillId="4" borderId="0" xfId="3" applyNumberFormat="1" applyFont="1" applyFill="1" applyBorder="1"/>
    <xf numFmtId="3" fontId="17" fillId="4" borderId="0" xfId="0" applyNumberFormat="1" applyFont="1" applyFill="1" applyBorder="1" applyAlignment="1"/>
    <xf numFmtId="3" fontId="18" fillId="4" borderId="0" xfId="0" applyNumberFormat="1" applyFont="1" applyFill="1" applyBorder="1" applyAlignment="1"/>
    <xf numFmtId="3" fontId="23" fillId="4" borderId="0" xfId="0" applyNumberFormat="1" applyFont="1" applyFill="1" applyAlignment="1"/>
    <xf numFmtId="3" fontId="23" fillId="4" borderId="9" xfId="0" applyNumberFormat="1" applyFont="1" applyFill="1" applyBorder="1" applyAlignment="1"/>
    <xf numFmtId="3" fontId="18" fillId="4" borderId="14" xfId="0" applyNumberFormat="1" applyFont="1" applyFill="1" applyBorder="1" applyAlignment="1"/>
    <xf numFmtId="3" fontId="20" fillId="4" borderId="0" xfId="0" applyNumberFormat="1" applyFont="1" applyFill="1" applyBorder="1" applyAlignment="1"/>
    <xf numFmtId="3" fontId="40" fillId="4" borderId="0" xfId="0" applyNumberFormat="1" applyFont="1" applyFill="1" applyBorder="1" applyAlignment="1">
      <alignment horizontal="center"/>
    </xf>
    <xf numFmtId="3" fontId="40" fillId="4" borderId="17" xfId="0" applyNumberFormat="1" applyFont="1" applyFill="1" applyBorder="1" applyAlignment="1">
      <alignment horizontal="center"/>
    </xf>
    <xf numFmtId="3" fontId="23" fillId="4" borderId="0" xfId="0" applyNumberFormat="1" applyFont="1" applyFill="1" applyBorder="1" applyAlignment="1"/>
    <xf numFmtId="3" fontId="23" fillId="4" borderId="0" xfId="0" applyNumberFormat="1" applyFont="1" applyFill="1" applyBorder="1" applyAlignment="1">
      <alignment horizontal="left"/>
    </xf>
    <xf numFmtId="3" fontId="25" fillId="4" borderId="0" xfId="0" applyNumberFormat="1" applyFont="1" applyFill="1" applyBorder="1" applyAlignment="1">
      <alignment horizontal="left" vertical="center"/>
    </xf>
    <xf numFmtId="3" fontId="18" fillId="4" borderId="0" xfId="0" applyNumberFormat="1" applyFont="1" applyFill="1" applyBorder="1" applyAlignment="1">
      <alignment horizontal="center"/>
    </xf>
    <xf numFmtId="3" fontId="18" fillId="4" borderId="0" xfId="0" applyNumberFormat="1" applyFont="1" applyFill="1" applyBorder="1" applyAlignment="1">
      <alignment horizontal="center" vertical="center"/>
    </xf>
    <xf numFmtId="3" fontId="59" fillId="4" borderId="0" xfId="0" applyNumberFormat="1" applyFont="1" applyFill="1" applyBorder="1" applyAlignment="1" applyProtection="1">
      <alignment horizontal="left"/>
      <protection locked="0"/>
    </xf>
    <xf numFmtId="3" fontId="11" fillId="4" borderId="0" xfId="0" applyNumberFormat="1" applyFont="1" applyFill="1" applyBorder="1" applyAlignment="1"/>
    <xf numFmtId="3" fontId="10" fillId="4" borderId="0" xfId="0" applyNumberFormat="1" applyFont="1" applyFill="1" applyBorder="1" applyAlignment="1"/>
    <xf numFmtId="3" fontId="31" fillId="4" borderId="0" xfId="2" applyNumberFormat="1" applyFont="1" applyFill="1" applyBorder="1" applyAlignment="1">
      <alignment vertical="center"/>
    </xf>
    <xf numFmtId="3" fontId="60" fillId="4" borderId="0" xfId="0" applyNumberFormat="1" applyFont="1" applyFill="1" applyBorder="1"/>
    <xf numFmtId="3" fontId="61" fillId="2" borderId="0" xfId="0" applyNumberFormat="1" applyFont="1" applyFill="1"/>
    <xf numFmtId="3" fontId="61" fillId="0" borderId="0" xfId="0" applyNumberFormat="1" applyFont="1"/>
    <xf numFmtId="3" fontId="62" fillId="2" borderId="0" xfId="0" applyNumberFormat="1" applyFont="1" applyFill="1"/>
    <xf numFmtId="3" fontId="63" fillId="4" borderId="0" xfId="0" applyNumberFormat="1" applyFont="1" applyFill="1" applyBorder="1" applyAlignment="1" applyProtection="1">
      <alignment horizontal="left"/>
      <protection locked="0"/>
    </xf>
    <xf numFmtId="3" fontId="44" fillId="4" borderId="0" xfId="2" applyNumberFormat="1" applyFont="1" applyFill="1" applyBorder="1" applyAlignment="1">
      <alignment vertical="center"/>
    </xf>
    <xf numFmtId="3" fontId="2" fillId="2" borderId="0" xfId="0" applyNumberFormat="1" applyFont="1" applyFill="1"/>
    <xf numFmtId="3" fontId="20" fillId="0" borderId="0" xfId="0" applyNumberFormat="1" applyFont="1"/>
    <xf numFmtId="0" fontId="0" fillId="0" borderId="0" xfId="0" applyFill="1"/>
    <xf numFmtId="0" fontId="68" fillId="0" borderId="0" xfId="0" applyFont="1" applyFill="1" applyAlignment="1">
      <alignment horizontal="center" vertical="center"/>
    </xf>
    <xf numFmtId="0" fontId="68" fillId="5" borderId="0" xfId="0" applyFont="1" applyFill="1" applyAlignment="1">
      <alignment horizontal="center" vertical="center"/>
    </xf>
    <xf numFmtId="0" fontId="0" fillId="5" borderId="0" xfId="0" applyFill="1"/>
    <xf numFmtId="0" fontId="68" fillId="6" borderId="0" xfId="0" applyFont="1" applyFill="1" applyAlignment="1">
      <alignment horizontal="center" vertical="center"/>
    </xf>
    <xf numFmtId="0" fontId="0" fillId="6" borderId="0" xfId="0" applyFill="1"/>
    <xf numFmtId="0" fontId="47" fillId="6" borderId="0" xfId="0" applyFont="1" applyFill="1"/>
    <xf numFmtId="0" fontId="68" fillId="7" borderId="0" xfId="0" applyFont="1" applyFill="1" applyAlignment="1">
      <alignment horizontal="center" vertical="center"/>
    </xf>
    <xf numFmtId="0" fontId="0" fillId="7" borderId="0" xfId="0" applyFill="1"/>
    <xf numFmtId="0" fontId="68" fillId="2" borderId="0" xfId="0" applyFont="1" applyFill="1" applyAlignment="1">
      <alignment horizontal="center" vertical="center"/>
    </xf>
    <xf numFmtId="0" fontId="0" fillId="2" borderId="0" xfId="0" applyFill="1"/>
    <xf numFmtId="0" fontId="9" fillId="7" borderId="0" xfId="0" applyFont="1" applyFill="1"/>
    <xf numFmtId="0" fontId="0" fillId="6" borderId="0" xfId="0" applyFill="1" applyAlignment="1">
      <alignment horizontal="center"/>
    </xf>
    <xf numFmtId="0" fontId="47" fillId="7" borderId="0" xfId="0" applyFont="1" applyFill="1" applyAlignment="1">
      <alignment horizontal="center"/>
    </xf>
    <xf numFmtId="0" fontId="0" fillId="6" borderId="0" xfId="0" applyFont="1" applyFill="1" applyAlignment="1">
      <alignment horizontal="center"/>
    </xf>
    <xf numFmtId="3" fontId="10" fillId="4" borderId="0" xfId="2" applyNumberFormat="1" applyFont="1" applyFill="1" applyBorder="1" applyAlignment="1">
      <alignment vertical="center"/>
    </xf>
    <xf numFmtId="3" fontId="53" fillId="4" borderId="0" xfId="0" applyNumberFormat="1" applyFont="1" applyFill="1" applyBorder="1" applyAlignment="1">
      <alignment horizontal="center"/>
    </xf>
    <xf numFmtId="3" fontId="73" fillId="4" borderId="0" xfId="0" applyNumberFormat="1" applyFont="1" applyFill="1" applyBorder="1"/>
    <xf numFmtId="3" fontId="73" fillId="4" borderId="0" xfId="2" applyNumberFormat="1" applyFont="1" applyFill="1" applyBorder="1" applyAlignment="1">
      <alignment vertical="center"/>
    </xf>
    <xf numFmtId="0" fontId="0" fillId="6" borderId="3" xfId="0" applyFill="1" applyBorder="1"/>
    <xf numFmtId="0" fontId="0" fillId="7" borderId="3" xfId="0" applyFill="1" applyBorder="1"/>
    <xf numFmtId="0" fontId="0" fillId="6" borderId="3" xfId="0" applyFill="1" applyBorder="1" applyAlignment="1">
      <alignment horizontal="center"/>
    </xf>
    <xf numFmtId="0" fontId="0" fillId="2" borderId="3" xfId="0" applyFill="1" applyBorder="1"/>
    <xf numFmtId="0" fontId="0" fillId="5" borderId="3" xfId="0" applyFill="1" applyBorder="1"/>
    <xf numFmtId="0" fontId="0" fillId="0" borderId="3" xfId="0" applyFill="1" applyBorder="1"/>
    <xf numFmtId="0" fontId="75" fillId="8" borderId="0" xfId="0" applyFont="1" applyFill="1" applyAlignment="1">
      <alignment horizontal="center" vertical="center"/>
    </xf>
    <xf numFmtId="0" fontId="9" fillId="8" borderId="0" xfId="0" applyFont="1" applyFill="1"/>
    <xf numFmtId="0" fontId="9" fillId="8" borderId="3" xfId="0" applyFont="1" applyFill="1" applyBorder="1"/>
    <xf numFmtId="0" fontId="68" fillId="8" borderId="0" xfId="0" applyFont="1" applyFill="1" applyAlignment="1">
      <alignment horizontal="center" vertical="center"/>
    </xf>
    <xf numFmtId="0" fontId="0" fillId="8" borderId="0" xfId="0" applyFill="1"/>
    <xf numFmtId="0" fontId="0" fillId="8" borderId="3" xfId="0" applyFill="1" applyBorder="1"/>
    <xf numFmtId="3" fontId="76" fillId="4" borderId="0" xfId="0" applyNumberFormat="1" applyFont="1" applyFill="1" applyBorder="1"/>
    <xf numFmtId="3" fontId="18" fillId="2" borderId="0" xfId="0" applyNumberFormat="1" applyFont="1" applyFill="1" applyProtection="1"/>
    <xf numFmtId="3" fontId="18" fillId="4" borderId="13" xfId="0" applyNumberFormat="1" applyFont="1" applyFill="1" applyBorder="1" applyProtection="1"/>
    <xf numFmtId="3" fontId="18" fillId="4" borderId="14" xfId="0" applyNumberFormat="1" applyFont="1" applyFill="1" applyBorder="1" applyProtection="1"/>
    <xf numFmtId="3" fontId="18" fillId="4" borderId="16" xfId="0" applyNumberFormat="1" applyFont="1" applyFill="1" applyBorder="1" applyProtection="1"/>
    <xf numFmtId="3" fontId="18" fillId="4" borderId="0" xfId="0" applyNumberFormat="1" applyFont="1" applyFill="1" applyBorder="1" applyProtection="1"/>
    <xf numFmtId="3" fontId="58" fillId="4" borderId="0" xfId="3" applyNumberFormat="1" applyFont="1" applyFill="1" applyBorder="1" applyProtection="1"/>
    <xf numFmtId="3" fontId="18" fillId="4" borderId="17" xfId="0" applyNumberFormat="1" applyFont="1" applyFill="1" applyBorder="1" applyProtection="1"/>
    <xf numFmtId="3" fontId="21" fillId="4" borderId="0" xfId="0" applyNumberFormat="1" applyFont="1" applyFill="1" applyBorder="1" applyProtection="1"/>
    <xf numFmtId="3" fontId="52" fillId="4" borderId="0" xfId="3" applyNumberFormat="1" applyFont="1" applyFill="1" applyBorder="1" applyAlignment="1" applyProtection="1"/>
    <xf numFmtId="3" fontId="37" fillId="4" borderId="0" xfId="0" applyNumberFormat="1" applyFont="1" applyFill="1" applyBorder="1" applyProtection="1"/>
    <xf numFmtId="3" fontId="36" fillId="4" borderId="0" xfId="2" applyNumberFormat="1" applyFont="1" applyFill="1" applyBorder="1" applyAlignment="1" applyProtection="1">
      <alignment vertical="center"/>
    </xf>
    <xf numFmtId="3" fontId="14" fillId="4" borderId="0" xfId="0" applyNumberFormat="1" applyFont="1" applyFill="1" applyBorder="1" applyProtection="1"/>
    <xf numFmtId="3" fontId="10" fillId="4" borderId="0" xfId="0" applyNumberFormat="1" applyFont="1" applyFill="1" applyBorder="1" applyProtection="1"/>
    <xf numFmtId="3" fontId="14" fillId="4" borderId="16" xfId="0" applyNumberFormat="1" applyFont="1" applyFill="1" applyBorder="1" applyProtection="1"/>
    <xf numFmtId="3" fontId="38" fillId="4" borderId="0" xfId="0" applyNumberFormat="1" applyFont="1" applyFill="1" applyBorder="1" applyAlignment="1" applyProtection="1">
      <alignment horizontal="right"/>
    </xf>
    <xf numFmtId="3" fontId="10" fillId="4" borderId="0" xfId="0" applyNumberFormat="1" applyFont="1" applyFill="1" applyBorder="1" applyAlignment="1" applyProtection="1">
      <alignment horizontal="left"/>
    </xf>
    <xf numFmtId="3" fontId="76" fillId="4" borderId="0" xfId="0" applyNumberFormat="1" applyFont="1" applyFill="1" applyBorder="1" applyProtection="1"/>
    <xf numFmtId="3" fontId="73" fillId="4" borderId="0" xfId="2" applyNumberFormat="1" applyFont="1" applyFill="1" applyBorder="1" applyAlignment="1" applyProtection="1">
      <alignment vertical="center"/>
    </xf>
    <xf numFmtId="3" fontId="73" fillId="4" borderId="0" xfId="0" applyNumberFormat="1" applyFont="1" applyFill="1" applyBorder="1" applyProtection="1"/>
    <xf numFmtId="3" fontId="14" fillId="4" borderId="18" xfId="0" applyNumberFormat="1" applyFont="1" applyFill="1" applyBorder="1" applyProtection="1"/>
    <xf numFmtId="3" fontId="14" fillId="4" borderId="19" xfId="0" applyNumberFormat="1" applyFont="1" applyFill="1" applyBorder="1" applyProtection="1"/>
    <xf numFmtId="3" fontId="18" fillId="4" borderId="19" xfId="0" applyNumberFormat="1" applyFont="1" applyFill="1" applyBorder="1" applyProtection="1"/>
    <xf numFmtId="3" fontId="18" fillId="4" borderId="20" xfId="0" applyNumberFormat="1" applyFont="1" applyFill="1" applyBorder="1" applyProtection="1"/>
    <xf numFmtId="3" fontId="18" fillId="2" borderId="0" xfId="0" applyNumberFormat="1" applyFont="1" applyFill="1" applyBorder="1" applyProtection="1"/>
    <xf numFmtId="3" fontId="18" fillId="4" borderId="15" xfId="0" applyNumberFormat="1" applyFont="1" applyFill="1" applyBorder="1" applyProtection="1"/>
    <xf numFmtId="3" fontId="6" fillId="4" borderId="0" xfId="0" applyNumberFormat="1" applyFont="1" applyFill="1" applyBorder="1" applyProtection="1"/>
    <xf numFmtId="3" fontId="19" fillId="4" borderId="0" xfId="2" applyNumberFormat="1" applyFont="1" applyFill="1" applyBorder="1" applyAlignment="1" applyProtection="1">
      <alignment vertical="center"/>
    </xf>
    <xf numFmtId="3" fontId="23" fillId="4" borderId="0" xfId="0" applyNumberFormat="1" applyFont="1" applyFill="1" applyBorder="1" applyProtection="1"/>
    <xf numFmtId="3" fontId="24" fillId="4" borderId="0" xfId="2" applyNumberFormat="1" applyFont="1" applyFill="1" applyBorder="1" applyAlignment="1" applyProtection="1">
      <alignment vertical="center"/>
    </xf>
    <xf numFmtId="3" fontId="23" fillId="4" borderId="0" xfId="0" applyNumberFormat="1" applyFont="1" applyFill="1" applyBorder="1" applyAlignment="1" applyProtection="1">
      <alignment vertical="center"/>
    </xf>
    <xf numFmtId="3" fontId="25" fillId="4" borderId="0" xfId="2" applyNumberFormat="1" applyFont="1" applyFill="1" applyBorder="1" applyAlignment="1" applyProtection="1">
      <alignment vertical="center"/>
    </xf>
    <xf numFmtId="3" fontId="26" fillId="4" borderId="0" xfId="0" applyNumberFormat="1" applyFont="1" applyFill="1" applyBorder="1" applyAlignment="1" applyProtection="1">
      <alignment vertical="center"/>
    </xf>
    <xf numFmtId="3" fontId="18" fillId="4" borderId="18" xfId="0" applyNumberFormat="1" applyFont="1" applyFill="1" applyBorder="1" applyProtection="1"/>
    <xf numFmtId="3" fontId="20" fillId="4" borderId="16" xfId="0" applyNumberFormat="1" applyFont="1" applyFill="1" applyBorder="1" applyProtection="1"/>
    <xf numFmtId="3" fontId="28" fillId="4" borderId="0" xfId="0" applyNumberFormat="1" applyFont="1" applyFill="1" applyBorder="1" applyAlignment="1" applyProtection="1">
      <alignment vertical="center"/>
    </xf>
    <xf numFmtId="3" fontId="20" fillId="4" borderId="0" xfId="2" applyNumberFormat="1" applyFont="1" applyFill="1" applyBorder="1" applyAlignment="1" applyProtection="1">
      <alignment vertical="center"/>
    </xf>
    <xf numFmtId="3" fontId="20" fillId="4" borderId="0" xfId="0" applyNumberFormat="1" applyFont="1" applyFill="1" applyBorder="1" applyAlignment="1" applyProtection="1"/>
    <xf numFmtId="3" fontId="18" fillId="4" borderId="0" xfId="0" applyNumberFormat="1" applyFont="1" applyFill="1" applyProtection="1"/>
    <xf numFmtId="3" fontId="18" fillId="4" borderId="0" xfId="0" applyNumberFormat="1" applyFont="1" applyFill="1" applyBorder="1" applyAlignment="1" applyProtection="1"/>
    <xf numFmtId="0" fontId="10" fillId="4" borderId="0" xfId="1" applyNumberFormat="1" applyFont="1" applyFill="1" applyBorder="1" applyAlignment="1" applyProtection="1">
      <alignment horizontal="left" vertical="center"/>
    </xf>
    <xf numFmtId="3" fontId="23" fillId="4" borderId="0" xfId="0" applyNumberFormat="1" applyFont="1" applyFill="1" applyBorder="1" applyAlignment="1" applyProtection="1">
      <alignment horizontal="left"/>
    </xf>
    <xf numFmtId="3" fontId="23" fillId="4" borderId="0" xfId="0" applyNumberFormat="1" applyFont="1" applyFill="1" applyBorder="1" applyAlignment="1" applyProtection="1">
      <alignment horizontal="center"/>
    </xf>
    <xf numFmtId="3" fontId="25" fillId="4" borderId="0" xfId="0" applyNumberFormat="1" applyFont="1" applyFill="1" applyBorder="1" applyAlignment="1" applyProtection="1"/>
    <xf numFmtId="3" fontId="23" fillId="4" borderId="0" xfId="0" applyNumberFormat="1" applyFont="1" applyFill="1" applyProtection="1"/>
    <xf numFmtId="3" fontId="23" fillId="4" borderId="0" xfId="0" applyNumberFormat="1" applyFont="1" applyFill="1" applyBorder="1" applyAlignment="1" applyProtection="1"/>
    <xf numFmtId="0" fontId="14" fillId="4" borderId="0" xfId="0" applyNumberFormat="1" applyFont="1" applyFill="1" applyBorder="1" applyAlignment="1" applyProtection="1">
      <alignment horizontal="center"/>
    </xf>
    <xf numFmtId="0" fontId="14" fillId="4" borderId="0" xfId="1" applyNumberFormat="1" applyFont="1" applyFill="1" applyBorder="1" applyAlignment="1" applyProtection="1"/>
    <xf numFmtId="3" fontId="23" fillId="4" borderId="0" xfId="0" applyNumberFormat="1" applyFont="1" applyFill="1" applyBorder="1" applyAlignment="1" applyProtection="1">
      <alignment horizontal="center" wrapText="1"/>
    </xf>
    <xf numFmtId="0" fontId="14" fillId="4" borderId="0" xfId="1" applyNumberFormat="1" applyFont="1" applyFill="1" applyBorder="1" applyAlignment="1" applyProtection="1">
      <alignment horizontal="center"/>
    </xf>
    <xf numFmtId="0" fontId="10" fillId="4" borderId="0" xfId="1" applyNumberFormat="1" applyFont="1" applyFill="1" applyBorder="1" applyAlignment="1" applyProtection="1"/>
    <xf numFmtId="0" fontId="14" fillId="4" borderId="0" xfId="1" applyNumberFormat="1" applyFont="1" applyFill="1" applyBorder="1" applyAlignment="1" applyProtection="1">
      <alignment vertical="center"/>
    </xf>
    <xf numFmtId="0" fontId="14" fillId="4" borderId="0" xfId="1" applyNumberFormat="1" applyFont="1" applyFill="1" applyBorder="1" applyAlignment="1" applyProtection="1">
      <alignment horizontal="left" vertical="center"/>
    </xf>
    <xf numFmtId="3" fontId="21" fillId="4" borderId="0" xfId="0" applyNumberFormat="1" applyFont="1" applyFill="1" applyBorder="1" applyAlignment="1" applyProtection="1"/>
    <xf numFmtId="3" fontId="63" fillId="4" borderId="0" xfId="0" applyNumberFormat="1" applyFont="1" applyFill="1" applyBorder="1" applyAlignment="1" applyProtection="1">
      <alignment horizontal="left"/>
    </xf>
    <xf numFmtId="3" fontId="14" fillId="4" borderId="0" xfId="0" applyNumberFormat="1" applyFont="1" applyFill="1" applyBorder="1" applyAlignment="1" applyProtection="1">
      <alignment horizontal="center" wrapText="1"/>
    </xf>
    <xf numFmtId="3" fontId="20" fillId="4" borderId="0" xfId="0" applyNumberFormat="1" applyFont="1" applyFill="1" applyBorder="1" applyAlignment="1" applyProtection="1">
      <alignment vertical="center"/>
    </xf>
    <xf numFmtId="3" fontId="17" fillId="4" borderId="16" xfId="0" applyNumberFormat="1" applyFont="1" applyFill="1" applyBorder="1" applyProtection="1"/>
    <xf numFmtId="3" fontId="10" fillId="4" borderId="0" xfId="0" applyNumberFormat="1" applyFont="1" applyFill="1" applyBorder="1" applyAlignment="1" applyProtection="1">
      <alignment horizontal="left" vertical="center"/>
    </xf>
    <xf numFmtId="3" fontId="28" fillId="4" borderId="0" xfId="0" applyNumberFormat="1" applyFont="1" applyFill="1" applyBorder="1" applyAlignment="1" applyProtection="1"/>
    <xf numFmtId="3" fontId="17" fillId="4" borderId="0" xfId="0" applyNumberFormat="1" applyFont="1" applyFill="1" applyBorder="1" applyProtection="1"/>
    <xf numFmtId="3" fontId="17" fillId="4" borderId="0" xfId="0" applyNumberFormat="1" applyFont="1" applyFill="1" applyBorder="1" applyAlignment="1" applyProtection="1"/>
    <xf numFmtId="3" fontId="17" fillId="4" borderId="17" xfId="0" applyNumberFormat="1" applyFont="1" applyFill="1" applyBorder="1" applyProtection="1"/>
    <xf numFmtId="3" fontId="17" fillId="2" borderId="0" xfId="0" applyNumberFormat="1" applyFont="1" applyFill="1" applyProtection="1"/>
    <xf numFmtId="3" fontId="10" fillId="4" borderId="0" xfId="0" applyNumberFormat="1" applyFont="1" applyFill="1" applyBorder="1" applyAlignment="1" applyProtection="1">
      <alignment vertical="center"/>
    </xf>
    <xf numFmtId="3" fontId="8" fillId="4" borderId="0" xfId="0" applyNumberFormat="1" applyFont="1" applyFill="1" applyBorder="1" applyAlignment="1" applyProtection="1"/>
    <xf numFmtId="3" fontId="10" fillId="4" borderId="0" xfId="0" applyNumberFormat="1" applyFont="1" applyFill="1" applyBorder="1" applyAlignment="1" applyProtection="1">
      <alignment horizontal="center" vertical="center"/>
    </xf>
    <xf numFmtId="3" fontId="42" fillId="4" borderId="16" xfId="0" applyNumberFormat="1" applyFont="1" applyFill="1" applyBorder="1" applyProtection="1"/>
    <xf numFmtId="3" fontId="42" fillId="4" borderId="0" xfId="0" applyNumberFormat="1" applyFont="1" applyFill="1" applyBorder="1" applyAlignment="1" applyProtection="1"/>
    <xf numFmtId="3" fontId="42" fillId="4" borderId="17" xfId="0" applyNumberFormat="1" applyFont="1" applyFill="1" applyBorder="1" applyProtection="1"/>
    <xf numFmtId="3" fontId="42" fillId="2" borderId="0" xfId="0" applyNumberFormat="1" applyFont="1" applyFill="1" applyProtection="1"/>
    <xf numFmtId="3" fontId="20" fillId="4" borderId="0" xfId="0" applyNumberFormat="1" applyFont="1" applyFill="1" applyBorder="1" applyProtection="1"/>
    <xf numFmtId="3" fontId="20" fillId="4" borderId="17" xfId="0" applyNumberFormat="1" applyFont="1" applyFill="1" applyBorder="1" applyProtection="1"/>
    <xf numFmtId="3" fontId="20" fillId="2" borderId="0" xfId="0" applyNumberFormat="1" applyFont="1" applyFill="1" applyProtection="1"/>
    <xf numFmtId="3" fontId="2" fillId="4" borderId="0" xfId="0" applyNumberFormat="1" applyFont="1" applyFill="1" applyBorder="1" applyAlignment="1" applyProtection="1"/>
    <xf numFmtId="3" fontId="10" fillId="4" borderId="0" xfId="0" applyNumberFormat="1" applyFont="1" applyFill="1" applyBorder="1" applyAlignment="1" applyProtection="1">
      <alignment horizontal="right" vertical="center"/>
    </xf>
    <xf numFmtId="3" fontId="25" fillId="4" borderId="0" xfId="0" applyNumberFormat="1" applyFont="1" applyFill="1" applyBorder="1" applyAlignment="1" applyProtection="1">
      <alignment horizontal="left" indent="1"/>
    </xf>
    <xf numFmtId="3" fontId="23" fillId="4" borderId="0" xfId="0" applyNumberFormat="1" applyFont="1" applyFill="1" applyAlignment="1" applyProtection="1"/>
    <xf numFmtId="3" fontId="23" fillId="4" borderId="9" xfId="0" applyNumberFormat="1" applyFont="1" applyFill="1" applyBorder="1" applyAlignment="1" applyProtection="1"/>
    <xf numFmtId="3" fontId="8" fillId="4" borderId="0" xfId="0" applyNumberFormat="1" applyFont="1" applyFill="1" applyBorder="1" applyAlignment="1" applyProtection="1">
      <alignment horizontal="left"/>
    </xf>
    <xf numFmtId="3" fontId="25" fillId="4" borderId="0" xfId="0" applyNumberFormat="1" applyFont="1" applyFill="1" applyBorder="1" applyAlignment="1" applyProtection="1">
      <alignment vertical="center"/>
    </xf>
    <xf numFmtId="3" fontId="25" fillId="4" borderId="0" xfId="0" applyNumberFormat="1" applyFont="1" applyFill="1" applyBorder="1" applyAlignment="1" applyProtection="1">
      <alignment horizontal="left" vertical="center"/>
    </xf>
    <xf numFmtId="3" fontId="25" fillId="4" borderId="0" xfId="0" applyNumberFormat="1" applyFont="1" applyFill="1" applyAlignment="1" applyProtection="1"/>
    <xf numFmtId="3" fontId="25" fillId="4" borderId="0" xfId="0" applyNumberFormat="1" applyFont="1" applyFill="1" applyBorder="1" applyAlignment="1" applyProtection="1">
      <alignment horizontal="left" vertical="top"/>
    </xf>
    <xf numFmtId="164" fontId="10" fillId="4" borderId="0" xfId="1" applyNumberFormat="1" applyFont="1" applyFill="1" applyBorder="1" applyAlignment="1" applyProtection="1">
      <alignment horizontal="left" vertical="center"/>
    </xf>
    <xf numFmtId="3" fontId="22" fillId="4" borderId="14" xfId="0" applyNumberFormat="1" applyFont="1" applyFill="1" applyBorder="1" applyAlignment="1" applyProtection="1">
      <alignment horizontal="left" vertical="center"/>
    </xf>
    <xf numFmtId="3" fontId="18" fillId="4" borderId="14" xfId="0" applyNumberFormat="1" applyFont="1" applyFill="1" applyBorder="1" applyAlignment="1" applyProtection="1"/>
    <xf numFmtId="3" fontId="22" fillId="4" borderId="14" xfId="0" applyNumberFormat="1" applyFont="1" applyFill="1" applyBorder="1" applyAlignment="1" applyProtection="1">
      <alignment horizontal="left" wrapText="1"/>
    </xf>
    <xf numFmtId="3" fontId="18" fillId="4" borderId="15" xfId="0" applyNumberFormat="1" applyFont="1" applyFill="1" applyBorder="1" applyAlignment="1" applyProtection="1">
      <alignment horizontal="left"/>
    </xf>
    <xf numFmtId="3" fontId="18" fillId="4" borderId="0" xfId="0" applyNumberFormat="1" applyFont="1" applyFill="1" applyBorder="1" applyAlignment="1" applyProtection="1">
      <alignment horizontal="center" vertical="center"/>
    </xf>
    <xf numFmtId="3" fontId="18" fillId="4" borderId="17" xfId="0" applyNumberFormat="1" applyFont="1" applyFill="1" applyBorder="1" applyAlignment="1" applyProtection="1">
      <alignment horizontal="left"/>
    </xf>
    <xf numFmtId="3" fontId="38" fillId="4" borderId="0" xfId="0" applyNumberFormat="1" applyFont="1" applyFill="1" applyBorder="1" applyProtection="1"/>
    <xf numFmtId="3" fontId="40" fillId="4" borderId="0" xfId="0" applyNumberFormat="1" applyFont="1" applyFill="1" applyBorder="1" applyAlignment="1" applyProtection="1">
      <alignment horizontal="center"/>
    </xf>
    <xf numFmtId="3" fontId="13" fillId="4" borderId="0" xfId="0" applyNumberFormat="1" applyFont="1" applyFill="1" applyBorder="1" applyProtection="1"/>
    <xf numFmtId="3" fontId="53" fillId="4" borderId="0" xfId="0" applyNumberFormat="1" applyFont="1" applyFill="1" applyBorder="1" applyProtection="1"/>
    <xf numFmtId="3" fontId="22" fillId="4" borderId="0" xfId="0" applyNumberFormat="1" applyFont="1" applyFill="1" applyBorder="1" applyAlignment="1" applyProtection="1">
      <alignment horizontal="left" wrapText="1"/>
    </xf>
    <xf numFmtId="3" fontId="14" fillId="4" borderId="0" xfId="0" applyNumberFormat="1" applyFont="1" applyFill="1" applyBorder="1" applyAlignment="1" applyProtection="1">
      <alignment horizontal="center"/>
    </xf>
    <xf numFmtId="3" fontId="2" fillId="4" borderId="0" xfId="0" applyNumberFormat="1" applyFont="1" applyFill="1" applyBorder="1" applyProtection="1"/>
    <xf numFmtId="3" fontId="10" fillId="4" borderId="38" xfId="0" applyNumberFormat="1" applyFont="1" applyFill="1" applyBorder="1" applyAlignment="1" applyProtection="1">
      <alignment horizontal="left" vertical="center"/>
    </xf>
    <xf numFmtId="3" fontId="2" fillId="4" borderId="38" xfId="0" applyNumberFormat="1" applyFont="1" applyFill="1" applyBorder="1" applyProtection="1"/>
    <xf numFmtId="3" fontId="20" fillId="4" borderId="38" xfId="0" applyNumberFormat="1" applyFont="1" applyFill="1" applyBorder="1" applyProtection="1"/>
    <xf numFmtId="3" fontId="18" fillId="4" borderId="38" xfId="0" applyNumberFormat="1" applyFont="1" applyFill="1" applyBorder="1" applyAlignment="1" applyProtection="1"/>
    <xf numFmtId="3" fontId="18" fillId="4" borderId="38" xfId="0" applyNumberFormat="1" applyFont="1" applyFill="1" applyBorder="1" applyProtection="1"/>
    <xf numFmtId="3" fontId="22" fillId="4" borderId="0" xfId="0" applyNumberFormat="1" applyFont="1" applyFill="1" applyBorder="1" applyAlignment="1" applyProtection="1">
      <alignment horizontal="center"/>
    </xf>
    <xf numFmtId="3" fontId="22" fillId="4" borderId="0" xfId="0" applyNumberFormat="1" applyFont="1" applyFill="1" applyBorder="1" applyAlignment="1" applyProtection="1"/>
    <xf numFmtId="3" fontId="7" fillId="4" borderId="0" xfId="2" applyNumberFormat="1" applyFont="1" applyFill="1" applyBorder="1" applyAlignment="1" applyProtection="1">
      <alignment vertical="center"/>
    </xf>
    <xf numFmtId="1" fontId="18" fillId="4" borderId="0" xfId="0" applyNumberFormat="1" applyFont="1" applyFill="1" applyBorder="1" applyProtection="1"/>
    <xf numFmtId="0" fontId="10" fillId="4" borderId="0" xfId="0" applyNumberFormat="1" applyFont="1" applyFill="1" applyBorder="1" applyAlignment="1" applyProtection="1">
      <alignment horizontal="left" vertical="center"/>
    </xf>
    <xf numFmtId="3" fontId="18" fillId="4" borderId="0" xfId="0" applyNumberFormat="1" applyFont="1" applyFill="1" applyBorder="1" applyAlignment="1" applyProtection="1">
      <alignment horizontal="center"/>
    </xf>
    <xf numFmtId="3" fontId="40" fillId="4" borderId="17" xfId="0" applyNumberFormat="1" applyFont="1" applyFill="1" applyBorder="1" applyAlignment="1" applyProtection="1">
      <alignment horizontal="center"/>
    </xf>
    <xf numFmtId="3" fontId="10" fillId="3" borderId="0" xfId="0" applyNumberFormat="1" applyFont="1" applyFill="1" applyBorder="1" applyAlignment="1" applyProtection="1">
      <alignment horizontal="left"/>
    </xf>
    <xf numFmtId="3" fontId="30" fillId="3" borderId="0" xfId="2" applyNumberFormat="1" applyFont="1" applyFill="1" applyBorder="1" applyAlignment="1" applyProtection="1">
      <alignment vertical="center"/>
    </xf>
    <xf numFmtId="3" fontId="18" fillId="3" borderId="0" xfId="0" applyNumberFormat="1" applyFont="1" applyFill="1" applyBorder="1" applyProtection="1"/>
    <xf numFmtId="3" fontId="10" fillId="4" borderId="0" xfId="0" applyNumberFormat="1" applyFont="1" applyFill="1" applyBorder="1" applyAlignment="1" applyProtection="1">
      <alignment horizontal="center"/>
    </xf>
    <xf numFmtId="3" fontId="2" fillId="4" borderId="0" xfId="2" applyNumberFormat="1" applyFont="1" applyFill="1" applyBorder="1" applyAlignment="1" applyProtection="1">
      <alignment vertical="center"/>
    </xf>
    <xf numFmtId="3" fontId="10" fillId="4" borderId="0" xfId="0" applyNumberFormat="1" applyFont="1" applyFill="1" applyBorder="1" applyAlignment="1" applyProtection="1">
      <alignment horizontal="right"/>
    </xf>
    <xf numFmtId="3" fontId="28" fillId="4" borderId="0" xfId="2" applyNumberFormat="1" applyFont="1" applyFill="1" applyBorder="1" applyAlignment="1" applyProtection="1">
      <alignment vertical="center"/>
    </xf>
    <xf numFmtId="3" fontId="22" fillId="4" borderId="16" xfId="0" applyNumberFormat="1" applyFont="1" applyFill="1" applyBorder="1" applyProtection="1"/>
    <xf numFmtId="0" fontId="12" fillId="4" borderId="0" xfId="0" applyNumberFormat="1" applyFont="1" applyFill="1" applyBorder="1" applyAlignment="1" applyProtection="1">
      <alignment horizontal="left"/>
    </xf>
    <xf numFmtId="3" fontId="15" fillId="4" borderId="0" xfId="0" applyNumberFormat="1" applyFont="1" applyFill="1" applyBorder="1" applyProtection="1"/>
    <xf numFmtId="3" fontId="35" fillId="4" borderId="0" xfId="0" applyNumberFormat="1" applyFont="1" applyFill="1" applyBorder="1" applyProtection="1"/>
    <xf numFmtId="3" fontId="22" fillId="4" borderId="0" xfId="0" applyNumberFormat="1" applyFont="1" applyFill="1" applyBorder="1" applyProtection="1"/>
    <xf numFmtId="3" fontId="22" fillId="2" borderId="0" xfId="0" applyNumberFormat="1" applyFont="1" applyFill="1" applyProtection="1"/>
    <xf numFmtId="0" fontId="14" fillId="4" borderId="0" xfId="0" applyNumberFormat="1" applyFont="1" applyFill="1" applyBorder="1" applyProtection="1"/>
    <xf numFmtId="3" fontId="16" fillId="4" borderId="0" xfId="0" applyNumberFormat="1" applyFont="1" applyFill="1" applyBorder="1" applyAlignment="1" applyProtection="1">
      <alignment horizontal="left"/>
    </xf>
    <xf numFmtId="0" fontId="14" fillId="4" borderId="0" xfId="0" applyNumberFormat="1" applyFont="1" applyFill="1" applyBorder="1" applyAlignment="1" applyProtection="1">
      <alignment horizontal="right"/>
    </xf>
    <xf numFmtId="3" fontId="13" fillId="4" borderId="0" xfId="0" applyNumberFormat="1" applyFont="1" applyFill="1" applyBorder="1" applyAlignment="1" applyProtection="1">
      <alignment horizontal="left"/>
    </xf>
    <xf numFmtId="3" fontId="55" fillId="4" borderId="0" xfId="2" applyNumberFormat="1" applyFont="1" applyFill="1" applyBorder="1" applyAlignment="1" applyProtection="1">
      <alignment vertical="center"/>
    </xf>
    <xf numFmtId="0" fontId="18" fillId="4" borderId="0" xfId="0" applyNumberFormat="1" applyFont="1" applyFill="1" applyBorder="1" applyProtection="1"/>
    <xf numFmtId="3" fontId="12" fillId="4" borderId="0" xfId="0" applyNumberFormat="1" applyFont="1" applyFill="1" applyBorder="1" applyProtection="1"/>
    <xf numFmtId="0" fontId="6" fillId="4" borderId="0" xfId="0" applyNumberFormat="1" applyFont="1" applyFill="1" applyBorder="1" applyProtection="1"/>
    <xf numFmtId="3" fontId="8" fillId="4" borderId="0" xfId="2" applyNumberFormat="1" applyFont="1" applyFill="1" applyBorder="1" applyAlignment="1" applyProtection="1">
      <alignment vertical="center"/>
    </xf>
    <xf numFmtId="0" fontId="10" fillId="4" borderId="0" xfId="0" applyNumberFormat="1" applyFont="1" applyFill="1" applyBorder="1" applyAlignment="1" applyProtection="1">
      <alignment horizontal="center"/>
    </xf>
    <xf numFmtId="0" fontId="10" fillId="4" borderId="0" xfId="0" applyNumberFormat="1" applyFont="1" applyFill="1" applyBorder="1" applyAlignment="1" applyProtection="1">
      <alignment horizontal="left"/>
    </xf>
    <xf numFmtId="3" fontId="11" fillId="4" borderId="0" xfId="2" applyNumberFormat="1" applyFont="1" applyFill="1" applyBorder="1" applyAlignment="1" applyProtection="1">
      <alignment vertical="center"/>
    </xf>
    <xf numFmtId="0" fontId="18" fillId="4" borderId="19" xfId="0" applyNumberFormat="1" applyFont="1" applyFill="1" applyBorder="1" applyProtection="1"/>
    <xf numFmtId="0" fontId="18" fillId="2" borderId="0" xfId="0" applyNumberFormat="1" applyFont="1" applyFill="1" applyBorder="1" applyProtection="1"/>
    <xf numFmtId="0" fontId="18" fillId="4" borderId="14" xfId="0" applyNumberFormat="1" applyFont="1" applyFill="1" applyBorder="1" applyProtection="1"/>
    <xf numFmtId="3" fontId="17" fillId="4" borderId="0" xfId="2" applyNumberFormat="1" applyFont="1" applyFill="1" applyBorder="1" applyAlignment="1" applyProtection="1">
      <alignment vertical="center"/>
    </xf>
    <xf numFmtId="3" fontId="45" fillId="4" borderId="0" xfId="2" applyNumberFormat="1" applyFont="1" applyFill="1" applyBorder="1" applyAlignment="1" applyProtection="1">
      <alignment vertical="center"/>
    </xf>
    <xf numFmtId="0" fontId="10" fillId="4" borderId="0" xfId="0" applyNumberFormat="1" applyFont="1" applyFill="1" applyBorder="1" applyAlignment="1" applyProtection="1">
      <alignment horizontal="right"/>
    </xf>
    <xf numFmtId="3" fontId="33" fillId="2" borderId="0" xfId="0" applyNumberFormat="1" applyFont="1" applyFill="1" applyProtection="1"/>
    <xf numFmtId="3" fontId="34" fillId="2" borderId="0" xfId="0" applyNumberFormat="1" applyFont="1" applyFill="1" applyProtection="1"/>
    <xf numFmtId="3" fontId="74" fillId="2" borderId="0" xfId="0" applyNumberFormat="1" applyFont="1" applyFill="1" applyProtection="1"/>
    <xf numFmtId="3" fontId="33" fillId="0" borderId="0" xfId="0" applyNumberFormat="1" applyFont="1" applyProtection="1"/>
    <xf numFmtId="3" fontId="18" fillId="4" borderId="0" xfId="0" applyNumberFormat="1" applyFont="1" applyFill="1" applyBorder="1" applyAlignment="1" applyProtection="1">
      <alignment horizontal="center"/>
      <protection locked="0"/>
    </xf>
    <xf numFmtId="3" fontId="18" fillId="2" borderId="1" xfId="0" applyNumberFormat="1" applyFont="1" applyFill="1" applyBorder="1" applyAlignment="1" applyProtection="1">
      <alignment horizontal="center"/>
      <protection locked="0"/>
    </xf>
    <xf numFmtId="3" fontId="18" fillId="2" borderId="1" xfId="0" applyNumberFormat="1" applyFont="1" applyFill="1" applyBorder="1" applyAlignment="1" applyProtection="1">
      <alignment horizontal="left"/>
      <protection locked="0"/>
    </xf>
    <xf numFmtId="3" fontId="14" fillId="4" borderId="0" xfId="0" applyNumberFormat="1" applyFont="1" applyFill="1" applyBorder="1" applyProtection="1">
      <protection locked="0"/>
    </xf>
    <xf numFmtId="3" fontId="40" fillId="4" borderId="17" xfId="0" applyNumberFormat="1" applyFont="1" applyFill="1" applyBorder="1" applyAlignment="1" applyProtection="1">
      <alignment horizontal="center"/>
      <protection locked="0"/>
    </xf>
    <xf numFmtId="3" fontId="18" fillId="4" borderId="0" xfId="0" applyNumberFormat="1" applyFont="1" applyFill="1" applyBorder="1" applyAlignment="1" applyProtection="1">
      <protection locked="0"/>
    </xf>
    <xf numFmtId="3" fontId="22" fillId="4" borderId="0" xfId="0" applyNumberFormat="1" applyFont="1" applyFill="1" applyBorder="1" applyAlignment="1" applyProtection="1">
      <alignment horizontal="left" wrapText="1"/>
      <protection locked="0"/>
    </xf>
    <xf numFmtId="3" fontId="40" fillId="4" borderId="0" xfId="0" applyNumberFormat="1" applyFont="1" applyFill="1" applyBorder="1" applyAlignment="1" applyProtection="1">
      <alignment horizontal="center"/>
      <protection locked="0"/>
    </xf>
    <xf numFmtId="3" fontId="18" fillId="4" borderId="0" xfId="0" applyNumberFormat="1" applyFont="1" applyFill="1" applyBorder="1" applyProtection="1">
      <protection locked="0"/>
    </xf>
    <xf numFmtId="3" fontId="18" fillId="4" borderId="17" xfId="0" applyNumberFormat="1" applyFont="1" applyFill="1" applyBorder="1" applyAlignment="1" applyProtection="1">
      <alignment horizontal="left"/>
      <protection locked="0"/>
    </xf>
    <xf numFmtId="3" fontId="17" fillId="4" borderId="0" xfId="0" applyNumberFormat="1" applyFont="1" applyFill="1" applyBorder="1" applyAlignment="1" applyProtection="1">
      <protection locked="0"/>
    </xf>
    <xf numFmtId="0" fontId="0" fillId="6" borderId="0" xfId="0" applyFill="1" applyAlignment="1">
      <alignment horizontal="left"/>
    </xf>
    <xf numFmtId="3" fontId="44" fillId="4" borderId="0" xfId="2" applyNumberFormat="1" applyFont="1" applyFill="1" applyBorder="1" applyAlignment="1" applyProtection="1">
      <alignment horizontal="left" vertical="center" indent="1"/>
    </xf>
    <xf numFmtId="0" fontId="25" fillId="2" borderId="0" xfId="4" applyFill="1"/>
    <xf numFmtId="0" fontId="28" fillId="2" borderId="0" xfId="4" applyFont="1" applyFill="1"/>
    <xf numFmtId="0" fontId="25" fillId="2" borderId="0" xfId="4" applyFont="1" applyFill="1"/>
    <xf numFmtId="0" fontId="81" fillId="2" borderId="0" xfId="4" applyFont="1" applyFill="1"/>
    <xf numFmtId="0" fontId="25" fillId="2" borderId="0" xfId="4" applyFont="1" applyFill="1" applyAlignment="1">
      <alignment horizontal="left" indent="1"/>
    </xf>
    <xf numFmtId="0" fontId="81" fillId="2" borderId="0" xfId="4" applyFont="1" applyFill="1" applyAlignment="1">
      <alignment horizontal="left" indent="1"/>
    </xf>
    <xf numFmtId="0" fontId="82" fillId="2" borderId="0" xfId="4" applyFont="1" applyFill="1"/>
    <xf numFmtId="0" fontId="83" fillId="2" borderId="0" xfId="4" applyFont="1" applyFill="1" applyAlignment="1">
      <alignment horizontal="left" vertical="center" indent="1"/>
    </xf>
    <xf numFmtId="0" fontId="84" fillId="2" borderId="0" xfId="4" applyFont="1" applyFill="1" applyAlignment="1">
      <alignment vertical="center"/>
    </xf>
    <xf numFmtId="0" fontId="85" fillId="2" borderId="0" xfId="4" applyFont="1" applyFill="1" applyAlignment="1">
      <alignment vertical="center"/>
    </xf>
    <xf numFmtId="0" fontId="25" fillId="2" borderId="0" xfId="4" applyFill="1" applyAlignment="1">
      <alignment vertical="center"/>
    </xf>
    <xf numFmtId="0" fontId="84" fillId="2" borderId="0" xfId="4" applyFont="1" applyFill="1"/>
    <xf numFmtId="0" fontId="86" fillId="2" borderId="0" xfId="4" applyFont="1" applyFill="1"/>
    <xf numFmtId="0" fontId="26" fillId="2" borderId="0" xfId="4" applyFont="1" applyFill="1"/>
    <xf numFmtId="3" fontId="18" fillId="4" borderId="0" xfId="0" applyNumberFormat="1" applyFont="1" applyFill="1" applyBorder="1" applyAlignment="1" applyProtection="1"/>
    <xf numFmtId="0" fontId="0" fillId="0" borderId="0" xfId="0" applyAlignment="1" applyProtection="1"/>
    <xf numFmtId="3" fontId="18" fillId="4" borderId="11" xfId="0" applyNumberFormat="1" applyFont="1" applyFill="1" applyBorder="1" applyAlignment="1" applyProtection="1"/>
    <xf numFmtId="0" fontId="0" fillId="0" borderId="11" xfId="0" applyBorder="1" applyAlignment="1" applyProtection="1"/>
    <xf numFmtId="3" fontId="18" fillId="4" borderId="19" xfId="0" applyNumberFormat="1" applyFont="1" applyFill="1" applyBorder="1" applyAlignment="1" applyProtection="1"/>
    <xf numFmtId="0" fontId="0" fillId="0" borderId="19" xfId="0" applyBorder="1" applyAlignment="1" applyProtection="1"/>
    <xf numFmtId="3" fontId="23" fillId="4" borderId="3" xfId="0" applyNumberFormat="1" applyFont="1" applyFill="1" applyBorder="1" applyAlignment="1" applyProtection="1">
      <alignment vertical="center"/>
    </xf>
    <xf numFmtId="0" fontId="0" fillId="0" borderId="3" xfId="0" applyBorder="1" applyAlignment="1" applyProtection="1"/>
    <xf numFmtId="3" fontId="23" fillId="4" borderId="37" xfId="0" applyNumberFormat="1" applyFont="1" applyFill="1" applyBorder="1" applyAlignment="1" applyProtection="1"/>
    <xf numFmtId="0" fontId="0" fillId="0" borderId="37" xfId="0" applyBorder="1" applyAlignment="1" applyProtection="1"/>
    <xf numFmtId="3" fontId="23" fillId="4" borderId="3" xfId="0" applyNumberFormat="1" applyFont="1" applyFill="1" applyBorder="1" applyAlignment="1" applyProtection="1"/>
    <xf numFmtId="3" fontId="18" fillId="4" borderId="33" xfId="0" applyNumberFormat="1" applyFont="1" applyFill="1" applyBorder="1" applyAlignment="1" applyProtection="1"/>
    <xf numFmtId="0" fontId="0" fillId="0" borderId="33" xfId="0" applyBorder="1" applyAlignment="1" applyProtection="1"/>
    <xf numFmtId="3" fontId="17" fillId="4" borderId="0" xfId="0" applyNumberFormat="1" applyFont="1" applyFill="1" applyBorder="1" applyAlignment="1" applyProtection="1"/>
    <xf numFmtId="0" fontId="0" fillId="0" borderId="9" xfId="0" applyBorder="1" applyAlignment="1" applyProtection="1"/>
    <xf numFmtId="3" fontId="17" fillId="4" borderId="9" xfId="0" applyNumberFormat="1" applyFont="1" applyFill="1" applyBorder="1" applyAlignment="1" applyProtection="1"/>
    <xf numFmtId="3" fontId="18" fillId="2" borderId="2" xfId="0" applyNumberFormat="1" applyFont="1" applyFill="1" applyBorder="1" applyAlignment="1" applyProtection="1">
      <alignment horizontal="center"/>
      <protection locked="0"/>
    </xf>
    <xf numFmtId="3" fontId="18" fillId="2" borderId="3" xfId="0" applyNumberFormat="1" applyFont="1" applyFill="1" applyBorder="1" applyAlignment="1" applyProtection="1">
      <alignment horizontal="center"/>
      <protection locked="0"/>
    </xf>
    <xf numFmtId="3" fontId="18" fillId="2" borderId="4" xfId="0" applyNumberFormat="1" applyFont="1" applyFill="1" applyBorder="1" applyAlignment="1" applyProtection="1">
      <alignment horizontal="center"/>
      <protection locked="0"/>
    </xf>
    <xf numFmtId="3" fontId="18" fillId="4" borderId="36" xfId="0" applyNumberFormat="1" applyFont="1" applyFill="1" applyBorder="1" applyAlignment="1" applyProtection="1"/>
    <xf numFmtId="0" fontId="0" fillId="0" borderId="36" xfId="0" applyBorder="1" applyAlignment="1" applyProtection="1"/>
    <xf numFmtId="3" fontId="18" fillId="4" borderId="37" xfId="0" applyNumberFormat="1" applyFont="1" applyFill="1" applyBorder="1" applyAlignment="1" applyProtection="1"/>
    <xf numFmtId="3" fontId="18" fillId="4" borderId="3" xfId="0" applyNumberFormat="1" applyFont="1" applyFill="1" applyBorder="1" applyAlignment="1" applyProtection="1"/>
    <xf numFmtId="3" fontId="18" fillId="4" borderId="35" xfId="0" applyNumberFormat="1" applyFont="1" applyFill="1" applyBorder="1" applyAlignment="1" applyProtection="1"/>
    <xf numFmtId="0" fontId="0" fillId="0" borderId="35" xfId="0" applyBorder="1" applyAlignment="1" applyProtection="1"/>
    <xf numFmtId="3" fontId="18" fillId="4" borderId="3" xfId="0" applyNumberFormat="1" applyFont="1" applyFill="1" applyBorder="1" applyAlignment="1" applyProtection="1">
      <alignment horizontal="center"/>
    </xf>
    <xf numFmtId="3" fontId="18" fillId="2" borderId="21" xfId="0" applyNumberFormat="1" applyFont="1" applyFill="1" applyBorder="1" applyAlignment="1" applyProtection="1">
      <alignment horizontal="center"/>
      <protection locked="0"/>
    </xf>
    <xf numFmtId="3" fontId="18" fillId="2" borderId="23" xfId="0" applyNumberFormat="1" applyFont="1" applyFill="1" applyBorder="1" applyAlignment="1" applyProtection="1">
      <alignment horizontal="center"/>
      <protection locked="0"/>
    </xf>
    <xf numFmtId="3" fontId="18" fillId="2" borderId="22" xfId="0" applyNumberFormat="1" applyFont="1" applyFill="1" applyBorder="1" applyAlignment="1" applyProtection="1">
      <alignment horizontal="center"/>
      <protection locked="0"/>
    </xf>
    <xf numFmtId="3" fontId="23" fillId="2" borderId="2" xfId="0" applyNumberFormat="1" applyFont="1" applyFill="1" applyBorder="1" applyAlignment="1" applyProtection="1">
      <alignment horizontal="center"/>
      <protection locked="0"/>
    </xf>
    <xf numFmtId="3" fontId="23" fillId="2" borderId="4" xfId="0" applyNumberFormat="1" applyFont="1" applyFill="1" applyBorder="1" applyAlignment="1" applyProtection="1">
      <alignment horizontal="center"/>
      <protection locked="0"/>
    </xf>
    <xf numFmtId="3" fontId="25" fillId="4" borderId="0" xfId="0" applyNumberFormat="1" applyFont="1" applyFill="1" applyBorder="1" applyAlignment="1" applyProtection="1">
      <alignment horizontal="left"/>
    </xf>
    <xf numFmtId="3" fontId="23" fillId="4" borderId="0" xfId="0" applyNumberFormat="1" applyFont="1" applyFill="1" applyAlignment="1" applyProtection="1"/>
    <xf numFmtId="3" fontId="23" fillId="4" borderId="9" xfId="0" applyNumberFormat="1" applyFont="1" applyFill="1" applyBorder="1" applyAlignment="1" applyProtection="1"/>
    <xf numFmtId="3" fontId="18" fillId="2" borderId="4" xfId="0" applyNumberFormat="1" applyFont="1" applyFill="1" applyBorder="1" applyAlignment="1" applyProtection="1">
      <protection locked="0"/>
    </xf>
    <xf numFmtId="3" fontId="23" fillId="4" borderId="11" xfId="0" applyNumberFormat="1" applyFont="1" applyFill="1" applyBorder="1" applyAlignment="1" applyProtection="1">
      <alignment horizontal="center"/>
    </xf>
    <xf numFmtId="3" fontId="5" fillId="0" borderId="11" xfId="0" applyNumberFormat="1" applyFont="1" applyBorder="1" applyAlignment="1" applyProtection="1">
      <alignment horizontal="center"/>
    </xf>
    <xf numFmtId="3" fontId="21" fillId="4" borderId="3" xfId="0" applyNumberFormat="1" applyFont="1" applyFill="1" applyBorder="1" applyAlignment="1" applyProtection="1">
      <alignment horizontal="center" wrapText="1"/>
    </xf>
    <xf numFmtId="0" fontId="0" fillId="0" borderId="3" xfId="0" applyBorder="1" applyAlignment="1" applyProtection="1">
      <alignment horizontal="center" wrapText="1"/>
    </xf>
    <xf numFmtId="3" fontId="13" fillId="4" borderId="0" xfId="0" applyNumberFormat="1" applyFont="1" applyFill="1" applyBorder="1" applyAlignment="1" applyProtection="1">
      <alignment horizontal="center"/>
    </xf>
    <xf numFmtId="3" fontId="23" fillId="4" borderId="11" xfId="0" applyNumberFormat="1" applyFont="1" applyFill="1" applyBorder="1" applyAlignment="1" applyProtection="1">
      <alignment horizontal="center" vertical="center"/>
    </xf>
    <xf numFmtId="3" fontId="23" fillId="4" borderId="0" xfId="0" applyNumberFormat="1" applyFont="1" applyFill="1" applyBorder="1" applyAlignment="1" applyProtection="1">
      <alignment horizontal="left"/>
    </xf>
    <xf numFmtId="3" fontId="2" fillId="2" borderId="2" xfId="0" applyNumberFormat="1" applyFont="1" applyFill="1" applyBorder="1" applyAlignment="1" applyProtection="1">
      <alignment horizontal="center"/>
      <protection locked="0"/>
    </xf>
    <xf numFmtId="3" fontId="54" fillId="0" borderId="3" xfId="0" applyNumberFormat="1" applyFont="1" applyBorder="1" applyAlignment="1" applyProtection="1">
      <alignment horizontal="center"/>
      <protection locked="0"/>
    </xf>
    <xf numFmtId="0" fontId="0" fillId="0" borderId="4" xfId="0" applyBorder="1" applyAlignment="1" applyProtection="1">
      <protection locked="0"/>
    </xf>
    <xf numFmtId="0" fontId="0" fillId="0" borderId="0" xfId="0" applyBorder="1" applyAlignment="1" applyProtection="1"/>
    <xf numFmtId="3" fontId="18" fillId="4" borderId="3" xfId="0" applyNumberFormat="1" applyFont="1" applyFill="1" applyBorder="1" applyAlignment="1" applyProtection="1">
      <alignment vertical="center"/>
    </xf>
    <xf numFmtId="3" fontId="40" fillId="3" borderId="0" xfId="0" applyNumberFormat="1" applyFont="1" applyFill="1" applyBorder="1" applyAlignment="1" applyProtection="1">
      <alignment horizontal="center"/>
    </xf>
    <xf numFmtId="3" fontId="41" fillId="3" borderId="0" xfId="0" applyNumberFormat="1" applyFont="1" applyFill="1" applyBorder="1" applyAlignment="1" applyProtection="1">
      <alignment horizontal="center"/>
    </xf>
    <xf numFmtId="3" fontId="18" fillId="4" borderId="34" xfId="0" applyNumberFormat="1" applyFont="1" applyFill="1" applyBorder="1" applyAlignment="1" applyProtection="1"/>
    <xf numFmtId="0" fontId="0" fillId="0" borderId="34" xfId="0" applyBorder="1" applyAlignment="1" applyProtection="1"/>
    <xf numFmtId="3" fontId="22" fillId="4" borderId="11" xfId="0" applyNumberFormat="1" applyFont="1" applyFill="1" applyBorder="1" applyAlignment="1" applyProtection="1">
      <alignment horizontal="left" vertical="center"/>
    </xf>
    <xf numFmtId="3" fontId="43" fillId="4" borderId="0" xfId="0" applyNumberFormat="1" applyFont="1" applyFill="1" applyBorder="1" applyAlignment="1" applyProtection="1">
      <alignment horizontal="left" vertical="center" wrapText="1"/>
    </xf>
    <xf numFmtId="0" fontId="71" fillId="0" borderId="0" xfId="0" applyFont="1" applyAlignment="1" applyProtection="1">
      <alignment horizontal="left" wrapText="1"/>
    </xf>
    <xf numFmtId="0" fontId="71" fillId="0" borderId="0" xfId="0" applyFont="1" applyAlignment="1" applyProtection="1"/>
    <xf numFmtId="1" fontId="22" fillId="4" borderId="39" xfId="0" applyNumberFormat="1" applyFont="1" applyFill="1" applyBorder="1" applyAlignment="1" applyProtection="1">
      <alignment horizontal="center"/>
    </xf>
    <xf numFmtId="3" fontId="40" fillId="4" borderId="0" xfId="0" applyNumberFormat="1" applyFont="1" applyFill="1" applyBorder="1" applyAlignment="1" applyProtection="1">
      <alignment horizontal="center"/>
    </xf>
    <xf numFmtId="3" fontId="25" fillId="4" borderId="3" xfId="0" applyNumberFormat="1" applyFont="1" applyFill="1" applyBorder="1" applyAlignment="1" applyProtection="1"/>
    <xf numFmtId="0" fontId="5" fillId="0" borderId="3" xfId="0" applyFont="1" applyBorder="1" applyAlignment="1" applyProtection="1"/>
    <xf numFmtId="3" fontId="25" fillId="2" borderId="2" xfId="0" applyNumberFormat="1" applyFont="1" applyFill="1" applyBorder="1" applyAlignment="1" applyProtection="1">
      <alignment horizontal="center"/>
      <protection locked="0"/>
    </xf>
    <xf numFmtId="3" fontId="25" fillId="2" borderId="4" xfId="0" applyNumberFormat="1" applyFont="1" applyFill="1" applyBorder="1" applyAlignment="1" applyProtection="1">
      <protection locked="0"/>
    </xf>
    <xf numFmtId="3" fontId="17" fillId="2" borderId="2" xfId="0" applyNumberFormat="1" applyFont="1" applyFill="1" applyBorder="1" applyAlignment="1" applyProtection="1">
      <alignment horizontal="center"/>
      <protection locked="0"/>
    </xf>
    <xf numFmtId="3" fontId="17" fillId="2" borderId="4" xfId="0" applyNumberFormat="1" applyFont="1" applyFill="1" applyBorder="1" applyAlignment="1" applyProtection="1">
      <protection locked="0"/>
    </xf>
    <xf numFmtId="3" fontId="28" fillId="2" borderId="2" xfId="0" applyNumberFormat="1" applyFont="1" applyFill="1" applyBorder="1" applyAlignment="1" applyProtection="1">
      <alignment horizontal="center"/>
      <protection locked="0"/>
    </xf>
    <xf numFmtId="3" fontId="28" fillId="2" borderId="4" xfId="0" applyNumberFormat="1" applyFont="1" applyFill="1" applyBorder="1" applyAlignment="1" applyProtection="1">
      <protection locked="0"/>
    </xf>
    <xf numFmtId="3" fontId="18" fillId="2" borderId="27" xfId="0" applyNumberFormat="1" applyFont="1" applyFill="1" applyBorder="1" applyAlignment="1" applyProtection="1">
      <alignment horizontal="center"/>
      <protection locked="0"/>
    </xf>
    <xf numFmtId="3" fontId="18" fillId="2" borderId="28" xfId="0" applyNumberFormat="1" applyFont="1" applyFill="1" applyBorder="1" applyAlignment="1" applyProtection="1">
      <alignment horizontal="center"/>
      <protection locked="0"/>
    </xf>
    <xf numFmtId="3" fontId="18" fillId="2" borderId="29" xfId="0" applyNumberFormat="1" applyFont="1" applyFill="1" applyBorder="1" applyAlignment="1" applyProtection="1">
      <alignment horizontal="center"/>
      <protection locked="0"/>
    </xf>
    <xf numFmtId="3" fontId="25" fillId="4" borderId="11" xfId="0" applyNumberFormat="1" applyFont="1" applyFill="1" applyBorder="1" applyAlignment="1" applyProtection="1"/>
    <xf numFmtId="0" fontId="5" fillId="0" borderId="11" xfId="0" applyFont="1" applyBorder="1" applyAlignment="1" applyProtection="1"/>
    <xf numFmtId="3" fontId="41" fillId="0" borderId="24" xfId="0" applyNumberFormat="1" applyFont="1" applyBorder="1" applyAlignment="1" applyProtection="1">
      <alignment horizontal="center"/>
    </xf>
    <xf numFmtId="3" fontId="40" fillId="4" borderId="17" xfId="0" applyNumberFormat="1" applyFont="1" applyFill="1" applyBorder="1" applyAlignment="1" applyProtection="1">
      <alignment horizontal="center"/>
    </xf>
    <xf numFmtId="1" fontId="22" fillId="4" borderId="0" xfId="0" applyNumberFormat="1" applyFont="1" applyFill="1" applyBorder="1" applyAlignment="1" applyProtection="1">
      <alignment horizontal="center"/>
    </xf>
    <xf numFmtId="3" fontId="0" fillId="0" borderId="17" xfId="0" applyNumberFormat="1" applyBorder="1" applyAlignment="1" applyProtection="1">
      <alignment horizontal="center"/>
    </xf>
    <xf numFmtId="3" fontId="18" fillId="4" borderId="11" xfId="0" applyNumberFormat="1" applyFont="1" applyFill="1" applyBorder="1" applyAlignment="1" applyProtection="1">
      <alignment horizontal="center"/>
    </xf>
    <xf numFmtId="0" fontId="0" fillId="0" borderId="11" xfId="0" applyBorder="1" applyAlignment="1" applyProtection="1">
      <alignment horizontal="center"/>
    </xf>
    <xf numFmtId="3" fontId="7" fillId="2" borderId="2" xfId="2" applyNumberFormat="1" applyFont="1" applyFill="1" applyBorder="1" applyAlignment="1" applyProtection="1">
      <alignment vertical="center"/>
      <protection locked="0"/>
    </xf>
    <xf numFmtId="3" fontId="0" fillId="2" borderId="3" xfId="0" applyNumberFormat="1" applyFill="1" applyBorder="1" applyAlignment="1" applyProtection="1">
      <protection locked="0"/>
    </xf>
    <xf numFmtId="3" fontId="0" fillId="2" borderId="4" xfId="0" applyNumberFormat="1" applyFill="1" applyBorder="1" applyAlignment="1" applyProtection="1">
      <protection locked="0"/>
    </xf>
    <xf numFmtId="3" fontId="22" fillId="2" borderId="21" xfId="0" applyNumberFormat="1" applyFont="1" applyFill="1" applyBorder="1" applyAlignment="1" applyProtection="1">
      <alignment horizontal="center"/>
      <protection locked="0"/>
    </xf>
    <xf numFmtId="3" fontId="22" fillId="2" borderId="23" xfId="0" applyNumberFormat="1" applyFont="1" applyFill="1" applyBorder="1" applyAlignment="1" applyProtection="1">
      <alignment horizontal="center"/>
      <protection locked="0"/>
    </xf>
    <xf numFmtId="3" fontId="22" fillId="2" borderId="22" xfId="0" applyNumberFormat="1" applyFont="1" applyFill="1" applyBorder="1" applyAlignment="1" applyProtection="1">
      <alignment horizontal="center"/>
      <protection locked="0"/>
    </xf>
    <xf numFmtId="3" fontId="7" fillId="2" borderId="2" xfId="2" applyNumberFormat="1" applyFont="1" applyFill="1" applyBorder="1" applyAlignment="1" applyProtection="1">
      <alignment horizontal="center" vertical="center"/>
      <protection locked="0"/>
    </xf>
    <xf numFmtId="3" fontId="0" fillId="2" borderId="3" xfId="0" applyNumberFormat="1" applyFill="1" applyBorder="1" applyAlignment="1" applyProtection="1">
      <alignment horizontal="center" vertical="center"/>
      <protection locked="0"/>
    </xf>
    <xf numFmtId="3" fontId="0" fillId="2" borderId="4" xfId="0" applyNumberFormat="1" applyFill="1" applyBorder="1" applyAlignment="1" applyProtection="1">
      <alignment horizontal="center" vertical="center"/>
      <protection locked="0"/>
    </xf>
    <xf numFmtId="3" fontId="23" fillId="4" borderId="11" xfId="0" applyNumberFormat="1" applyFont="1" applyFill="1" applyBorder="1" applyAlignment="1" applyProtection="1"/>
    <xf numFmtId="3" fontId="23" fillId="4" borderId="3" xfId="0" applyNumberFormat="1" applyFont="1" applyFill="1" applyBorder="1" applyAlignment="1" applyProtection="1">
      <alignment horizontal="center" wrapText="1"/>
    </xf>
    <xf numFmtId="0" fontId="0" fillId="0" borderId="7" xfId="0" applyBorder="1" applyAlignment="1" applyProtection="1"/>
    <xf numFmtId="3" fontId="20" fillId="4" borderId="3" xfId="0" applyNumberFormat="1" applyFont="1" applyFill="1" applyBorder="1" applyAlignment="1" applyProtection="1"/>
    <xf numFmtId="3" fontId="20" fillId="4" borderId="11" xfId="0" applyNumberFormat="1" applyFont="1" applyFill="1" applyBorder="1" applyAlignment="1" applyProtection="1"/>
    <xf numFmtId="3" fontId="18" fillId="4" borderId="14" xfId="0" applyNumberFormat="1" applyFont="1" applyFill="1" applyBorder="1" applyAlignment="1" applyProtection="1"/>
    <xf numFmtId="0" fontId="0" fillId="0" borderId="14" xfId="0" applyBorder="1" applyAlignment="1" applyProtection="1"/>
    <xf numFmtId="3" fontId="20" fillId="4" borderId="0" xfId="0" applyNumberFormat="1" applyFont="1" applyFill="1" applyBorder="1" applyAlignment="1" applyProtection="1"/>
    <xf numFmtId="3" fontId="23" fillId="2" borderId="4" xfId="0" applyNumberFormat="1" applyFont="1" applyFill="1" applyBorder="1" applyAlignment="1" applyProtection="1">
      <protection locked="0"/>
    </xf>
    <xf numFmtId="3" fontId="32" fillId="4" borderId="14" xfId="0" applyNumberFormat="1" applyFont="1" applyFill="1" applyBorder="1" applyAlignment="1" applyProtection="1">
      <alignment horizontal="center" vertical="center"/>
    </xf>
    <xf numFmtId="3" fontId="32" fillId="4" borderId="15" xfId="0" applyNumberFormat="1" applyFont="1" applyFill="1" applyBorder="1" applyAlignment="1" applyProtection="1">
      <alignment horizontal="center" vertical="center"/>
    </xf>
    <xf numFmtId="3" fontId="32" fillId="4" borderId="0" xfId="0" applyNumberFormat="1" applyFont="1" applyFill="1" applyAlignment="1" applyProtection="1">
      <alignment horizontal="center" vertical="center"/>
    </xf>
    <xf numFmtId="3" fontId="32" fillId="4" borderId="17" xfId="0" applyNumberFormat="1" applyFont="1" applyFill="1" applyBorder="1" applyAlignment="1" applyProtection="1">
      <alignment horizontal="center" vertical="center"/>
    </xf>
    <xf numFmtId="3" fontId="23" fillId="2" borderId="3" xfId="0" applyNumberFormat="1" applyFont="1" applyFill="1" applyBorder="1" applyAlignment="1" applyProtection="1">
      <alignment horizontal="center"/>
      <protection locked="0"/>
    </xf>
    <xf numFmtId="3" fontId="23" fillId="2" borderId="3" xfId="0" applyNumberFormat="1" applyFont="1" applyFill="1" applyBorder="1" applyAlignment="1" applyProtection="1">
      <protection locked="0"/>
    </xf>
    <xf numFmtId="3" fontId="23" fillId="2" borderId="21" xfId="0" applyNumberFormat="1" applyFont="1" applyFill="1" applyBorder="1" applyAlignment="1" applyProtection="1">
      <alignment horizontal="center" wrapText="1"/>
      <protection locked="0"/>
    </xf>
    <xf numFmtId="3" fontId="23" fillId="2" borderId="23" xfId="0" applyNumberFormat="1" applyFont="1" applyFill="1" applyBorder="1" applyAlignment="1" applyProtection="1">
      <alignment horizontal="center" wrapText="1"/>
      <protection locked="0"/>
    </xf>
    <xf numFmtId="3" fontId="23" fillId="2" borderId="22" xfId="0" applyNumberFormat="1" applyFont="1" applyFill="1" applyBorder="1" applyAlignment="1" applyProtection="1">
      <alignment horizontal="center" wrapText="1"/>
      <protection locked="0"/>
    </xf>
    <xf numFmtId="166" fontId="23" fillId="2" borderId="2" xfId="0" applyNumberFormat="1" applyFont="1" applyFill="1" applyBorder="1" applyAlignment="1" applyProtection="1">
      <alignment horizontal="center" wrapText="1"/>
      <protection locked="0"/>
    </xf>
    <xf numFmtId="166" fontId="23" fillId="2" borderId="3" xfId="0" applyNumberFormat="1" applyFont="1" applyFill="1" applyBorder="1" applyAlignment="1" applyProtection="1">
      <alignment horizontal="center" wrapText="1"/>
      <protection locked="0"/>
    </xf>
    <xf numFmtId="166" fontId="23" fillId="2" borderId="4" xfId="0" applyNumberFormat="1" applyFont="1" applyFill="1" applyBorder="1" applyAlignment="1" applyProtection="1">
      <alignment horizontal="center" wrapText="1"/>
      <protection locked="0"/>
    </xf>
    <xf numFmtId="3" fontId="39" fillId="2" borderId="2" xfId="3" applyNumberFormat="1" applyFill="1" applyBorder="1" applyAlignment="1" applyProtection="1">
      <alignment horizontal="center" wrapText="1"/>
      <protection locked="0"/>
    </xf>
    <xf numFmtId="3" fontId="23" fillId="2" borderId="3" xfId="0" applyNumberFormat="1" applyFont="1" applyFill="1" applyBorder="1" applyAlignment="1" applyProtection="1">
      <alignment horizontal="center" wrapText="1"/>
      <protection locked="0"/>
    </xf>
    <xf numFmtId="3" fontId="23" fillId="2" borderId="4" xfId="0" applyNumberFormat="1" applyFont="1" applyFill="1" applyBorder="1" applyAlignment="1" applyProtection="1">
      <alignment horizontal="center" wrapText="1"/>
      <protection locked="0"/>
    </xf>
    <xf numFmtId="3" fontId="23" fillId="4" borderId="0" xfId="0" applyNumberFormat="1" applyFont="1" applyFill="1" applyBorder="1" applyAlignment="1" applyProtection="1">
      <alignment horizontal="center" vertical="center"/>
    </xf>
    <xf numFmtId="165" fontId="23" fillId="2" borderId="2" xfId="0" applyNumberFormat="1" applyFont="1" applyFill="1" applyBorder="1" applyAlignment="1" applyProtection="1">
      <alignment horizontal="center"/>
      <protection locked="0"/>
    </xf>
    <xf numFmtId="165" fontId="23" fillId="2" borderId="4" xfId="0" applyNumberFormat="1" applyFont="1" applyFill="1" applyBorder="1" applyAlignment="1" applyProtection="1">
      <protection locked="0"/>
    </xf>
    <xf numFmtId="3" fontId="20" fillId="2" borderId="2" xfId="0" applyNumberFormat="1" applyFont="1" applyFill="1" applyBorder="1" applyAlignment="1" applyProtection="1">
      <alignment horizontal="center"/>
      <protection locked="0"/>
    </xf>
    <xf numFmtId="3" fontId="20" fillId="2" borderId="4" xfId="0" applyNumberFormat="1" applyFont="1" applyFill="1" applyBorder="1" applyAlignment="1" applyProtection="1">
      <protection locked="0"/>
    </xf>
    <xf numFmtId="3" fontId="25" fillId="4" borderId="0" xfId="0" applyNumberFormat="1" applyFont="1" applyFill="1" applyBorder="1" applyAlignment="1" applyProtection="1"/>
    <xf numFmtId="0" fontId="5" fillId="0" borderId="0" xfId="0" applyFont="1" applyBorder="1" applyAlignment="1" applyProtection="1"/>
    <xf numFmtId="3" fontId="40" fillId="4" borderId="25" xfId="0" applyNumberFormat="1" applyFont="1" applyFill="1" applyBorder="1" applyAlignment="1" applyProtection="1">
      <alignment horizontal="center"/>
    </xf>
    <xf numFmtId="3" fontId="25" fillId="4" borderId="0" xfId="0" applyNumberFormat="1" applyFont="1" applyFill="1" applyBorder="1" applyAlignment="1" applyProtection="1">
      <alignment horizontal="left" vertical="center"/>
    </xf>
    <xf numFmtId="3" fontId="21" fillId="2" borderId="2" xfId="0" applyNumberFormat="1" applyFont="1" applyFill="1" applyBorder="1" applyAlignment="1" applyProtection="1">
      <alignment horizontal="center"/>
      <protection locked="0"/>
    </xf>
    <xf numFmtId="3" fontId="21" fillId="2" borderId="3" xfId="0" applyNumberFormat="1" applyFont="1" applyFill="1" applyBorder="1" applyAlignment="1" applyProtection="1">
      <alignment horizontal="center"/>
      <protection locked="0"/>
    </xf>
    <xf numFmtId="0" fontId="0" fillId="0" borderId="4" xfId="0" applyBorder="1" applyAlignment="1" applyProtection="1">
      <alignment horizontal="center"/>
      <protection locked="0"/>
    </xf>
    <xf numFmtId="3" fontId="21" fillId="2" borderId="3" xfId="0" applyNumberFormat="1" applyFont="1" applyFill="1" applyBorder="1" applyAlignment="1" applyProtection="1">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23" xfId="0" applyBorder="1" applyAlignment="1" applyProtection="1">
      <protection locked="0"/>
    </xf>
    <xf numFmtId="0" fontId="0" fillId="0" borderId="22" xfId="0" applyBorder="1" applyAlignment="1" applyProtection="1">
      <protection locked="0"/>
    </xf>
    <xf numFmtId="3" fontId="0" fillId="2" borderId="3" xfId="0" applyNumberFormat="1" applyFill="1" applyBorder="1" applyAlignment="1" applyProtection="1">
      <alignment horizontal="center"/>
      <protection locked="0"/>
    </xf>
    <xf numFmtId="3" fontId="0" fillId="2" borderId="4" xfId="0" applyNumberFormat="1" applyFill="1" applyBorder="1" applyAlignment="1" applyProtection="1">
      <alignment horizontal="center"/>
      <protection locked="0"/>
    </xf>
    <xf numFmtId="3" fontId="7" fillId="2" borderId="6" xfId="2" applyNumberFormat="1" applyFont="1" applyFill="1" applyBorder="1" applyAlignment="1" applyProtection="1">
      <alignment horizontal="center" vertical="center"/>
      <protection locked="0"/>
    </xf>
    <xf numFmtId="3" fontId="18" fillId="2" borderId="7" xfId="0" applyNumberFormat="1" applyFont="1" applyFill="1" applyBorder="1" applyAlignment="1" applyProtection="1">
      <alignment horizontal="center"/>
      <protection locked="0"/>
    </xf>
    <xf numFmtId="3" fontId="0" fillId="0" borderId="7" xfId="0" applyNumberFormat="1" applyBorder="1" applyAlignment="1" applyProtection="1">
      <protection locked="0"/>
    </xf>
    <xf numFmtId="3" fontId="0" fillId="0" borderId="8" xfId="0" applyNumberFormat="1" applyBorder="1" applyAlignment="1" applyProtection="1">
      <protection locked="0"/>
    </xf>
    <xf numFmtId="3" fontId="18" fillId="2" borderId="5" xfId="0" applyNumberFormat="1" applyFont="1" applyFill="1" applyBorder="1" applyAlignment="1" applyProtection="1">
      <alignment horizontal="center"/>
      <protection locked="0"/>
    </xf>
    <xf numFmtId="3" fontId="18" fillId="2" borderId="0" xfId="0" applyNumberFormat="1" applyFont="1" applyFill="1" applyBorder="1" applyAlignment="1" applyProtection="1">
      <alignment horizontal="center"/>
      <protection locked="0"/>
    </xf>
    <xf numFmtId="3" fontId="0" fillId="0" borderId="0" xfId="0" applyNumberFormat="1" applyBorder="1" applyAlignment="1" applyProtection="1">
      <protection locked="0"/>
    </xf>
    <xf numFmtId="3" fontId="0" fillId="0" borderId="9" xfId="0" applyNumberFormat="1" applyBorder="1" applyAlignment="1" applyProtection="1">
      <protection locked="0"/>
    </xf>
    <xf numFmtId="3" fontId="18" fillId="2" borderId="10" xfId="0" applyNumberFormat="1" applyFont="1" applyFill="1" applyBorder="1" applyAlignment="1" applyProtection="1">
      <alignment horizontal="center"/>
      <protection locked="0"/>
    </xf>
    <xf numFmtId="3" fontId="18" fillId="2" borderId="11" xfId="0" applyNumberFormat="1" applyFont="1" applyFill="1" applyBorder="1" applyAlignment="1" applyProtection="1">
      <alignment horizontal="center"/>
      <protection locked="0"/>
    </xf>
    <xf numFmtId="3" fontId="0" fillId="0" borderId="11" xfId="0" applyNumberFormat="1" applyBorder="1" applyAlignment="1" applyProtection="1">
      <protection locked="0"/>
    </xf>
    <xf numFmtId="3" fontId="0" fillId="0" borderId="12" xfId="0" applyNumberFormat="1" applyBorder="1" applyAlignment="1" applyProtection="1">
      <protection locked="0"/>
    </xf>
    <xf numFmtId="3" fontId="18" fillId="4" borderId="7" xfId="0" applyNumberFormat="1" applyFont="1" applyFill="1" applyBorder="1" applyAlignment="1" applyProtection="1"/>
    <xf numFmtId="3" fontId="41" fillId="0" borderId="0" xfId="0" applyNumberFormat="1" applyFont="1" applyAlignment="1" applyProtection="1">
      <alignment horizontal="center"/>
    </xf>
    <xf numFmtId="3" fontId="41" fillId="0" borderId="30" xfId="0" applyNumberFormat="1" applyFont="1" applyBorder="1" applyAlignment="1" applyProtection="1">
      <alignment horizontal="center"/>
    </xf>
    <xf numFmtId="3" fontId="41" fillId="4" borderId="24" xfId="0" applyNumberFormat="1" applyFont="1" applyFill="1" applyBorder="1" applyAlignment="1" applyProtection="1">
      <alignment horizontal="center"/>
    </xf>
    <xf numFmtId="3" fontId="0" fillId="2" borderId="7" xfId="0" applyNumberFormat="1" applyFill="1" applyBorder="1" applyAlignment="1" applyProtection="1">
      <protection locked="0"/>
    </xf>
    <xf numFmtId="3" fontId="0" fillId="2" borderId="8" xfId="0" applyNumberFormat="1" applyFill="1" applyBorder="1" applyAlignment="1" applyProtection="1">
      <protection locked="0"/>
    </xf>
    <xf numFmtId="3" fontId="0" fillId="2" borderId="0" xfId="0" applyNumberFormat="1" applyFill="1" applyBorder="1" applyAlignment="1" applyProtection="1">
      <protection locked="0"/>
    </xf>
    <xf numFmtId="3" fontId="0" fillId="2" borderId="9" xfId="0" applyNumberFormat="1" applyFill="1" applyBorder="1" applyAlignment="1" applyProtection="1">
      <protection locked="0"/>
    </xf>
    <xf numFmtId="3" fontId="0" fillId="2" borderId="11" xfId="0" applyNumberFormat="1" applyFill="1" applyBorder="1" applyAlignment="1" applyProtection="1">
      <protection locked="0"/>
    </xf>
    <xf numFmtId="3" fontId="0" fillId="2" borderId="12" xfId="0" applyNumberFormat="1" applyFill="1" applyBorder="1" applyAlignment="1" applyProtection="1">
      <protection locked="0"/>
    </xf>
    <xf numFmtId="3" fontId="18" fillId="0" borderId="10" xfId="0" applyNumberFormat="1" applyFont="1" applyFill="1" applyBorder="1" applyAlignment="1" applyProtection="1">
      <alignment horizontal="center"/>
      <protection locked="0"/>
    </xf>
    <xf numFmtId="3" fontId="18" fillId="0" borderId="11" xfId="0" applyNumberFormat="1" applyFont="1" applyBorder="1" applyAlignment="1" applyProtection="1">
      <alignment horizontal="center"/>
      <protection locked="0"/>
    </xf>
    <xf numFmtId="3" fontId="18" fillId="0" borderId="12" xfId="0" applyNumberFormat="1" applyFont="1" applyBorder="1" applyAlignment="1" applyProtection="1">
      <alignment horizontal="center"/>
      <protection locked="0"/>
    </xf>
    <xf numFmtId="3" fontId="18" fillId="0" borderId="32" xfId="0" applyNumberFormat="1" applyFont="1" applyFill="1" applyBorder="1" applyAlignment="1" applyProtection="1">
      <alignment horizontal="center"/>
      <protection locked="0"/>
    </xf>
    <xf numFmtId="3" fontId="18" fillId="0" borderId="23" xfId="0" applyNumberFormat="1" applyFont="1" applyFill="1" applyBorder="1" applyAlignment="1" applyProtection="1">
      <alignment horizontal="center"/>
      <protection locked="0"/>
    </xf>
    <xf numFmtId="3" fontId="18" fillId="0" borderId="22" xfId="0" applyNumberFormat="1" applyFont="1" applyFill="1" applyBorder="1" applyAlignment="1" applyProtection="1">
      <alignment horizontal="center"/>
      <protection locked="0"/>
    </xf>
    <xf numFmtId="3" fontId="18" fillId="0" borderId="21" xfId="0" applyNumberFormat="1" applyFont="1" applyFill="1" applyBorder="1" applyAlignment="1" applyProtection="1">
      <alignment horizontal="center"/>
      <protection locked="0"/>
    </xf>
    <xf numFmtId="3" fontId="18" fillId="0" borderId="23" xfId="0" applyNumberFormat="1" applyFont="1" applyBorder="1" applyAlignment="1" applyProtection="1">
      <alignment horizontal="center"/>
      <protection locked="0"/>
    </xf>
    <xf numFmtId="3" fontId="18" fillId="0" borderId="22" xfId="0" applyNumberFormat="1" applyFont="1" applyBorder="1" applyAlignment="1" applyProtection="1">
      <alignment horizontal="center"/>
      <protection locked="0"/>
    </xf>
    <xf numFmtId="3" fontId="18" fillId="0" borderId="2" xfId="0" applyNumberFormat="1" applyFont="1" applyFill="1" applyBorder="1" applyAlignment="1" applyProtection="1">
      <alignment horizontal="center"/>
      <protection locked="0"/>
    </xf>
    <xf numFmtId="3" fontId="18" fillId="0" borderId="3" xfId="0" applyNumberFormat="1" applyFont="1" applyBorder="1" applyAlignment="1" applyProtection="1">
      <alignment horizontal="center"/>
      <protection locked="0"/>
    </xf>
    <xf numFmtId="3" fontId="18" fillId="0" borderId="4" xfId="0" applyNumberFormat="1" applyFont="1" applyBorder="1" applyAlignment="1" applyProtection="1">
      <alignment horizontal="center"/>
      <protection locked="0"/>
    </xf>
    <xf numFmtId="3" fontId="22" fillId="0" borderId="27" xfId="0" applyNumberFormat="1" applyFont="1" applyFill="1" applyBorder="1" applyAlignment="1" applyProtection="1">
      <alignment horizontal="center"/>
      <protection locked="0"/>
    </xf>
    <xf numFmtId="3" fontId="22" fillId="0" borderId="28" xfId="0" applyNumberFormat="1" applyFont="1" applyBorder="1" applyAlignment="1" applyProtection="1">
      <alignment horizontal="center"/>
      <protection locked="0"/>
    </xf>
    <xf numFmtId="3" fontId="22" fillId="0" borderId="29" xfId="0" applyNumberFormat="1" applyFont="1" applyBorder="1" applyAlignment="1" applyProtection="1">
      <alignment horizontal="center"/>
      <protection locked="0"/>
    </xf>
    <xf numFmtId="3" fontId="18" fillId="0" borderId="5" xfId="0" applyNumberFormat="1" applyFont="1" applyFill="1" applyBorder="1" applyAlignment="1" applyProtection="1">
      <alignment horizontal="center"/>
      <protection locked="0"/>
    </xf>
    <xf numFmtId="3" fontId="18" fillId="0" borderId="0" xfId="0" applyNumberFormat="1" applyFont="1" applyBorder="1" applyAlignment="1" applyProtection="1">
      <alignment horizontal="center"/>
      <protection locked="0"/>
    </xf>
    <xf numFmtId="3" fontId="18" fillId="0" borderId="9" xfId="0" applyNumberFormat="1" applyFont="1" applyBorder="1" applyAlignment="1" applyProtection="1">
      <alignment horizontal="center"/>
      <protection locked="0"/>
    </xf>
    <xf numFmtId="3" fontId="41" fillId="4" borderId="17" xfId="0" applyNumberFormat="1" applyFont="1" applyFill="1" applyBorder="1" applyAlignment="1" applyProtection="1">
      <alignment horizontal="center"/>
    </xf>
    <xf numFmtId="3" fontId="47" fillId="4" borderId="17" xfId="0" applyNumberFormat="1" applyFont="1" applyFill="1" applyBorder="1" applyAlignment="1" applyProtection="1"/>
    <xf numFmtId="3" fontId="2" fillId="2" borderId="2" xfId="2" applyNumberFormat="1" applyFont="1" applyFill="1" applyBorder="1" applyAlignment="1" applyProtection="1">
      <alignment vertical="center"/>
      <protection locked="0"/>
    </xf>
    <xf numFmtId="3" fontId="20" fillId="2" borderId="3" xfId="0" applyNumberFormat="1" applyFont="1" applyFill="1" applyBorder="1" applyAlignment="1" applyProtection="1">
      <protection locked="0"/>
    </xf>
    <xf numFmtId="3" fontId="41" fillId="0" borderId="17" xfId="0" applyNumberFormat="1" applyFont="1" applyBorder="1" applyAlignment="1" applyProtection="1">
      <alignment horizontal="center"/>
    </xf>
    <xf numFmtId="3" fontId="18" fillId="2" borderId="12" xfId="0" applyNumberFormat="1" applyFont="1" applyFill="1" applyBorder="1" applyAlignment="1" applyProtection="1">
      <alignment horizontal="center"/>
      <protection locked="0"/>
    </xf>
    <xf numFmtId="3" fontId="22" fillId="2" borderId="27" xfId="0" applyNumberFormat="1" applyFont="1" applyFill="1" applyBorder="1" applyAlignment="1" applyProtection="1">
      <alignment horizontal="center"/>
      <protection locked="0"/>
    </xf>
    <xf numFmtId="3" fontId="22" fillId="2" borderId="28" xfId="0" applyNumberFormat="1" applyFont="1" applyFill="1" applyBorder="1" applyAlignment="1" applyProtection="1">
      <alignment horizontal="center"/>
      <protection locked="0"/>
    </xf>
    <xf numFmtId="3" fontId="22" fillId="2" borderId="29" xfId="0" applyNumberFormat="1" applyFont="1" applyFill="1" applyBorder="1" applyAlignment="1" applyProtection="1">
      <alignment horizontal="center"/>
      <protection locked="0"/>
    </xf>
    <xf numFmtId="3" fontId="40" fillId="4" borderId="31" xfId="0" applyNumberFormat="1" applyFont="1" applyFill="1" applyBorder="1" applyAlignment="1" applyProtection="1">
      <alignment horizontal="center"/>
    </xf>
    <xf numFmtId="3" fontId="41" fillId="0" borderId="17" xfId="0" applyNumberFormat="1" applyFont="1" applyBorder="1" applyAlignment="1" applyProtection="1"/>
    <xf numFmtId="9" fontId="18" fillId="2" borderId="2" xfId="13" applyFont="1" applyFill="1" applyBorder="1" applyAlignment="1" applyProtection="1">
      <alignment horizontal="center"/>
      <protection locked="0"/>
    </xf>
    <xf numFmtId="9" fontId="18" fillId="2" borderId="3" xfId="13" applyFont="1" applyFill="1" applyBorder="1" applyAlignment="1" applyProtection="1">
      <alignment horizontal="center"/>
      <protection locked="0"/>
    </xf>
    <xf numFmtId="9" fontId="18" fillId="2" borderId="4" xfId="13" applyFont="1" applyFill="1" applyBorder="1" applyAlignment="1" applyProtection="1">
      <alignment horizontal="center"/>
      <protection locked="0"/>
    </xf>
    <xf numFmtId="3" fontId="21" fillId="4" borderId="7" xfId="0" applyNumberFormat="1" applyFont="1" applyFill="1" applyBorder="1" applyAlignment="1" applyProtection="1">
      <alignment horizontal="center" wrapText="1"/>
    </xf>
    <xf numFmtId="0" fontId="0" fillId="0" borderId="7" xfId="0" applyBorder="1" applyAlignment="1" applyProtection="1">
      <alignment horizontal="center" wrapText="1"/>
    </xf>
    <xf numFmtId="3" fontId="18" fillId="4" borderId="0" xfId="0" applyNumberFormat="1" applyFont="1" applyFill="1" applyBorder="1" applyAlignment="1" applyProtection="1">
      <alignment horizontal="center"/>
    </xf>
    <xf numFmtId="0" fontId="0" fillId="0" borderId="0" xfId="0" applyAlignment="1" applyProtection="1">
      <alignment horizontal="center"/>
    </xf>
    <xf numFmtId="3" fontId="18" fillId="4" borderId="26" xfId="0" applyNumberFormat="1" applyFont="1" applyFill="1" applyBorder="1" applyAlignment="1" applyProtection="1">
      <alignment horizontal="center"/>
    </xf>
    <xf numFmtId="0" fontId="0" fillId="0" borderId="26" xfId="0" applyBorder="1" applyAlignment="1" applyProtection="1">
      <alignment horizontal="center"/>
    </xf>
    <xf numFmtId="3" fontId="18" fillId="4" borderId="0" xfId="0" applyNumberFormat="1" applyFont="1" applyFill="1" applyBorder="1" applyAlignment="1" applyProtection="1">
      <alignment horizontal="center" vertical="center"/>
    </xf>
    <xf numFmtId="0" fontId="0" fillId="0" borderId="0" xfId="0" applyAlignment="1" applyProtection="1">
      <alignment horizontal="center" vertical="center"/>
    </xf>
    <xf numFmtId="0" fontId="0" fillId="0" borderId="26" xfId="0" applyBorder="1" applyAlignment="1" applyProtection="1">
      <alignment horizontal="center" vertical="center"/>
    </xf>
    <xf numFmtId="3" fontId="26" fillId="4" borderId="0" xfId="0" applyNumberFormat="1" applyFont="1" applyFill="1" applyBorder="1" applyAlignment="1" applyProtection="1">
      <alignment horizontal="center"/>
    </xf>
    <xf numFmtId="0" fontId="57" fillId="0" borderId="0" xfId="0" applyFont="1" applyAlignment="1" applyProtection="1">
      <alignment horizontal="center"/>
    </xf>
    <xf numFmtId="3" fontId="2" fillId="2" borderId="2" xfId="2" applyNumberFormat="1" applyFont="1" applyFill="1" applyBorder="1" applyAlignment="1" applyProtection="1">
      <alignment horizontal="center" vertical="center"/>
      <protection locked="0"/>
    </xf>
    <xf numFmtId="3" fontId="20" fillId="2" borderId="3" xfId="0" applyNumberFormat="1" applyFont="1" applyFill="1" applyBorder="1" applyAlignment="1" applyProtection="1">
      <alignment horizontal="center"/>
      <protection locked="0"/>
    </xf>
    <xf numFmtId="3" fontId="20" fillId="2" borderId="4" xfId="0" applyNumberFormat="1" applyFont="1" applyFill="1" applyBorder="1" applyAlignment="1" applyProtection="1">
      <alignment horizontal="center"/>
      <protection locked="0"/>
    </xf>
    <xf numFmtId="1" fontId="22" fillId="4" borderId="0" xfId="0" applyNumberFormat="1" applyFont="1" applyFill="1" applyBorder="1" applyAlignment="1">
      <alignment horizontal="center"/>
    </xf>
    <xf numFmtId="3" fontId="40" fillId="4" borderId="25" xfId="0" applyNumberFormat="1" applyFont="1" applyFill="1" applyBorder="1" applyAlignment="1">
      <alignment horizontal="center"/>
    </xf>
    <xf numFmtId="3" fontId="41" fillId="0" borderId="17" xfId="0" applyNumberFormat="1" applyFont="1" applyBorder="1" applyAlignment="1">
      <alignment horizontal="center"/>
    </xf>
    <xf numFmtId="3" fontId="18" fillId="4" borderId="33" xfId="0" applyNumberFormat="1" applyFont="1" applyFill="1" applyBorder="1" applyAlignment="1"/>
    <xf numFmtId="0" fontId="0" fillId="0" borderId="33" xfId="0" applyBorder="1" applyAlignment="1"/>
    <xf numFmtId="3" fontId="40" fillId="4" borderId="0" xfId="0" applyNumberFormat="1" applyFont="1" applyFill="1" applyBorder="1" applyAlignment="1">
      <alignment horizontal="center"/>
    </xf>
    <xf numFmtId="3" fontId="41" fillId="0" borderId="24" xfId="0" applyNumberFormat="1" applyFont="1" applyBorder="1" applyAlignment="1">
      <alignment horizontal="center"/>
    </xf>
    <xf numFmtId="3" fontId="18" fillId="4" borderId="3" xfId="0" applyNumberFormat="1" applyFont="1" applyFill="1" applyBorder="1" applyAlignment="1">
      <alignment horizontal="center"/>
    </xf>
    <xf numFmtId="0" fontId="0" fillId="0" borderId="3" xfId="0" applyBorder="1" applyAlignment="1"/>
    <xf numFmtId="3" fontId="7" fillId="2" borderId="2" xfId="2" applyNumberFormat="1" applyFont="1" applyFill="1" applyBorder="1" applyAlignment="1">
      <alignment horizontal="center" vertical="center"/>
    </xf>
    <xf numFmtId="3" fontId="0" fillId="2" borderId="3" xfId="0" applyNumberFormat="1" applyFill="1" applyBorder="1" applyAlignment="1">
      <alignment horizontal="center"/>
    </xf>
    <xf numFmtId="3" fontId="0" fillId="2" borderId="4" xfId="0" applyNumberFormat="1" applyFill="1" applyBorder="1" applyAlignment="1">
      <alignment horizontal="center"/>
    </xf>
    <xf numFmtId="3" fontId="18" fillId="4" borderId="37" xfId="0" applyNumberFormat="1" applyFont="1" applyFill="1" applyBorder="1" applyAlignment="1"/>
    <xf numFmtId="0" fontId="0" fillId="0" borderId="37" xfId="0" applyBorder="1" applyAlignment="1"/>
    <xf numFmtId="3" fontId="40" fillId="4" borderId="31" xfId="0" applyNumberFormat="1" applyFont="1" applyFill="1" applyBorder="1" applyAlignment="1">
      <alignment horizontal="center"/>
    </xf>
    <xf numFmtId="3" fontId="41" fillId="0" borderId="0" xfId="0" applyNumberFormat="1" applyFont="1" applyAlignment="1">
      <alignment horizontal="center"/>
    </xf>
    <xf numFmtId="3" fontId="41" fillId="0" borderId="30" xfId="0" applyNumberFormat="1" applyFont="1" applyBorder="1" applyAlignment="1">
      <alignment horizontal="center"/>
    </xf>
    <xf numFmtId="3" fontId="41" fillId="0" borderId="17" xfId="0" applyNumberFormat="1" applyFont="1" applyBorder="1" applyAlignment="1"/>
    <xf numFmtId="3" fontId="41" fillId="4" borderId="24" xfId="0" applyNumberFormat="1" applyFont="1" applyFill="1" applyBorder="1" applyAlignment="1">
      <alignment horizontal="center"/>
    </xf>
    <xf numFmtId="3" fontId="41" fillId="4" borderId="17" xfId="0" applyNumberFormat="1" applyFont="1" applyFill="1" applyBorder="1" applyAlignment="1">
      <alignment horizontal="center"/>
    </xf>
    <xf numFmtId="3" fontId="47" fillId="4" borderId="17" xfId="0" applyNumberFormat="1" applyFont="1" applyFill="1" applyBorder="1" applyAlignment="1"/>
    <xf numFmtId="3" fontId="18" fillId="4" borderId="0" xfId="0" applyNumberFormat="1" applyFont="1" applyFill="1" applyBorder="1" applyAlignment="1"/>
    <xf numFmtId="0" fontId="0" fillId="0" borderId="0" xfId="0" applyAlignment="1"/>
    <xf numFmtId="3" fontId="18" fillId="4" borderId="11" xfId="0" applyNumberFormat="1" applyFont="1" applyFill="1" applyBorder="1" applyAlignment="1"/>
    <xf numFmtId="0" fontId="0" fillId="0" borderId="11" xfId="0" applyBorder="1" applyAlignment="1"/>
    <xf numFmtId="3" fontId="18" fillId="4" borderId="11" xfId="0" applyNumberFormat="1" applyFont="1" applyFill="1" applyBorder="1" applyAlignment="1">
      <alignment horizontal="center"/>
    </xf>
    <xf numFmtId="0" fontId="0" fillId="0" borderId="11" xfId="0" applyBorder="1" applyAlignment="1">
      <alignment horizontal="center"/>
    </xf>
    <xf numFmtId="3" fontId="18" fillId="4" borderId="3" xfId="0" applyNumberFormat="1" applyFont="1" applyFill="1" applyBorder="1" applyAlignment="1"/>
    <xf numFmtId="3" fontId="18" fillId="4" borderId="7" xfId="0" applyNumberFormat="1" applyFont="1" applyFill="1" applyBorder="1" applyAlignment="1"/>
    <xf numFmtId="0" fontId="0" fillId="0" borderId="7" xfId="0" applyBorder="1" applyAlignment="1"/>
    <xf numFmtId="3" fontId="0" fillId="0" borderId="17" xfId="0" applyNumberFormat="1" applyBorder="1" applyAlignment="1">
      <alignment horizontal="center"/>
    </xf>
    <xf numFmtId="3" fontId="18" fillId="4" borderId="35" xfId="0" applyNumberFormat="1" applyFont="1" applyFill="1" applyBorder="1" applyAlignment="1"/>
    <xf numFmtId="0" fontId="0" fillId="0" borderId="35" xfId="0" applyBorder="1" applyAlignment="1"/>
    <xf numFmtId="3" fontId="40" fillId="3" borderId="0" xfId="0" applyNumberFormat="1" applyFont="1" applyFill="1" applyBorder="1" applyAlignment="1">
      <alignment horizontal="center"/>
    </xf>
    <xf numFmtId="3" fontId="41" fillId="3" borderId="0" xfId="0" applyNumberFormat="1" applyFont="1" applyFill="1" applyBorder="1" applyAlignment="1">
      <alignment horizontal="center"/>
    </xf>
    <xf numFmtId="3" fontId="40" fillId="4" borderId="17" xfId="0" applyNumberFormat="1" applyFont="1" applyFill="1" applyBorder="1" applyAlignment="1">
      <alignment horizontal="center"/>
    </xf>
    <xf numFmtId="3" fontId="18" fillId="4" borderId="36" xfId="0" applyNumberFormat="1" applyFont="1" applyFill="1" applyBorder="1" applyAlignment="1"/>
    <xf numFmtId="0" fontId="0" fillId="0" borderId="36" xfId="0" applyBorder="1" applyAlignment="1"/>
    <xf numFmtId="3" fontId="18" fillId="4" borderId="19" xfId="0" applyNumberFormat="1" applyFont="1" applyFill="1" applyBorder="1" applyAlignment="1"/>
    <xf numFmtId="0" fontId="0" fillId="0" borderId="19" xfId="0" applyBorder="1" applyAlignment="1"/>
    <xf numFmtId="3" fontId="18" fillId="4" borderId="3" xfId="0" applyNumberFormat="1" applyFont="1" applyFill="1" applyBorder="1" applyAlignment="1">
      <alignment vertical="center"/>
    </xf>
    <xf numFmtId="0" fontId="0" fillId="0" borderId="0" xfId="0" applyBorder="1" applyAlignment="1"/>
    <xf numFmtId="3" fontId="22" fillId="4" borderId="11" xfId="0" applyNumberFormat="1" applyFont="1" applyFill="1" applyBorder="1" applyAlignment="1">
      <alignment horizontal="left" vertical="center"/>
    </xf>
    <xf numFmtId="3" fontId="18" fillId="4" borderId="34" xfId="0" applyNumberFormat="1" applyFont="1" applyFill="1" applyBorder="1" applyAlignment="1"/>
    <xf numFmtId="0" fontId="0" fillId="0" borderId="34" xfId="0" applyBorder="1" applyAlignment="1"/>
    <xf numFmtId="3" fontId="26" fillId="4" borderId="0" xfId="0" applyNumberFormat="1" applyFont="1" applyFill="1" applyBorder="1" applyAlignment="1">
      <alignment horizontal="center"/>
    </xf>
    <xf numFmtId="0" fontId="57" fillId="0" borderId="0" xfId="0" applyFont="1" applyAlignment="1">
      <alignment horizontal="center"/>
    </xf>
    <xf numFmtId="3" fontId="21" fillId="4" borderId="3" xfId="0" applyNumberFormat="1" applyFont="1" applyFill="1" applyBorder="1" applyAlignment="1" applyProtection="1">
      <alignment horizontal="center" wrapText="1"/>
      <protection locked="0"/>
    </xf>
    <xf numFmtId="0" fontId="0" fillId="0" borderId="3" xfId="0" applyBorder="1" applyAlignment="1">
      <alignment horizontal="center" wrapText="1"/>
    </xf>
    <xf numFmtId="0" fontId="0" fillId="0" borderId="3" xfId="0" applyBorder="1" applyAlignment="1">
      <alignment horizontal="center"/>
    </xf>
    <xf numFmtId="3" fontId="21" fillId="4" borderId="7" xfId="0" applyNumberFormat="1" applyFont="1" applyFill="1" applyBorder="1" applyAlignment="1" applyProtection="1">
      <alignment horizontal="center" wrapText="1"/>
      <protection locked="0"/>
    </xf>
    <xf numFmtId="0" fontId="0" fillId="0" borderId="7" xfId="0" applyBorder="1" applyAlignment="1">
      <alignment horizontal="center" wrapText="1"/>
    </xf>
    <xf numFmtId="3" fontId="43" fillId="4" borderId="0" xfId="0" applyNumberFormat="1" applyFont="1" applyFill="1" applyBorder="1" applyAlignment="1">
      <alignment horizontal="left" vertical="center" wrapText="1"/>
    </xf>
    <xf numFmtId="0" fontId="71" fillId="0" borderId="0" xfId="0" applyFont="1" applyAlignment="1">
      <alignment horizontal="left" wrapText="1"/>
    </xf>
    <xf numFmtId="0" fontId="71" fillId="0" borderId="0" xfId="0" applyFont="1" applyAlignment="1"/>
    <xf numFmtId="3" fontId="18" fillId="4" borderId="0" xfId="0" applyNumberFormat="1" applyFont="1" applyFill="1"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3" fontId="18" fillId="4" borderId="0" xfId="0" applyNumberFormat="1" applyFont="1" applyFill="1" applyBorder="1" applyAlignment="1">
      <alignment horizontal="center"/>
    </xf>
    <xf numFmtId="0" fontId="0" fillId="0" borderId="0" xfId="0" applyAlignment="1">
      <alignment horizontal="center"/>
    </xf>
    <xf numFmtId="3" fontId="18" fillId="4" borderId="26" xfId="0" applyNumberFormat="1" applyFont="1" applyFill="1" applyBorder="1" applyAlignment="1">
      <alignment horizontal="center"/>
    </xf>
    <xf numFmtId="0" fontId="0" fillId="0" borderId="26" xfId="0" applyBorder="1" applyAlignment="1">
      <alignment horizontal="center"/>
    </xf>
    <xf numFmtId="3" fontId="25" fillId="4" borderId="0" xfId="0" applyNumberFormat="1" applyFont="1" applyFill="1" applyBorder="1" applyAlignment="1">
      <alignment horizontal="left" vertical="center"/>
    </xf>
    <xf numFmtId="3" fontId="23" fillId="4" borderId="0" xfId="0" applyNumberFormat="1" applyFont="1" applyFill="1" applyAlignment="1"/>
    <xf numFmtId="3" fontId="23" fillId="4" borderId="9" xfId="0" applyNumberFormat="1" applyFont="1" applyFill="1" applyBorder="1" applyAlignment="1"/>
    <xf numFmtId="3" fontId="23" fillId="4" borderId="11" xfId="0" applyNumberFormat="1" applyFont="1" applyFill="1" applyBorder="1" applyAlignment="1">
      <alignment horizontal="center"/>
    </xf>
    <xf numFmtId="3" fontId="5" fillId="0" borderId="11" xfId="0" applyNumberFormat="1" applyFont="1" applyBorder="1" applyAlignment="1">
      <alignment horizontal="center"/>
    </xf>
    <xf numFmtId="3" fontId="25" fillId="4" borderId="0" xfId="0" applyNumberFormat="1" applyFont="1" applyFill="1" applyBorder="1" applyAlignment="1">
      <alignment horizontal="left"/>
    </xf>
    <xf numFmtId="3" fontId="23" fillId="4" borderId="0" xfId="0" applyNumberFormat="1" applyFont="1" applyFill="1" applyBorder="1" applyAlignment="1">
      <alignment horizontal="left"/>
    </xf>
    <xf numFmtId="3" fontId="17" fillId="4" borderId="0" xfId="0" applyNumberFormat="1" applyFont="1" applyFill="1" applyBorder="1" applyAlignment="1"/>
    <xf numFmtId="3" fontId="17" fillId="4" borderId="9" xfId="0" applyNumberFormat="1" applyFont="1" applyFill="1" applyBorder="1" applyAlignment="1"/>
    <xf numFmtId="3" fontId="13" fillId="4" borderId="0" xfId="0" applyNumberFormat="1" applyFont="1" applyFill="1" applyBorder="1" applyAlignment="1">
      <alignment horizontal="center"/>
    </xf>
    <xf numFmtId="3" fontId="23" fillId="4" borderId="11" xfId="0" applyNumberFormat="1" applyFont="1" applyFill="1" applyBorder="1" applyAlignment="1">
      <alignment horizontal="center" vertical="center"/>
    </xf>
    <xf numFmtId="3" fontId="20" fillId="4" borderId="3" xfId="0" applyNumberFormat="1" applyFont="1" applyFill="1" applyBorder="1" applyAlignment="1"/>
    <xf numFmtId="3" fontId="20" fillId="4" borderId="11" xfId="0" applyNumberFormat="1" applyFont="1" applyFill="1" applyBorder="1" applyAlignment="1"/>
    <xf numFmtId="0" fontId="0" fillId="0" borderId="9" xfId="0" applyBorder="1" applyAlignment="1"/>
    <xf numFmtId="3" fontId="20" fillId="4" borderId="0" xfId="0" applyNumberFormat="1" applyFont="1" applyFill="1" applyBorder="1" applyAlignment="1"/>
    <xf numFmtId="3" fontId="18" fillId="4" borderId="14" xfId="0" applyNumberFormat="1" applyFont="1" applyFill="1" applyBorder="1" applyAlignment="1"/>
    <xf numFmtId="0" fontId="0" fillId="0" borderId="14" xfId="0" applyBorder="1" applyAlignment="1"/>
    <xf numFmtId="3" fontId="23" fillId="4" borderId="0" xfId="0" applyNumberFormat="1" applyFont="1" applyFill="1" applyBorder="1" applyAlignment="1">
      <alignment horizontal="center" vertical="center"/>
    </xf>
    <xf numFmtId="3" fontId="23" fillId="4" borderId="3" xfId="0" applyNumberFormat="1" applyFont="1" applyFill="1" applyBorder="1" applyAlignment="1"/>
    <xf numFmtId="3" fontId="23" fillId="4" borderId="3" xfId="0" applyNumberFormat="1" applyFont="1" applyFill="1" applyBorder="1" applyAlignment="1" applyProtection="1">
      <alignment horizontal="center" wrapText="1"/>
      <protection locked="0"/>
    </xf>
    <xf numFmtId="3" fontId="23" fillId="4" borderId="3" xfId="0" applyNumberFormat="1" applyFont="1" applyFill="1" applyBorder="1" applyAlignment="1">
      <alignment vertical="center"/>
    </xf>
    <xf numFmtId="3" fontId="23" fillId="4" borderId="11" xfId="0" applyNumberFormat="1" applyFont="1" applyFill="1" applyBorder="1" applyAlignment="1"/>
    <xf numFmtId="3" fontId="32" fillId="4" borderId="14" xfId="0" applyNumberFormat="1" applyFont="1" applyFill="1" applyBorder="1" applyAlignment="1">
      <alignment horizontal="center" vertical="center"/>
    </xf>
    <xf numFmtId="3" fontId="32" fillId="4" borderId="15" xfId="0" applyNumberFormat="1" applyFont="1" applyFill="1" applyBorder="1" applyAlignment="1">
      <alignment horizontal="center" vertical="center"/>
    </xf>
    <xf numFmtId="3" fontId="32" fillId="4" borderId="0" xfId="0" applyNumberFormat="1" applyFont="1" applyFill="1" applyAlignment="1">
      <alignment horizontal="center" vertical="center"/>
    </xf>
    <xf numFmtId="3" fontId="32" fillId="4" borderId="17" xfId="0" applyNumberFormat="1" applyFont="1" applyFill="1" applyBorder="1" applyAlignment="1">
      <alignment horizontal="center" vertical="center"/>
    </xf>
    <xf numFmtId="3" fontId="23" fillId="4" borderId="37" xfId="0" applyNumberFormat="1" applyFont="1" applyFill="1" applyBorder="1" applyAlignment="1"/>
    <xf numFmtId="0" fontId="18" fillId="4" borderId="0" xfId="0" applyNumberFormat="1" applyFont="1" applyFill="1" applyBorder="1" applyAlignment="1">
      <alignment horizontal="center"/>
    </xf>
    <xf numFmtId="0" fontId="18" fillId="4" borderId="0" xfId="0" applyNumberFormat="1" applyFont="1" applyFill="1" applyAlignment="1">
      <alignment horizontal="center"/>
    </xf>
    <xf numFmtId="0" fontId="71" fillId="0" borderId="0" xfId="0" applyFont="1" applyAlignment="1">
      <alignment horizontal="left"/>
    </xf>
  </cellXfs>
  <cellStyles count="14">
    <cellStyle name="Comma" xfId="1" builtinId="3"/>
    <cellStyle name="Comma 2" xfId="5"/>
    <cellStyle name="Hyperlink" xfId="3" builtinId="8"/>
    <cellStyle name="Hyperlink 2" xfId="6"/>
    <cellStyle name="Normal" xfId="0" builtinId="0"/>
    <cellStyle name="Normal 2" xfId="2"/>
    <cellStyle name="Normal 3" xfId="7"/>
    <cellStyle name="Normal 3 2" xfId="8"/>
    <cellStyle name="Normal 3 2 2" xfId="9"/>
    <cellStyle name="Normal 3 2 3" xfId="10"/>
    <cellStyle name="Normal 3 3" xfId="11"/>
    <cellStyle name="Normal 3 4" xfId="12"/>
    <cellStyle name="Normal 4" xfId="4"/>
    <cellStyle name="Percent" xfId="13" builtinId="5"/>
  </cellStyles>
  <dxfs count="0"/>
  <tableStyles count="0" defaultTableStyle="TableStyleMedium2" defaultPivotStyle="PivotStyleMedium9"/>
  <colors>
    <mruColors>
      <color rgb="FFE3EBF9"/>
      <color rgb="FFF3F8FF"/>
      <color rgb="FFE8F2F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fmlaLink="'for internal use'!$BJ$3" lockText="1" noThreeD="1"/>
</file>

<file path=xl/ctrlProps/ctrlProp2.xml><?xml version="1.0" encoding="utf-8"?>
<formControlPr xmlns="http://schemas.microsoft.com/office/spreadsheetml/2009/9/main" objectType="CheckBox" fmlaLink="'for internal use'!$BY$3" lockText="1" noThreeD="1"/>
</file>

<file path=xl/ctrlProps/ctrlProp3.xml><?xml version="1.0" encoding="utf-8"?>
<formControlPr xmlns="http://schemas.microsoft.com/office/spreadsheetml/2009/9/main" objectType="CheckBox" fmlaLink="'for internal use'!$BK$3" lockText="1" noThreeD="1"/>
</file>

<file path=xl/ctrlProps/ctrlProp4.xml><?xml version="1.0" encoding="utf-8"?>
<formControlPr xmlns="http://schemas.microsoft.com/office/spreadsheetml/2009/9/main" objectType="CheckBox" fmlaLink="'for internal use'!$BZ$3" lockText="1" noThreeD="1"/>
</file>

<file path=xl/ctrlProps/ctrlProp5.xml><?xml version="1.0" encoding="utf-8"?>
<formControlPr xmlns="http://schemas.microsoft.com/office/spreadsheetml/2009/9/main" objectType="CheckBox" fmlaLink="'for internal use'!$BL$3" lockText="1" noThreeD="1"/>
</file>

<file path=xl/ctrlProps/ctrlProp6.xml><?xml version="1.0" encoding="utf-8"?>
<formControlPr xmlns="http://schemas.microsoft.com/office/spreadsheetml/2009/9/main" objectType="CheckBox" fmlaLink="'for internal use'!$CA$3" lockText="1" noThreeD="1"/>
</file>

<file path=xl/ctrlProps/ctrlProp7.xml><?xml version="1.0" encoding="utf-8"?>
<formControlPr xmlns="http://schemas.microsoft.com/office/spreadsheetml/2009/9/main" objectType="CheckBox" fmlaLink="'for internal use'!$BM$3" lockText="1" noThreeD="1"/>
</file>

<file path=xl/ctrlProps/ctrlProp8.xml><?xml version="1.0" encoding="utf-8"?>
<formControlPr xmlns="http://schemas.microsoft.com/office/spreadsheetml/2009/9/main" objectType="CheckBox" fmlaLink="'for internal use'!$CB$3" lockText="1" noThreeD="1"/>
</file>

<file path=xl/ctrlProps/ctrlProp9.xml><?xml version="1.0" encoding="utf-8"?>
<formControlPr xmlns="http://schemas.microsoft.com/office/spreadsheetml/2009/9/main" objectType="CheckBox" fmlaLink="'for internal use'!$BN$3" lockText="1" noThreeD="1"/>
</file>

<file path=xl/ctrlProps/ctrlProp10.xml><?xml version="1.0" encoding="utf-8"?>
<formControlPr xmlns="http://schemas.microsoft.com/office/spreadsheetml/2009/9/main" objectType="CheckBox" fmlaLink="'for internal use'!$CC$3" lockText="1" noThreeD="1"/>
</file>

<file path=xl/ctrlProps/ctrlProp11.xml><?xml version="1.0" encoding="utf-8"?>
<formControlPr xmlns="http://schemas.microsoft.com/office/spreadsheetml/2009/9/main" objectType="CheckBox" fmlaLink="'for internal use'!$BO$3" lockText="1" noThreeD="1"/>
</file>

<file path=xl/ctrlProps/ctrlProp12.xml><?xml version="1.0" encoding="utf-8"?>
<formControlPr xmlns="http://schemas.microsoft.com/office/spreadsheetml/2009/9/main" objectType="CheckBox" fmlaLink="'for internal use'!$CD$3" lockText="1" noThreeD="1"/>
</file>

<file path=xl/ctrlProps/ctrlProp13.xml><?xml version="1.0" encoding="utf-8"?>
<formControlPr xmlns="http://schemas.microsoft.com/office/spreadsheetml/2009/9/main" objectType="CheckBox" fmlaLink="'for internal use'!$CE$3" lockText="1" noThreeD="1"/>
</file>

<file path=xl/ctrlProps/ctrlProp14.xml><?xml version="1.0" encoding="utf-8"?>
<formControlPr xmlns="http://schemas.microsoft.com/office/spreadsheetml/2009/9/main" objectType="CheckBox" fmlaLink="'for internal use'!$BP$3" lockText="1" noThreeD="1"/>
</file>

<file path=xl/ctrlProps/ctrlProp15.xml><?xml version="1.0" encoding="utf-8"?>
<formControlPr xmlns="http://schemas.microsoft.com/office/spreadsheetml/2009/9/main" objectType="CheckBox" fmlaLink="'for internal use'!$BQ$3" lockText="1" noThreeD="1"/>
</file>

<file path=xl/ctrlProps/ctrlProp16.xml><?xml version="1.0" encoding="utf-8"?>
<formControlPr xmlns="http://schemas.microsoft.com/office/spreadsheetml/2009/9/main" objectType="CheckBox" fmlaLink="'for internal use'!$CF$3" lockText="1" noThreeD="1"/>
</file>

<file path=xl/ctrlProps/ctrlProp17.xml><?xml version="1.0" encoding="utf-8"?>
<formControlPr xmlns="http://schemas.microsoft.com/office/spreadsheetml/2009/9/main" objectType="CheckBox" fmlaLink="'for internal use'!$CG$3" lockText="1" noThreeD="1"/>
</file>

<file path=xl/ctrlProps/ctrlProp18.xml><?xml version="1.0" encoding="utf-8"?>
<formControlPr xmlns="http://schemas.microsoft.com/office/spreadsheetml/2009/9/main" objectType="CheckBox" fmlaLink="'for internal use'!$BR$3" lockText="1" noThreeD="1"/>
</file>

<file path=xl/ctrlProps/ctrlProp19.xml><?xml version="1.0" encoding="utf-8"?>
<formControlPr xmlns="http://schemas.microsoft.com/office/spreadsheetml/2009/9/main" objectType="CheckBox" fmlaLink="'for internal use'!$BS$3" lockText="1" noThreeD="1"/>
</file>

<file path=xl/ctrlProps/ctrlProp20.xml><?xml version="1.0" encoding="utf-8"?>
<formControlPr xmlns="http://schemas.microsoft.com/office/spreadsheetml/2009/9/main" objectType="CheckBox" fmlaLink="'for internal use'!$CH$3" lockText="1" noThreeD="1"/>
</file>

<file path=xl/ctrlProps/ctrlProp21.xml><?xml version="1.0" encoding="utf-8"?>
<formControlPr xmlns="http://schemas.microsoft.com/office/spreadsheetml/2009/9/main" objectType="CheckBox" fmlaLink="'for internal use'!$CI$3" lockText="1" noThreeD="1"/>
</file>

<file path=xl/ctrlProps/ctrlProp22.xml><?xml version="1.0" encoding="utf-8"?>
<formControlPr xmlns="http://schemas.microsoft.com/office/spreadsheetml/2009/9/main" objectType="CheckBox" fmlaLink="'for internal use'!$BT$3" lockText="1" noThreeD="1"/>
</file>

<file path=xl/ctrlProps/ctrlProp23.xml><?xml version="1.0" encoding="utf-8"?>
<formControlPr xmlns="http://schemas.microsoft.com/office/spreadsheetml/2009/9/main" objectType="CheckBox" fmlaLink="'for internal use'!$BU$3" lockText="1" noThreeD="1"/>
</file>

<file path=xl/ctrlProps/ctrlProp24.xml><?xml version="1.0" encoding="utf-8"?>
<formControlPr xmlns="http://schemas.microsoft.com/office/spreadsheetml/2009/9/main" objectType="CheckBox" fmlaLink="'for internal use'!$CJ$3" lockText="1" noThreeD="1"/>
</file>

<file path=xl/ctrlProps/ctrlProp25.xml><?xml version="1.0" encoding="utf-8"?>
<formControlPr xmlns="http://schemas.microsoft.com/office/spreadsheetml/2009/9/main" objectType="CheckBox" fmlaLink="'for internal use'!$BV$3" lockText="1" noThreeD="1"/>
</file>

<file path=xl/ctrlProps/ctrlProp26.xml><?xml version="1.0" encoding="utf-8"?>
<formControlPr xmlns="http://schemas.microsoft.com/office/spreadsheetml/2009/9/main" objectType="CheckBox" fmlaLink="'for internal use'!$CK$3" lockText="1" noThreeD="1"/>
</file>

<file path=xl/ctrlProps/ctrlProp27.xml><?xml version="1.0" encoding="utf-8"?>
<formControlPr xmlns="http://schemas.microsoft.com/office/spreadsheetml/2009/9/main" objectType="CheckBox" fmlaLink="'for internal use'!$BW$3" lockText="1" noThreeD="1"/>
</file>

<file path=xl/ctrlProps/ctrlProp28.xml><?xml version="1.0" encoding="utf-8"?>
<formControlPr xmlns="http://schemas.microsoft.com/office/spreadsheetml/2009/9/main" objectType="CheckBox" fmlaLink="'for internal use'!$CL$3" lockText="1" noThreeD="1"/>
</file>

<file path=xl/ctrlProps/ctrlProp29.xml><?xml version="1.0" encoding="utf-8"?>
<formControlPr xmlns="http://schemas.microsoft.com/office/spreadsheetml/2009/9/main" objectType="CheckBox" fmlaLink="'for internal use'!$BX$3" lockText="1" noThreeD="1"/>
</file>

<file path=xl/ctrlProps/ctrlProp30.xml><?xml version="1.0" encoding="utf-8"?>
<formControlPr xmlns="http://schemas.microsoft.com/office/spreadsheetml/2009/9/main" objectType="CheckBox" fmlaLink="'for internal use'!$CM$3" lockText="1" noThreeD="1"/>
</file>

<file path=xl/ctrlProps/ctrlProp31.xml><?xml version="1.0" encoding="utf-8"?>
<formControlPr xmlns="http://schemas.microsoft.com/office/spreadsheetml/2009/9/main" objectType="CheckBox" fmlaLink="'for internal use (FRENCH)'!$BJ$3" lockText="1" noThreeD="1"/>
</file>

<file path=xl/ctrlProps/ctrlProp32.xml><?xml version="1.0" encoding="utf-8"?>
<formControlPr xmlns="http://schemas.microsoft.com/office/spreadsheetml/2009/9/main" objectType="CheckBox" fmlaLink="'for internal use (FRENCH)'!$BY$3" lockText="1" noThreeD="1"/>
</file>

<file path=xl/ctrlProps/ctrlProp33.xml><?xml version="1.0" encoding="utf-8"?>
<formControlPr xmlns="http://schemas.microsoft.com/office/spreadsheetml/2009/9/main" objectType="CheckBox" fmlaLink="'for internal use (FRENCH)'!$BK$3" lockText="1" noThreeD="1"/>
</file>

<file path=xl/ctrlProps/ctrlProp34.xml><?xml version="1.0" encoding="utf-8"?>
<formControlPr xmlns="http://schemas.microsoft.com/office/spreadsheetml/2009/9/main" objectType="CheckBox" fmlaLink="'for internal use (FRENCH)'!$BZ$3" lockText="1" noThreeD="1"/>
</file>

<file path=xl/ctrlProps/ctrlProp35.xml><?xml version="1.0" encoding="utf-8"?>
<formControlPr xmlns="http://schemas.microsoft.com/office/spreadsheetml/2009/9/main" objectType="CheckBox" fmlaLink="'for internal use (FRENCH)'!$BL$3" lockText="1" noThreeD="1"/>
</file>

<file path=xl/ctrlProps/ctrlProp36.xml><?xml version="1.0" encoding="utf-8"?>
<formControlPr xmlns="http://schemas.microsoft.com/office/spreadsheetml/2009/9/main" objectType="CheckBox" fmlaLink="'for internal use (FRENCH)'!$CA$3" lockText="1" noThreeD="1"/>
</file>

<file path=xl/ctrlProps/ctrlProp37.xml><?xml version="1.0" encoding="utf-8"?>
<formControlPr xmlns="http://schemas.microsoft.com/office/spreadsheetml/2009/9/main" objectType="CheckBox" fmlaLink="'for internal use (FRENCH)'!$BM$3" lockText="1" noThreeD="1"/>
</file>

<file path=xl/ctrlProps/ctrlProp38.xml><?xml version="1.0" encoding="utf-8"?>
<formControlPr xmlns="http://schemas.microsoft.com/office/spreadsheetml/2009/9/main" objectType="CheckBox" fmlaLink="'for internal use (FRENCH)'!$CB$3" lockText="1" noThreeD="1"/>
</file>

<file path=xl/ctrlProps/ctrlProp39.xml><?xml version="1.0" encoding="utf-8"?>
<formControlPr xmlns="http://schemas.microsoft.com/office/spreadsheetml/2009/9/main" objectType="CheckBox" fmlaLink="'for internal use (FRENCH)'!$BN$3" lockText="1" noThreeD="1"/>
</file>

<file path=xl/ctrlProps/ctrlProp40.xml><?xml version="1.0" encoding="utf-8"?>
<formControlPr xmlns="http://schemas.microsoft.com/office/spreadsheetml/2009/9/main" objectType="CheckBox" fmlaLink="'for internal use (FRENCH)'!$CC$3" lockText="1" noThreeD="1"/>
</file>

<file path=xl/ctrlProps/ctrlProp41.xml><?xml version="1.0" encoding="utf-8"?>
<formControlPr xmlns="http://schemas.microsoft.com/office/spreadsheetml/2009/9/main" objectType="CheckBox" fmlaLink="'for internal use (FRENCH)'!$BO$3" lockText="1" noThreeD="1"/>
</file>

<file path=xl/ctrlProps/ctrlProp42.xml><?xml version="1.0" encoding="utf-8"?>
<formControlPr xmlns="http://schemas.microsoft.com/office/spreadsheetml/2009/9/main" objectType="CheckBox" fmlaLink="'for internal use (FRENCH)'!$CD$3" lockText="1" noThreeD="1"/>
</file>

<file path=xl/ctrlProps/ctrlProp43.xml><?xml version="1.0" encoding="utf-8"?>
<formControlPr xmlns="http://schemas.microsoft.com/office/spreadsheetml/2009/9/main" objectType="CheckBox" fmlaLink="'for internal use (FRENCH)'!$CE$3" lockText="1" noThreeD="1"/>
</file>

<file path=xl/ctrlProps/ctrlProp44.xml><?xml version="1.0" encoding="utf-8"?>
<formControlPr xmlns="http://schemas.microsoft.com/office/spreadsheetml/2009/9/main" objectType="CheckBox" fmlaLink="'for internal use (FRENCH)'!$BP$3" lockText="1" noThreeD="1"/>
</file>

<file path=xl/ctrlProps/ctrlProp45.xml><?xml version="1.0" encoding="utf-8"?>
<formControlPr xmlns="http://schemas.microsoft.com/office/spreadsheetml/2009/9/main" objectType="CheckBox" fmlaLink="'for internal use (FRENCH)'!$BQ$3" lockText="1" noThreeD="1"/>
</file>

<file path=xl/ctrlProps/ctrlProp46.xml><?xml version="1.0" encoding="utf-8"?>
<formControlPr xmlns="http://schemas.microsoft.com/office/spreadsheetml/2009/9/main" objectType="CheckBox" fmlaLink="'for internal use (FRENCH)'!$CF$3" lockText="1" noThreeD="1"/>
</file>

<file path=xl/ctrlProps/ctrlProp47.xml><?xml version="1.0" encoding="utf-8"?>
<formControlPr xmlns="http://schemas.microsoft.com/office/spreadsheetml/2009/9/main" objectType="CheckBox" fmlaLink="'for internal use (FRENCH)'!$CG$3" lockText="1" noThreeD="1"/>
</file>

<file path=xl/ctrlProps/ctrlProp48.xml><?xml version="1.0" encoding="utf-8"?>
<formControlPr xmlns="http://schemas.microsoft.com/office/spreadsheetml/2009/9/main" objectType="CheckBox" fmlaLink="'for internal use (FRENCH)'!$BR$3" lockText="1" noThreeD="1"/>
</file>

<file path=xl/ctrlProps/ctrlProp49.xml><?xml version="1.0" encoding="utf-8"?>
<formControlPr xmlns="http://schemas.microsoft.com/office/spreadsheetml/2009/9/main" objectType="CheckBox" fmlaLink="'for internal use (FRENCH)'!$BS$3" lockText="1" noThreeD="1"/>
</file>

<file path=xl/ctrlProps/ctrlProp50.xml><?xml version="1.0" encoding="utf-8"?>
<formControlPr xmlns="http://schemas.microsoft.com/office/spreadsheetml/2009/9/main" objectType="CheckBox" fmlaLink="'for internal use (FRENCH)'!$CH$3" lockText="1" noThreeD="1"/>
</file>

<file path=xl/ctrlProps/ctrlProp51.xml><?xml version="1.0" encoding="utf-8"?>
<formControlPr xmlns="http://schemas.microsoft.com/office/spreadsheetml/2009/9/main" objectType="CheckBox" fmlaLink="'for internal use (FRENCH)'!$CI$3" lockText="1" noThreeD="1"/>
</file>

<file path=xl/ctrlProps/ctrlProp52.xml><?xml version="1.0" encoding="utf-8"?>
<formControlPr xmlns="http://schemas.microsoft.com/office/spreadsheetml/2009/9/main" objectType="CheckBox" fmlaLink="'for internal use (FRENCH)'!$BT$3" lockText="1" noThreeD="1"/>
</file>

<file path=xl/ctrlProps/ctrlProp53.xml><?xml version="1.0" encoding="utf-8"?>
<formControlPr xmlns="http://schemas.microsoft.com/office/spreadsheetml/2009/9/main" objectType="CheckBox" fmlaLink="'for internal use (FRENCH)'!$BU$3" lockText="1" noThreeD="1"/>
</file>

<file path=xl/ctrlProps/ctrlProp54.xml><?xml version="1.0" encoding="utf-8"?>
<formControlPr xmlns="http://schemas.microsoft.com/office/spreadsheetml/2009/9/main" objectType="CheckBox" fmlaLink="'for internal use (FRENCH)'!$CJ$3" lockText="1" noThreeD="1"/>
</file>

<file path=xl/ctrlProps/ctrlProp55.xml><?xml version="1.0" encoding="utf-8"?>
<formControlPr xmlns="http://schemas.microsoft.com/office/spreadsheetml/2009/9/main" objectType="CheckBox" fmlaLink="'for internal use (FRENCH)'!$BV$3" lockText="1" noThreeD="1"/>
</file>

<file path=xl/ctrlProps/ctrlProp56.xml><?xml version="1.0" encoding="utf-8"?>
<formControlPr xmlns="http://schemas.microsoft.com/office/spreadsheetml/2009/9/main" objectType="CheckBox" fmlaLink="'for internal use (FRENCH)'!$CK$3" lockText="1" noThreeD="1"/>
</file>

<file path=xl/ctrlProps/ctrlProp57.xml><?xml version="1.0" encoding="utf-8"?>
<formControlPr xmlns="http://schemas.microsoft.com/office/spreadsheetml/2009/9/main" objectType="CheckBox" fmlaLink="'for internal use (FRENCH)'!$BW$3" lockText="1" noThreeD="1"/>
</file>

<file path=xl/ctrlProps/ctrlProp58.xml><?xml version="1.0" encoding="utf-8"?>
<formControlPr xmlns="http://schemas.microsoft.com/office/spreadsheetml/2009/9/main" objectType="CheckBox" fmlaLink="'for internal use (FRENCH)'!$CL$3" lockText="1" noThreeD="1"/>
</file>

<file path=xl/ctrlProps/ctrlProp59.xml><?xml version="1.0" encoding="utf-8"?>
<formControlPr xmlns="http://schemas.microsoft.com/office/spreadsheetml/2009/9/main" objectType="CheckBox" fmlaLink="'for internal use (FRENCH)'!$BX$3" lockText="1" noThreeD="1"/>
</file>

<file path=xl/ctrlProps/ctrlProp60.xml><?xml version="1.0" encoding="utf-8"?>
<formControlPr xmlns="http://schemas.microsoft.com/office/spreadsheetml/2009/9/main" objectType="CheckBox" fmlaLink="'for internal use (FRENCH)'!$CM$3" lockText="1" noThreeD="1"/>
</file>

<file path=xl/ctrlProps/ctrlProp61.xml><?xml version="1.0" encoding="utf-8"?>
<formControlPr xmlns="http://schemas.microsoft.com/office/spreadsheetml/2009/9/main" objectType="CheckBox" fmlaLink="'for internal use (SPANISH)'!$BJ$3" lockText="1" noThreeD="1"/>
</file>

<file path=xl/ctrlProps/ctrlProp62.xml><?xml version="1.0" encoding="utf-8"?>
<formControlPr xmlns="http://schemas.microsoft.com/office/spreadsheetml/2009/9/main" objectType="CheckBox" fmlaLink="'for internal use (SPANISH)'!$BY$3" lockText="1" noThreeD="1"/>
</file>

<file path=xl/ctrlProps/ctrlProp63.xml><?xml version="1.0" encoding="utf-8"?>
<formControlPr xmlns="http://schemas.microsoft.com/office/spreadsheetml/2009/9/main" objectType="CheckBox" fmlaLink="'for internal use (SPANISH)'!$BK$3" lockText="1" noThreeD="1"/>
</file>

<file path=xl/ctrlProps/ctrlProp64.xml><?xml version="1.0" encoding="utf-8"?>
<formControlPr xmlns="http://schemas.microsoft.com/office/spreadsheetml/2009/9/main" objectType="CheckBox" fmlaLink="'for internal use (SPANISH)'!$BZ$3" lockText="1" noThreeD="1"/>
</file>

<file path=xl/ctrlProps/ctrlProp65.xml><?xml version="1.0" encoding="utf-8"?>
<formControlPr xmlns="http://schemas.microsoft.com/office/spreadsheetml/2009/9/main" objectType="CheckBox" fmlaLink="'for internal use (SPANISH)'!$BL$3" lockText="1" noThreeD="1"/>
</file>

<file path=xl/ctrlProps/ctrlProp66.xml><?xml version="1.0" encoding="utf-8"?>
<formControlPr xmlns="http://schemas.microsoft.com/office/spreadsheetml/2009/9/main" objectType="CheckBox" fmlaLink="'for internal use (SPANISH)'!$CA$3" lockText="1" noThreeD="1"/>
</file>

<file path=xl/ctrlProps/ctrlProp67.xml><?xml version="1.0" encoding="utf-8"?>
<formControlPr xmlns="http://schemas.microsoft.com/office/spreadsheetml/2009/9/main" objectType="CheckBox" fmlaLink="'for internal use (SPANISH)'!$BM$3" lockText="1" noThreeD="1"/>
</file>

<file path=xl/ctrlProps/ctrlProp68.xml><?xml version="1.0" encoding="utf-8"?>
<formControlPr xmlns="http://schemas.microsoft.com/office/spreadsheetml/2009/9/main" objectType="CheckBox" fmlaLink="'for internal use (SPANISH)'!$CB$3" lockText="1" noThreeD="1"/>
</file>

<file path=xl/ctrlProps/ctrlProp69.xml><?xml version="1.0" encoding="utf-8"?>
<formControlPr xmlns="http://schemas.microsoft.com/office/spreadsheetml/2009/9/main" objectType="CheckBox" fmlaLink="'for internal use (SPANISH)'!$BN$3" lockText="1" noThreeD="1"/>
</file>

<file path=xl/ctrlProps/ctrlProp70.xml><?xml version="1.0" encoding="utf-8"?>
<formControlPr xmlns="http://schemas.microsoft.com/office/spreadsheetml/2009/9/main" objectType="CheckBox" fmlaLink="'for internal use (SPANISH)'!$CC$3" lockText="1" noThreeD="1"/>
</file>

<file path=xl/ctrlProps/ctrlProp71.xml><?xml version="1.0" encoding="utf-8"?>
<formControlPr xmlns="http://schemas.microsoft.com/office/spreadsheetml/2009/9/main" objectType="CheckBox" fmlaLink="'for internal use (SPANISH)'!$BO$3" lockText="1" noThreeD="1"/>
</file>

<file path=xl/ctrlProps/ctrlProp72.xml><?xml version="1.0" encoding="utf-8"?>
<formControlPr xmlns="http://schemas.microsoft.com/office/spreadsheetml/2009/9/main" objectType="CheckBox" fmlaLink="'for internal use (SPANISH)'!$CD$3" lockText="1" noThreeD="1"/>
</file>

<file path=xl/ctrlProps/ctrlProp73.xml><?xml version="1.0" encoding="utf-8"?>
<formControlPr xmlns="http://schemas.microsoft.com/office/spreadsheetml/2009/9/main" objectType="CheckBox" fmlaLink="'for internal use (SPANISH)'!$CE$3" lockText="1" noThreeD="1"/>
</file>

<file path=xl/ctrlProps/ctrlProp74.xml><?xml version="1.0" encoding="utf-8"?>
<formControlPr xmlns="http://schemas.microsoft.com/office/spreadsheetml/2009/9/main" objectType="CheckBox" fmlaLink="'for internal use (SPANISH)'!$BP$3" lockText="1" noThreeD="1"/>
</file>

<file path=xl/ctrlProps/ctrlProp75.xml><?xml version="1.0" encoding="utf-8"?>
<formControlPr xmlns="http://schemas.microsoft.com/office/spreadsheetml/2009/9/main" objectType="CheckBox" fmlaLink="'for internal use (SPANISH)'!$BQ$3" lockText="1" noThreeD="1"/>
</file>

<file path=xl/ctrlProps/ctrlProp76.xml><?xml version="1.0" encoding="utf-8"?>
<formControlPr xmlns="http://schemas.microsoft.com/office/spreadsheetml/2009/9/main" objectType="CheckBox" fmlaLink="'for internal use (SPANISH)'!$CF$3" lockText="1" noThreeD="1"/>
</file>

<file path=xl/ctrlProps/ctrlProp77.xml><?xml version="1.0" encoding="utf-8"?>
<formControlPr xmlns="http://schemas.microsoft.com/office/spreadsheetml/2009/9/main" objectType="CheckBox" fmlaLink="'for internal use (SPANISH)'!$CG$3" lockText="1" noThreeD="1"/>
</file>

<file path=xl/ctrlProps/ctrlProp78.xml><?xml version="1.0" encoding="utf-8"?>
<formControlPr xmlns="http://schemas.microsoft.com/office/spreadsheetml/2009/9/main" objectType="CheckBox" fmlaLink="'for internal use (SPANISH)'!$BR$3" lockText="1" noThreeD="1"/>
</file>

<file path=xl/ctrlProps/ctrlProp79.xml><?xml version="1.0" encoding="utf-8"?>
<formControlPr xmlns="http://schemas.microsoft.com/office/spreadsheetml/2009/9/main" objectType="CheckBox" fmlaLink="'for internal use (SPANISH)'!$BS$3" lockText="1" noThreeD="1"/>
</file>

<file path=xl/ctrlProps/ctrlProp80.xml><?xml version="1.0" encoding="utf-8"?>
<formControlPr xmlns="http://schemas.microsoft.com/office/spreadsheetml/2009/9/main" objectType="CheckBox" fmlaLink="'for internal use (SPANISH)'!$CH$3" lockText="1" noThreeD="1"/>
</file>

<file path=xl/ctrlProps/ctrlProp81.xml><?xml version="1.0" encoding="utf-8"?>
<formControlPr xmlns="http://schemas.microsoft.com/office/spreadsheetml/2009/9/main" objectType="CheckBox" fmlaLink="'for internal use (SPANISH)'!$CI$3" lockText="1" noThreeD="1"/>
</file>

<file path=xl/ctrlProps/ctrlProp82.xml><?xml version="1.0" encoding="utf-8"?>
<formControlPr xmlns="http://schemas.microsoft.com/office/spreadsheetml/2009/9/main" objectType="CheckBox" fmlaLink="'for internal use (SPANISH)'!$BT$3" lockText="1" noThreeD="1"/>
</file>

<file path=xl/ctrlProps/ctrlProp83.xml><?xml version="1.0" encoding="utf-8"?>
<formControlPr xmlns="http://schemas.microsoft.com/office/spreadsheetml/2009/9/main" objectType="CheckBox" fmlaLink="'for internal use (SPANISH)'!$BU$3" lockText="1" noThreeD="1"/>
</file>

<file path=xl/ctrlProps/ctrlProp84.xml><?xml version="1.0" encoding="utf-8"?>
<formControlPr xmlns="http://schemas.microsoft.com/office/spreadsheetml/2009/9/main" objectType="CheckBox" fmlaLink="'for internal use (SPANISH)'!$CJ$3" lockText="1" noThreeD="1"/>
</file>

<file path=xl/ctrlProps/ctrlProp85.xml><?xml version="1.0" encoding="utf-8"?>
<formControlPr xmlns="http://schemas.microsoft.com/office/spreadsheetml/2009/9/main" objectType="CheckBox" fmlaLink="'for internal use (SPANISH)'!$BV$3" lockText="1" noThreeD="1"/>
</file>

<file path=xl/ctrlProps/ctrlProp86.xml><?xml version="1.0" encoding="utf-8"?>
<formControlPr xmlns="http://schemas.microsoft.com/office/spreadsheetml/2009/9/main" objectType="CheckBox" fmlaLink="'for internal use (SPANISH)'!$CK$3" lockText="1" noThreeD="1"/>
</file>

<file path=xl/ctrlProps/ctrlProp87.xml><?xml version="1.0" encoding="utf-8"?>
<formControlPr xmlns="http://schemas.microsoft.com/office/spreadsheetml/2009/9/main" objectType="CheckBox" fmlaLink="'for internal use (SPANISH)'!$BW$3" lockText="1" noThreeD="1"/>
</file>

<file path=xl/ctrlProps/ctrlProp88.xml><?xml version="1.0" encoding="utf-8"?>
<formControlPr xmlns="http://schemas.microsoft.com/office/spreadsheetml/2009/9/main" objectType="CheckBox" fmlaLink="'for internal use (SPANISH)'!$CL$3" lockText="1" noThreeD="1"/>
</file>

<file path=xl/ctrlProps/ctrlProp89.xml><?xml version="1.0" encoding="utf-8"?>
<formControlPr xmlns="http://schemas.microsoft.com/office/spreadsheetml/2009/9/main" objectType="CheckBox" fmlaLink="'for internal use (SPANISH)'!$BX$3" lockText="1" noThreeD="1"/>
</file>

<file path=xl/ctrlProps/ctrlProp90.xml><?xml version="1.0" encoding="utf-8"?>
<formControlPr xmlns="http://schemas.microsoft.com/office/spreadsheetml/2009/9/main" objectType="CheckBox" fmlaLink="'for internal use (SPANISH)'!$CM$3"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12</xdr:col>
      <xdr:colOff>475420</xdr:colOff>
      <xdr:row>55</xdr:row>
      <xdr:rowOff>19050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7771570" cy="1049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85725</xdr:colOff>
      <xdr:row>1</xdr:row>
      <xdr:rowOff>133351</xdr:rowOff>
    </xdr:from>
    <xdr:to>
      <xdr:col>4</xdr:col>
      <xdr:colOff>495300</xdr:colOff>
      <xdr:row>19</xdr:row>
      <xdr:rowOff>152401</xdr:rowOff>
    </xdr:to>
    <xdr:pic>
      <xdr:nvPicPr>
        <xdr:cNvPr id="33" name="Picture 32" descr="P:\COMMUNICATIONS\ACI_LOGO_&amp;_REGIONS\ACI_logo_vertical_cmyk.jp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23851"/>
          <a:ext cx="2295525" cy="3429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7</xdr:col>
          <xdr:colOff>190500</xdr:colOff>
          <xdr:row>118</xdr:row>
          <xdr:rowOff>0</xdr:rowOff>
        </xdr:from>
        <xdr:to>
          <xdr:col>7</xdr:col>
          <xdr:colOff>400050</xdr:colOff>
          <xdr:row>119</xdr:row>
          <xdr:rowOff>9525</xdr:rowOff>
        </xdr:to>
        <xdr:sp macro="" textlink="">
          <xdr:nvSpPr>
            <xdr:cNvPr id="44162" name="Check Box 130" hidden="1">
              <a:extLst>
                <a:ext uri="{63B3BB69-23CF-44E3-9099-C40C66FF867C}">
                  <a14:compatExt spid="_x0000_s44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118</xdr:row>
          <xdr:rowOff>0</xdr:rowOff>
        </xdr:from>
        <xdr:to>
          <xdr:col>8</xdr:col>
          <xdr:colOff>400050</xdr:colOff>
          <xdr:row>119</xdr:row>
          <xdr:rowOff>9525</xdr:rowOff>
        </xdr:to>
        <xdr:sp macro="" textlink="">
          <xdr:nvSpPr>
            <xdr:cNvPr id="44163" name="Check Box 131" hidden="1">
              <a:extLst>
                <a:ext uri="{63B3BB69-23CF-44E3-9099-C40C66FF867C}">
                  <a14:compatExt spid="_x0000_s44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119</xdr:row>
          <xdr:rowOff>0</xdr:rowOff>
        </xdr:from>
        <xdr:to>
          <xdr:col>7</xdr:col>
          <xdr:colOff>400050</xdr:colOff>
          <xdr:row>120</xdr:row>
          <xdr:rowOff>9525</xdr:rowOff>
        </xdr:to>
        <xdr:sp macro="" textlink="">
          <xdr:nvSpPr>
            <xdr:cNvPr id="44164" name="Check Box 132" hidden="1">
              <a:extLst>
                <a:ext uri="{63B3BB69-23CF-44E3-9099-C40C66FF867C}">
                  <a14:compatExt spid="_x0000_s44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119</xdr:row>
          <xdr:rowOff>0</xdr:rowOff>
        </xdr:from>
        <xdr:to>
          <xdr:col>8</xdr:col>
          <xdr:colOff>400050</xdr:colOff>
          <xdr:row>120</xdr:row>
          <xdr:rowOff>9525</xdr:rowOff>
        </xdr:to>
        <xdr:sp macro="" textlink="">
          <xdr:nvSpPr>
            <xdr:cNvPr id="44165" name="Check Box 133" hidden="1">
              <a:extLst>
                <a:ext uri="{63B3BB69-23CF-44E3-9099-C40C66FF867C}">
                  <a14:compatExt spid="_x0000_s44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121</xdr:row>
          <xdr:rowOff>0</xdr:rowOff>
        </xdr:from>
        <xdr:to>
          <xdr:col>7</xdr:col>
          <xdr:colOff>400050</xdr:colOff>
          <xdr:row>122</xdr:row>
          <xdr:rowOff>9525</xdr:rowOff>
        </xdr:to>
        <xdr:sp macro="" textlink="">
          <xdr:nvSpPr>
            <xdr:cNvPr id="44166" name="Check Box 134" hidden="1">
              <a:extLst>
                <a:ext uri="{63B3BB69-23CF-44E3-9099-C40C66FF867C}">
                  <a14:compatExt spid="_x0000_s44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121</xdr:row>
          <xdr:rowOff>0</xdr:rowOff>
        </xdr:from>
        <xdr:to>
          <xdr:col>8</xdr:col>
          <xdr:colOff>400050</xdr:colOff>
          <xdr:row>122</xdr:row>
          <xdr:rowOff>9525</xdr:rowOff>
        </xdr:to>
        <xdr:sp macro="" textlink="">
          <xdr:nvSpPr>
            <xdr:cNvPr id="44167" name="Check Box 135" hidden="1">
              <a:extLst>
                <a:ext uri="{63B3BB69-23CF-44E3-9099-C40C66FF867C}">
                  <a14:compatExt spid="_x0000_s44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122</xdr:row>
          <xdr:rowOff>0</xdr:rowOff>
        </xdr:from>
        <xdr:to>
          <xdr:col>7</xdr:col>
          <xdr:colOff>400050</xdr:colOff>
          <xdr:row>123</xdr:row>
          <xdr:rowOff>9525</xdr:rowOff>
        </xdr:to>
        <xdr:sp macro="" textlink="">
          <xdr:nvSpPr>
            <xdr:cNvPr id="44168" name="Check Box 136" hidden="1">
              <a:extLst>
                <a:ext uri="{63B3BB69-23CF-44E3-9099-C40C66FF867C}">
                  <a14:compatExt spid="_x0000_s44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122</xdr:row>
          <xdr:rowOff>0</xdr:rowOff>
        </xdr:from>
        <xdr:to>
          <xdr:col>8</xdr:col>
          <xdr:colOff>400050</xdr:colOff>
          <xdr:row>123</xdr:row>
          <xdr:rowOff>9525</xdr:rowOff>
        </xdr:to>
        <xdr:sp macro="" textlink="">
          <xdr:nvSpPr>
            <xdr:cNvPr id="44169" name="Check Box 137" hidden="1">
              <a:extLst>
                <a:ext uri="{63B3BB69-23CF-44E3-9099-C40C66FF867C}">
                  <a14:compatExt spid="_x0000_s44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123</xdr:row>
          <xdr:rowOff>0</xdr:rowOff>
        </xdr:from>
        <xdr:to>
          <xdr:col>7</xdr:col>
          <xdr:colOff>400050</xdr:colOff>
          <xdr:row>124</xdr:row>
          <xdr:rowOff>9525</xdr:rowOff>
        </xdr:to>
        <xdr:sp macro="" textlink="">
          <xdr:nvSpPr>
            <xdr:cNvPr id="44170" name="Check Box 138" hidden="1">
              <a:extLst>
                <a:ext uri="{63B3BB69-23CF-44E3-9099-C40C66FF867C}">
                  <a14:compatExt spid="_x0000_s44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123</xdr:row>
          <xdr:rowOff>0</xdr:rowOff>
        </xdr:from>
        <xdr:to>
          <xdr:col>8</xdr:col>
          <xdr:colOff>400050</xdr:colOff>
          <xdr:row>124</xdr:row>
          <xdr:rowOff>9525</xdr:rowOff>
        </xdr:to>
        <xdr:sp macro="" textlink="">
          <xdr:nvSpPr>
            <xdr:cNvPr id="44171" name="Check Box 139" hidden="1">
              <a:extLst>
                <a:ext uri="{63B3BB69-23CF-44E3-9099-C40C66FF867C}">
                  <a14:compatExt spid="_x0000_s44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124</xdr:row>
          <xdr:rowOff>0</xdr:rowOff>
        </xdr:from>
        <xdr:to>
          <xdr:col>7</xdr:col>
          <xdr:colOff>400050</xdr:colOff>
          <xdr:row>125</xdr:row>
          <xdr:rowOff>9525</xdr:rowOff>
        </xdr:to>
        <xdr:sp macro="" textlink="">
          <xdr:nvSpPr>
            <xdr:cNvPr id="44172" name="Check Box 140" hidden="1">
              <a:extLst>
                <a:ext uri="{63B3BB69-23CF-44E3-9099-C40C66FF867C}">
                  <a14:compatExt spid="_x0000_s44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124</xdr:row>
          <xdr:rowOff>0</xdr:rowOff>
        </xdr:from>
        <xdr:to>
          <xdr:col>8</xdr:col>
          <xdr:colOff>400050</xdr:colOff>
          <xdr:row>125</xdr:row>
          <xdr:rowOff>9525</xdr:rowOff>
        </xdr:to>
        <xdr:sp macro="" textlink="">
          <xdr:nvSpPr>
            <xdr:cNvPr id="44173" name="Check Box 141" hidden="1">
              <a:extLst>
                <a:ext uri="{63B3BB69-23CF-44E3-9099-C40C66FF867C}">
                  <a14:compatExt spid="_x0000_s44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125</xdr:row>
          <xdr:rowOff>0</xdr:rowOff>
        </xdr:from>
        <xdr:to>
          <xdr:col>8</xdr:col>
          <xdr:colOff>400050</xdr:colOff>
          <xdr:row>126</xdr:row>
          <xdr:rowOff>9525</xdr:rowOff>
        </xdr:to>
        <xdr:sp macro="" textlink="">
          <xdr:nvSpPr>
            <xdr:cNvPr id="44174" name="Check Box 142" hidden="1">
              <a:extLst>
                <a:ext uri="{63B3BB69-23CF-44E3-9099-C40C66FF867C}">
                  <a14:compatExt spid="_x0000_s44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125</xdr:row>
          <xdr:rowOff>0</xdr:rowOff>
        </xdr:from>
        <xdr:to>
          <xdr:col>7</xdr:col>
          <xdr:colOff>400050</xdr:colOff>
          <xdr:row>126</xdr:row>
          <xdr:rowOff>9525</xdr:rowOff>
        </xdr:to>
        <xdr:sp macro="" textlink="">
          <xdr:nvSpPr>
            <xdr:cNvPr id="44175" name="Check Box 143" hidden="1">
              <a:extLst>
                <a:ext uri="{63B3BB69-23CF-44E3-9099-C40C66FF867C}">
                  <a14:compatExt spid="_x0000_s44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126</xdr:row>
          <xdr:rowOff>0</xdr:rowOff>
        </xdr:from>
        <xdr:to>
          <xdr:col>7</xdr:col>
          <xdr:colOff>400050</xdr:colOff>
          <xdr:row>127</xdr:row>
          <xdr:rowOff>9525</xdr:rowOff>
        </xdr:to>
        <xdr:sp macro="" textlink="">
          <xdr:nvSpPr>
            <xdr:cNvPr id="44176" name="Check Box 144" hidden="1">
              <a:extLst>
                <a:ext uri="{63B3BB69-23CF-44E3-9099-C40C66FF867C}">
                  <a14:compatExt spid="_x0000_s44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126</xdr:row>
          <xdr:rowOff>0</xdr:rowOff>
        </xdr:from>
        <xdr:to>
          <xdr:col>8</xdr:col>
          <xdr:colOff>400050</xdr:colOff>
          <xdr:row>127</xdr:row>
          <xdr:rowOff>9525</xdr:rowOff>
        </xdr:to>
        <xdr:sp macro="" textlink="">
          <xdr:nvSpPr>
            <xdr:cNvPr id="44177" name="Check Box 145" hidden="1">
              <a:extLst>
                <a:ext uri="{63B3BB69-23CF-44E3-9099-C40C66FF867C}">
                  <a14:compatExt spid="_x0000_s44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127</xdr:row>
          <xdr:rowOff>0</xdr:rowOff>
        </xdr:from>
        <xdr:to>
          <xdr:col>8</xdr:col>
          <xdr:colOff>400050</xdr:colOff>
          <xdr:row>128</xdr:row>
          <xdr:rowOff>9525</xdr:rowOff>
        </xdr:to>
        <xdr:sp macro="" textlink="">
          <xdr:nvSpPr>
            <xdr:cNvPr id="44178" name="Check Box 146" hidden="1">
              <a:extLst>
                <a:ext uri="{63B3BB69-23CF-44E3-9099-C40C66FF867C}">
                  <a14:compatExt spid="_x0000_s44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127</xdr:row>
          <xdr:rowOff>0</xdr:rowOff>
        </xdr:from>
        <xdr:to>
          <xdr:col>7</xdr:col>
          <xdr:colOff>400050</xdr:colOff>
          <xdr:row>128</xdr:row>
          <xdr:rowOff>9525</xdr:rowOff>
        </xdr:to>
        <xdr:sp macro="" textlink="">
          <xdr:nvSpPr>
            <xdr:cNvPr id="44179" name="Check Box 147" hidden="1">
              <a:extLst>
                <a:ext uri="{63B3BB69-23CF-44E3-9099-C40C66FF867C}">
                  <a14:compatExt spid="_x0000_s44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128</xdr:row>
          <xdr:rowOff>0</xdr:rowOff>
        </xdr:from>
        <xdr:to>
          <xdr:col>7</xdr:col>
          <xdr:colOff>400050</xdr:colOff>
          <xdr:row>129</xdr:row>
          <xdr:rowOff>9525</xdr:rowOff>
        </xdr:to>
        <xdr:sp macro="" textlink="">
          <xdr:nvSpPr>
            <xdr:cNvPr id="44180" name="Check Box 148" hidden="1">
              <a:extLst>
                <a:ext uri="{63B3BB69-23CF-44E3-9099-C40C66FF867C}">
                  <a14:compatExt spid="_x0000_s44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128</xdr:row>
          <xdr:rowOff>0</xdr:rowOff>
        </xdr:from>
        <xdr:to>
          <xdr:col>8</xdr:col>
          <xdr:colOff>400050</xdr:colOff>
          <xdr:row>129</xdr:row>
          <xdr:rowOff>9525</xdr:rowOff>
        </xdr:to>
        <xdr:sp macro="" textlink="">
          <xdr:nvSpPr>
            <xdr:cNvPr id="44181" name="Check Box 149" hidden="1">
              <a:extLst>
                <a:ext uri="{63B3BB69-23CF-44E3-9099-C40C66FF867C}">
                  <a14:compatExt spid="_x0000_s441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129</xdr:row>
          <xdr:rowOff>0</xdr:rowOff>
        </xdr:from>
        <xdr:to>
          <xdr:col>8</xdr:col>
          <xdr:colOff>400050</xdr:colOff>
          <xdr:row>130</xdr:row>
          <xdr:rowOff>9525</xdr:rowOff>
        </xdr:to>
        <xdr:sp macro="" textlink="">
          <xdr:nvSpPr>
            <xdr:cNvPr id="44182" name="Check Box 150" hidden="1">
              <a:extLst>
                <a:ext uri="{63B3BB69-23CF-44E3-9099-C40C66FF867C}">
                  <a14:compatExt spid="_x0000_s44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129</xdr:row>
          <xdr:rowOff>0</xdr:rowOff>
        </xdr:from>
        <xdr:to>
          <xdr:col>7</xdr:col>
          <xdr:colOff>400050</xdr:colOff>
          <xdr:row>130</xdr:row>
          <xdr:rowOff>9525</xdr:rowOff>
        </xdr:to>
        <xdr:sp macro="" textlink="">
          <xdr:nvSpPr>
            <xdr:cNvPr id="44183" name="Check Box 151" hidden="1">
              <a:extLst>
                <a:ext uri="{63B3BB69-23CF-44E3-9099-C40C66FF867C}">
                  <a14:compatExt spid="_x0000_s44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131</xdr:row>
          <xdr:rowOff>0</xdr:rowOff>
        </xdr:from>
        <xdr:to>
          <xdr:col>7</xdr:col>
          <xdr:colOff>400050</xdr:colOff>
          <xdr:row>132</xdr:row>
          <xdr:rowOff>9525</xdr:rowOff>
        </xdr:to>
        <xdr:sp macro="" textlink="">
          <xdr:nvSpPr>
            <xdr:cNvPr id="44184" name="Check Box 152" hidden="1">
              <a:extLst>
                <a:ext uri="{63B3BB69-23CF-44E3-9099-C40C66FF867C}">
                  <a14:compatExt spid="_x0000_s44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131</xdr:row>
          <xdr:rowOff>0</xdr:rowOff>
        </xdr:from>
        <xdr:to>
          <xdr:col>8</xdr:col>
          <xdr:colOff>400050</xdr:colOff>
          <xdr:row>132</xdr:row>
          <xdr:rowOff>9525</xdr:rowOff>
        </xdr:to>
        <xdr:sp macro="" textlink="">
          <xdr:nvSpPr>
            <xdr:cNvPr id="44185" name="Check Box 153" hidden="1">
              <a:extLst>
                <a:ext uri="{63B3BB69-23CF-44E3-9099-C40C66FF867C}">
                  <a14:compatExt spid="_x0000_s44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132</xdr:row>
          <xdr:rowOff>0</xdr:rowOff>
        </xdr:from>
        <xdr:to>
          <xdr:col>7</xdr:col>
          <xdr:colOff>400050</xdr:colOff>
          <xdr:row>133</xdr:row>
          <xdr:rowOff>9525</xdr:rowOff>
        </xdr:to>
        <xdr:sp macro="" textlink="">
          <xdr:nvSpPr>
            <xdr:cNvPr id="44186" name="Check Box 154" hidden="1">
              <a:extLst>
                <a:ext uri="{63B3BB69-23CF-44E3-9099-C40C66FF867C}">
                  <a14:compatExt spid="_x0000_s44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132</xdr:row>
          <xdr:rowOff>0</xdr:rowOff>
        </xdr:from>
        <xdr:to>
          <xdr:col>8</xdr:col>
          <xdr:colOff>400050</xdr:colOff>
          <xdr:row>133</xdr:row>
          <xdr:rowOff>9525</xdr:rowOff>
        </xdr:to>
        <xdr:sp macro="" textlink="">
          <xdr:nvSpPr>
            <xdr:cNvPr id="44187" name="Check Box 155" hidden="1">
              <a:extLst>
                <a:ext uri="{63B3BB69-23CF-44E3-9099-C40C66FF867C}">
                  <a14:compatExt spid="_x0000_s441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133</xdr:row>
          <xdr:rowOff>0</xdr:rowOff>
        </xdr:from>
        <xdr:to>
          <xdr:col>7</xdr:col>
          <xdr:colOff>400050</xdr:colOff>
          <xdr:row>134</xdr:row>
          <xdr:rowOff>9525</xdr:rowOff>
        </xdr:to>
        <xdr:sp macro="" textlink="">
          <xdr:nvSpPr>
            <xdr:cNvPr id="44188" name="Check Box 156" hidden="1">
              <a:extLst>
                <a:ext uri="{63B3BB69-23CF-44E3-9099-C40C66FF867C}">
                  <a14:compatExt spid="_x0000_s44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133</xdr:row>
          <xdr:rowOff>0</xdr:rowOff>
        </xdr:from>
        <xdr:to>
          <xdr:col>8</xdr:col>
          <xdr:colOff>400050</xdr:colOff>
          <xdr:row>134</xdr:row>
          <xdr:rowOff>9525</xdr:rowOff>
        </xdr:to>
        <xdr:sp macro="" textlink="">
          <xdr:nvSpPr>
            <xdr:cNvPr id="44189" name="Check Box 157" hidden="1">
              <a:extLst>
                <a:ext uri="{63B3BB69-23CF-44E3-9099-C40C66FF867C}">
                  <a14:compatExt spid="_x0000_s44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134</xdr:row>
          <xdr:rowOff>0</xdr:rowOff>
        </xdr:from>
        <xdr:to>
          <xdr:col>7</xdr:col>
          <xdr:colOff>400050</xdr:colOff>
          <xdr:row>135</xdr:row>
          <xdr:rowOff>9525</xdr:rowOff>
        </xdr:to>
        <xdr:sp macro="" textlink="">
          <xdr:nvSpPr>
            <xdr:cNvPr id="44190" name="Check Box 158" hidden="1">
              <a:extLst>
                <a:ext uri="{63B3BB69-23CF-44E3-9099-C40C66FF867C}">
                  <a14:compatExt spid="_x0000_s44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134</xdr:row>
          <xdr:rowOff>0</xdr:rowOff>
        </xdr:from>
        <xdr:to>
          <xdr:col>8</xdr:col>
          <xdr:colOff>400050</xdr:colOff>
          <xdr:row>135</xdr:row>
          <xdr:rowOff>9525</xdr:rowOff>
        </xdr:to>
        <xdr:sp macro="" textlink="">
          <xdr:nvSpPr>
            <xdr:cNvPr id="44191" name="Check Box 159" hidden="1">
              <a:extLst>
                <a:ext uri="{63B3BB69-23CF-44E3-9099-C40C66FF867C}">
                  <a14:compatExt spid="_x0000_s44191"/>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1</xdr:row>
      <xdr:rowOff>133351</xdr:rowOff>
    </xdr:from>
    <xdr:to>
      <xdr:col>4</xdr:col>
      <xdr:colOff>495300</xdr:colOff>
      <xdr:row>19</xdr:row>
      <xdr:rowOff>152401</xdr:rowOff>
    </xdr:to>
    <xdr:pic>
      <xdr:nvPicPr>
        <xdr:cNvPr id="2" name="Picture 1" descr="P:\COMMUNICATIONS\ACI_LOGO_&amp;_REGIONS\ACI_logo_vertical_cmyk.jp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23851"/>
          <a:ext cx="2295525" cy="3429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7</xdr:col>
          <xdr:colOff>190500</xdr:colOff>
          <xdr:row>118</xdr:row>
          <xdr:rowOff>0</xdr:rowOff>
        </xdr:from>
        <xdr:to>
          <xdr:col>7</xdr:col>
          <xdr:colOff>400050</xdr:colOff>
          <xdr:row>119</xdr:row>
          <xdr:rowOff>9525</xdr:rowOff>
        </xdr:to>
        <xdr:sp macro="" textlink="">
          <xdr:nvSpPr>
            <xdr:cNvPr id="45057" name="Check Box 1" hidden="1">
              <a:extLst>
                <a:ext uri="{63B3BB69-23CF-44E3-9099-C40C66FF867C}">
                  <a14:compatExt spid="_x0000_s45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118</xdr:row>
          <xdr:rowOff>0</xdr:rowOff>
        </xdr:from>
        <xdr:to>
          <xdr:col>8</xdr:col>
          <xdr:colOff>400050</xdr:colOff>
          <xdr:row>119</xdr:row>
          <xdr:rowOff>9525</xdr:rowOff>
        </xdr:to>
        <xdr:sp macro="" textlink="">
          <xdr:nvSpPr>
            <xdr:cNvPr id="45058" name="Check Box 2" hidden="1">
              <a:extLst>
                <a:ext uri="{63B3BB69-23CF-44E3-9099-C40C66FF867C}">
                  <a14:compatExt spid="_x0000_s45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119</xdr:row>
          <xdr:rowOff>0</xdr:rowOff>
        </xdr:from>
        <xdr:to>
          <xdr:col>7</xdr:col>
          <xdr:colOff>400050</xdr:colOff>
          <xdr:row>120</xdr:row>
          <xdr:rowOff>9525</xdr:rowOff>
        </xdr:to>
        <xdr:sp macro="" textlink="">
          <xdr:nvSpPr>
            <xdr:cNvPr id="45059" name="Check Box 3" hidden="1">
              <a:extLst>
                <a:ext uri="{63B3BB69-23CF-44E3-9099-C40C66FF867C}">
                  <a14:compatExt spid="_x0000_s45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119</xdr:row>
          <xdr:rowOff>0</xdr:rowOff>
        </xdr:from>
        <xdr:to>
          <xdr:col>8</xdr:col>
          <xdr:colOff>400050</xdr:colOff>
          <xdr:row>120</xdr:row>
          <xdr:rowOff>9525</xdr:rowOff>
        </xdr:to>
        <xdr:sp macro="" textlink="">
          <xdr:nvSpPr>
            <xdr:cNvPr id="45060" name="Check Box 4" hidden="1">
              <a:extLst>
                <a:ext uri="{63B3BB69-23CF-44E3-9099-C40C66FF867C}">
                  <a14:compatExt spid="_x0000_s45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121</xdr:row>
          <xdr:rowOff>0</xdr:rowOff>
        </xdr:from>
        <xdr:to>
          <xdr:col>7</xdr:col>
          <xdr:colOff>400050</xdr:colOff>
          <xdr:row>122</xdr:row>
          <xdr:rowOff>9525</xdr:rowOff>
        </xdr:to>
        <xdr:sp macro="" textlink="">
          <xdr:nvSpPr>
            <xdr:cNvPr id="45061" name="Check Box 5" hidden="1">
              <a:extLst>
                <a:ext uri="{63B3BB69-23CF-44E3-9099-C40C66FF867C}">
                  <a14:compatExt spid="_x0000_s45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121</xdr:row>
          <xdr:rowOff>0</xdr:rowOff>
        </xdr:from>
        <xdr:to>
          <xdr:col>8</xdr:col>
          <xdr:colOff>400050</xdr:colOff>
          <xdr:row>122</xdr:row>
          <xdr:rowOff>9525</xdr:rowOff>
        </xdr:to>
        <xdr:sp macro="" textlink="">
          <xdr:nvSpPr>
            <xdr:cNvPr id="45062" name="Check Box 6" hidden="1">
              <a:extLst>
                <a:ext uri="{63B3BB69-23CF-44E3-9099-C40C66FF867C}">
                  <a14:compatExt spid="_x0000_s45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122</xdr:row>
          <xdr:rowOff>0</xdr:rowOff>
        </xdr:from>
        <xdr:to>
          <xdr:col>7</xdr:col>
          <xdr:colOff>400050</xdr:colOff>
          <xdr:row>123</xdr:row>
          <xdr:rowOff>9525</xdr:rowOff>
        </xdr:to>
        <xdr:sp macro="" textlink="">
          <xdr:nvSpPr>
            <xdr:cNvPr id="45063" name="Check Box 7" hidden="1">
              <a:extLst>
                <a:ext uri="{63B3BB69-23CF-44E3-9099-C40C66FF867C}">
                  <a14:compatExt spid="_x0000_s45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122</xdr:row>
          <xdr:rowOff>0</xdr:rowOff>
        </xdr:from>
        <xdr:to>
          <xdr:col>8</xdr:col>
          <xdr:colOff>400050</xdr:colOff>
          <xdr:row>123</xdr:row>
          <xdr:rowOff>9525</xdr:rowOff>
        </xdr:to>
        <xdr:sp macro="" textlink="">
          <xdr:nvSpPr>
            <xdr:cNvPr id="45064" name="Check Box 8" hidden="1">
              <a:extLst>
                <a:ext uri="{63B3BB69-23CF-44E3-9099-C40C66FF867C}">
                  <a14:compatExt spid="_x0000_s450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123</xdr:row>
          <xdr:rowOff>0</xdr:rowOff>
        </xdr:from>
        <xdr:to>
          <xdr:col>7</xdr:col>
          <xdr:colOff>400050</xdr:colOff>
          <xdr:row>124</xdr:row>
          <xdr:rowOff>9525</xdr:rowOff>
        </xdr:to>
        <xdr:sp macro="" textlink="">
          <xdr:nvSpPr>
            <xdr:cNvPr id="45065" name="Check Box 9" hidden="1">
              <a:extLst>
                <a:ext uri="{63B3BB69-23CF-44E3-9099-C40C66FF867C}">
                  <a14:compatExt spid="_x0000_s45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123</xdr:row>
          <xdr:rowOff>0</xdr:rowOff>
        </xdr:from>
        <xdr:to>
          <xdr:col>8</xdr:col>
          <xdr:colOff>400050</xdr:colOff>
          <xdr:row>124</xdr:row>
          <xdr:rowOff>9525</xdr:rowOff>
        </xdr:to>
        <xdr:sp macro="" textlink="">
          <xdr:nvSpPr>
            <xdr:cNvPr id="45066" name="Check Box 10" hidden="1">
              <a:extLst>
                <a:ext uri="{63B3BB69-23CF-44E3-9099-C40C66FF867C}">
                  <a14:compatExt spid="_x0000_s45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124</xdr:row>
          <xdr:rowOff>0</xdr:rowOff>
        </xdr:from>
        <xdr:to>
          <xdr:col>7</xdr:col>
          <xdr:colOff>400050</xdr:colOff>
          <xdr:row>125</xdr:row>
          <xdr:rowOff>9525</xdr:rowOff>
        </xdr:to>
        <xdr:sp macro="" textlink="">
          <xdr:nvSpPr>
            <xdr:cNvPr id="45067" name="Check Box 11" hidden="1">
              <a:extLst>
                <a:ext uri="{63B3BB69-23CF-44E3-9099-C40C66FF867C}">
                  <a14:compatExt spid="_x0000_s45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124</xdr:row>
          <xdr:rowOff>0</xdr:rowOff>
        </xdr:from>
        <xdr:to>
          <xdr:col>8</xdr:col>
          <xdr:colOff>400050</xdr:colOff>
          <xdr:row>125</xdr:row>
          <xdr:rowOff>9525</xdr:rowOff>
        </xdr:to>
        <xdr:sp macro="" textlink="">
          <xdr:nvSpPr>
            <xdr:cNvPr id="45068" name="Check Box 12" hidden="1">
              <a:extLst>
                <a:ext uri="{63B3BB69-23CF-44E3-9099-C40C66FF867C}">
                  <a14:compatExt spid="_x0000_s45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125</xdr:row>
          <xdr:rowOff>0</xdr:rowOff>
        </xdr:from>
        <xdr:to>
          <xdr:col>8</xdr:col>
          <xdr:colOff>400050</xdr:colOff>
          <xdr:row>126</xdr:row>
          <xdr:rowOff>9525</xdr:rowOff>
        </xdr:to>
        <xdr:sp macro="" textlink="">
          <xdr:nvSpPr>
            <xdr:cNvPr id="45069" name="Check Box 13" hidden="1">
              <a:extLst>
                <a:ext uri="{63B3BB69-23CF-44E3-9099-C40C66FF867C}">
                  <a14:compatExt spid="_x0000_s450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125</xdr:row>
          <xdr:rowOff>0</xdr:rowOff>
        </xdr:from>
        <xdr:to>
          <xdr:col>7</xdr:col>
          <xdr:colOff>400050</xdr:colOff>
          <xdr:row>126</xdr:row>
          <xdr:rowOff>9525</xdr:rowOff>
        </xdr:to>
        <xdr:sp macro="" textlink="">
          <xdr:nvSpPr>
            <xdr:cNvPr id="45070" name="Check Box 14" hidden="1">
              <a:extLst>
                <a:ext uri="{63B3BB69-23CF-44E3-9099-C40C66FF867C}">
                  <a14:compatExt spid="_x0000_s45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126</xdr:row>
          <xdr:rowOff>0</xdr:rowOff>
        </xdr:from>
        <xdr:to>
          <xdr:col>7</xdr:col>
          <xdr:colOff>400050</xdr:colOff>
          <xdr:row>127</xdr:row>
          <xdr:rowOff>9525</xdr:rowOff>
        </xdr:to>
        <xdr:sp macro="" textlink="">
          <xdr:nvSpPr>
            <xdr:cNvPr id="45071" name="Check Box 15" hidden="1">
              <a:extLst>
                <a:ext uri="{63B3BB69-23CF-44E3-9099-C40C66FF867C}">
                  <a14:compatExt spid="_x0000_s450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126</xdr:row>
          <xdr:rowOff>0</xdr:rowOff>
        </xdr:from>
        <xdr:to>
          <xdr:col>8</xdr:col>
          <xdr:colOff>400050</xdr:colOff>
          <xdr:row>127</xdr:row>
          <xdr:rowOff>9525</xdr:rowOff>
        </xdr:to>
        <xdr:sp macro="" textlink="">
          <xdr:nvSpPr>
            <xdr:cNvPr id="45072" name="Check Box 16" hidden="1">
              <a:extLst>
                <a:ext uri="{63B3BB69-23CF-44E3-9099-C40C66FF867C}">
                  <a14:compatExt spid="_x0000_s45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127</xdr:row>
          <xdr:rowOff>0</xdr:rowOff>
        </xdr:from>
        <xdr:to>
          <xdr:col>8</xdr:col>
          <xdr:colOff>400050</xdr:colOff>
          <xdr:row>128</xdr:row>
          <xdr:rowOff>9525</xdr:rowOff>
        </xdr:to>
        <xdr:sp macro="" textlink="">
          <xdr:nvSpPr>
            <xdr:cNvPr id="45073" name="Check Box 17" hidden="1">
              <a:extLst>
                <a:ext uri="{63B3BB69-23CF-44E3-9099-C40C66FF867C}">
                  <a14:compatExt spid="_x0000_s45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127</xdr:row>
          <xdr:rowOff>0</xdr:rowOff>
        </xdr:from>
        <xdr:to>
          <xdr:col>7</xdr:col>
          <xdr:colOff>400050</xdr:colOff>
          <xdr:row>128</xdr:row>
          <xdr:rowOff>9525</xdr:rowOff>
        </xdr:to>
        <xdr:sp macro="" textlink="">
          <xdr:nvSpPr>
            <xdr:cNvPr id="45074" name="Check Box 18" hidden="1">
              <a:extLst>
                <a:ext uri="{63B3BB69-23CF-44E3-9099-C40C66FF867C}">
                  <a14:compatExt spid="_x0000_s450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128</xdr:row>
          <xdr:rowOff>0</xdr:rowOff>
        </xdr:from>
        <xdr:to>
          <xdr:col>7</xdr:col>
          <xdr:colOff>400050</xdr:colOff>
          <xdr:row>129</xdr:row>
          <xdr:rowOff>9525</xdr:rowOff>
        </xdr:to>
        <xdr:sp macro="" textlink="">
          <xdr:nvSpPr>
            <xdr:cNvPr id="45075" name="Check Box 19" hidden="1">
              <a:extLst>
                <a:ext uri="{63B3BB69-23CF-44E3-9099-C40C66FF867C}">
                  <a14:compatExt spid="_x0000_s45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128</xdr:row>
          <xdr:rowOff>0</xdr:rowOff>
        </xdr:from>
        <xdr:to>
          <xdr:col>8</xdr:col>
          <xdr:colOff>400050</xdr:colOff>
          <xdr:row>129</xdr:row>
          <xdr:rowOff>9525</xdr:rowOff>
        </xdr:to>
        <xdr:sp macro="" textlink="">
          <xdr:nvSpPr>
            <xdr:cNvPr id="45076" name="Check Box 20" hidden="1">
              <a:extLst>
                <a:ext uri="{63B3BB69-23CF-44E3-9099-C40C66FF867C}">
                  <a14:compatExt spid="_x0000_s45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129</xdr:row>
          <xdr:rowOff>0</xdr:rowOff>
        </xdr:from>
        <xdr:to>
          <xdr:col>8</xdr:col>
          <xdr:colOff>400050</xdr:colOff>
          <xdr:row>130</xdr:row>
          <xdr:rowOff>9525</xdr:rowOff>
        </xdr:to>
        <xdr:sp macro="" textlink="">
          <xdr:nvSpPr>
            <xdr:cNvPr id="45077" name="Check Box 21" hidden="1">
              <a:extLst>
                <a:ext uri="{63B3BB69-23CF-44E3-9099-C40C66FF867C}">
                  <a14:compatExt spid="_x0000_s45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129</xdr:row>
          <xdr:rowOff>0</xdr:rowOff>
        </xdr:from>
        <xdr:to>
          <xdr:col>7</xdr:col>
          <xdr:colOff>400050</xdr:colOff>
          <xdr:row>130</xdr:row>
          <xdr:rowOff>9525</xdr:rowOff>
        </xdr:to>
        <xdr:sp macro="" textlink="">
          <xdr:nvSpPr>
            <xdr:cNvPr id="45078" name="Check Box 22" hidden="1">
              <a:extLst>
                <a:ext uri="{63B3BB69-23CF-44E3-9099-C40C66FF867C}">
                  <a14:compatExt spid="_x0000_s45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131</xdr:row>
          <xdr:rowOff>0</xdr:rowOff>
        </xdr:from>
        <xdr:to>
          <xdr:col>7</xdr:col>
          <xdr:colOff>400050</xdr:colOff>
          <xdr:row>132</xdr:row>
          <xdr:rowOff>9525</xdr:rowOff>
        </xdr:to>
        <xdr:sp macro="" textlink="">
          <xdr:nvSpPr>
            <xdr:cNvPr id="45079" name="Check Box 23" hidden="1">
              <a:extLst>
                <a:ext uri="{63B3BB69-23CF-44E3-9099-C40C66FF867C}">
                  <a14:compatExt spid="_x0000_s45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131</xdr:row>
          <xdr:rowOff>0</xdr:rowOff>
        </xdr:from>
        <xdr:to>
          <xdr:col>8</xdr:col>
          <xdr:colOff>400050</xdr:colOff>
          <xdr:row>132</xdr:row>
          <xdr:rowOff>9525</xdr:rowOff>
        </xdr:to>
        <xdr:sp macro="" textlink="">
          <xdr:nvSpPr>
            <xdr:cNvPr id="45080" name="Check Box 24" hidden="1">
              <a:extLst>
                <a:ext uri="{63B3BB69-23CF-44E3-9099-C40C66FF867C}">
                  <a14:compatExt spid="_x0000_s45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132</xdr:row>
          <xdr:rowOff>0</xdr:rowOff>
        </xdr:from>
        <xdr:to>
          <xdr:col>7</xdr:col>
          <xdr:colOff>400050</xdr:colOff>
          <xdr:row>133</xdr:row>
          <xdr:rowOff>9525</xdr:rowOff>
        </xdr:to>
        <xdr:sp macro="" textlink="">
          <xdr:nvSpPr>
            <xdr:cNvPr id="45081" name="Check Box 25" hidden="1">
              <a:extLst>
                <a:ext uri="{63B3BB69-23CF-44E3-9099-C40C66FF867C}">
                  <a14:compatExt spid="_x0000_s45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132</xdr:row>
          <xdr:rowOff>0</xdr:rowOff>
        </xdr:from>
        <xdr:to>
          <xdr:col>8</xdr:col>
          <xdr:colOff>400050</xdr:colOff>
          <xdr:row>133</xdr:row>
          <xdr:rowOff>9525</xdr:rowOff>
        </xdr:to>
        <xdr:sp macro="" textlink="">
          <xdr:nvSpPr>
            <xdr:cNvPr id="45082" name="Check Box 26" hidden="1">
              <a:extLst>
                <a:ext uri="{63B3BB69-23CF-44E3-9099-C40C66FF867C}">
                  <a14:compatExt spid="_x0000_s45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133</xdr:row>
          <xdr:rowOff>0</xdr:rowOff>
        </xdr:from>
        <xdr:to>
          <xdr:col>7</xdr:col>
          <xdr:colOff>400050</xdr:colOff>
          <xdr:row>134</xdr:row>
          <xdr:rowOff>9525</xdr:rowOff>
        </xdr:to>
        <xdr:sp macro="" textlink="">
          <xdr:nvSpPr>
            <xdr:cNvPr id="45083" name="Check Box 27" hidden="1">
              <a:extLst>
                <a:ext uri="{63B3BB69-23CF-44E3-9099-C40C66FF867C}">
                  <a14:compatExt spid="_x0000_s45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133</xdr:row>
          <xdr:rowOff>0</xdr:rowOff>
        </xdr:from>
        <xdr:to>
          <xdr:col>8</xdr:col>
          <xdr:colOff>400050</xdr:colOff>
          <xdr:row>134</xdr:row>
          <xdr:rowOff>9525</xdr:rowOff>
        </xdr:to>
        <xdr:sp macro="" textlink="">
          <xdr:nvSpPr>
            <xdr:cNvPr id="45084" name="Check Box 28" hidden="1">
              <a:extLst>
                <a:ext uri="{63B3BB69-23CF-44E3-9099-C40C66FF867C}">
                  <a14:compatExt spid="_x0000_s45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134</xdr:row>
          <xdr:rowOff>0</xdr:rowOff>
        </xdr:from>
        <xdr:to>
          <xdr:col>7</xdr:col>
          <xdr:colOff>400050</xdr:colOff>
          <xdr:row>135</xdr:row>
          <xdr:rowOff>9525</xdr:rowOff>
        </xdr:to>
        <xdr:sp macro="" textlink="">
          <xdr:nvSpPr>
            <xdr:cNvPr id="45085" name="Check Box 29" hidden="1">
              <a:extLst>
                <a:ext uri="{63B3BB69-23CF-44E3-9099-C40C66FF867C}">
                  <a14:compatExt spid="_x0000_s45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134</xdr:row>
          <xdr:rowOff>0</xdr:rowOff>
        </xdr:from>
        <xdr:to>
          <xdr:col>8</xdr:col>
          <xdr:colOff>400050</xdr:colOff>
          <xdr:row>135</xdr:row>
          <xdr:rowOff>9525</xdr:rowOff>
        </xdr:to>
        <xdr:sp macro="" textlink="">
          <xdr:nvSpPr>
            <xdr:cNvPr id="45086" name="Check Box 30" hidden="1">
              <a:extLst>
                <a:ext uri="{63B3BB69-23CF-44E3-9099-C40C66FF867C}">
                  <a14:compatExt spid="_x0000_s45086"/>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1</xdr:row>
      <xdr:rowOff>133351</xdr:rowOff>
    </xdr:from>
    <xdr:to>
      <xdr:col>4</xdr:col>
      <xdr:colOff>495300</xdr:colOff>
      <xdr:row>19</xdr:row>
      <xdr:rowOff>152401</xdr:rowOff>
    </xdr:to>
    <xdr:pic>
      <xdr:nvPicPr>
        <xdr:cNvPr id="2" name="Picture 1" descr="P:\COMMUNICATIONS\ACI_LOGO_&amp;_REGIONS\ACI_logo_vertical_cmyk.jp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23851"/>
          <a:ext cx="2295525" cy="3429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7</xdr:col>
          <xdr:colOff>190500</xdr:colOff>
          <xdr:row>118</xdr:row>
          <xdr:rowOff>0</xdr:rowOff>
        </xdr:from>
        <xdr:to>
          <xdr:col>7</xdr:col>
          <xdr:colOff>400050</xdr:colOff>
          <xdr:row>119</xdr:row>
          <xdr:rowOff>9525</xdr:rowOff>
        </xdr:to>
        <xdr:sp macro="" textlink="">
          <xdr:nvSpPr>
            <xdr:cNvPr id="58369" name="Check Box 1" hidden="1">
              <a:extLst>
                <a:ext uri="{63B3BB69-23CF-44E3-9099-C40C66FF867C}">
                  <a14:compatExt spid="_x0000_s583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118</xdr:row>
          <xdr:rowOff>0</xdr:rowOff>
        </xdr:from>
        <xdr:to>
          <xdr:col>8</xdr:col>
          <xdr:colOff>400050</xdr:colOff>
          <xdr:row>119</xdr:row>
          <xdr:rowOff>9525</xdr:rowOff>
        </xdr:to>
        <xdr:sp macro="" textlink="">
          <xdr:nvSpPr>
            <xdr:cNvPr id="58370" name="Check Box 2" hidden="1">
              <a:extLst>
                <a:ext uri="{63B3BB69-23CF-44E3-9099-C40C66FF867C}">
                  <a14:compatExt spid="_x0000_s583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119</xdr:row>
          <xdr:rowOff>0</xdr:rowOff>
        </xdr:from>
        <xdr:to>
          <xdr:col>7</xdr:col>
          <xdr:colOff>400050</xdr:colOff>
          <xdr:row>120</xdr:row>
          <xdr:rowOff>9525</xdr:rowOff>
        </xdr:to>
        <xdr:sp macro="" textlink="">
          <xdr:nvSpPr>
            <xdr:cNvPr id="58371" name="Check Box 3" hidden="1">
              <a:extLst>
                <a:ext uri="{63B3BB69-23CF-44E3-9099-C40C66FF867C}">
                  <a14:compatExt spid="_x0000_s583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119</xdr:row>
          <xdr:rowOff>0</xdr:rowOff>
        </xdr:from>
        <xdr:to>
          <xdr:col>8</xdr:col>
          <xdr:colOff>400050</xdr:colOff>
          <xdr:row>120</xdr:row>
          <xdr:rowOff>9525</xdr:rowOff>
        </xdr:to>
        <xdr:sp macro="" textlink="">
          <xdr:nvSpPr>
            <xdr:cNvPr id="58372" name="Check Box 4" hidden="1">
              <a:extLst>
                <a:ext uri="{63B3BB69-23CF-44E3-9099-C40C66FF867C}">
                  <a14:compatExt spid="_x0000_s583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121</xdr:row>
          <xdr:rowOff>0</xdr:rowOff>
        </xdr:from>
        <xdr:to>
          <xdr:col>7</xdr:col>
          <xdr:colOff>400050</xdr:colOff>
          <xdr:row>122</xdr:row>
          <xdr:rowOff>9525</xdr:rowOff>
        </xdr:to>
        <xdr:sp macro="" textlink="">
          <xdr:nvSpPr>
            <xdr:cNvPr id="58373" name="Check Box 5" hidden="1">
              <a:extLst>
                <a:ext uri="{63B3BB69-23CF-44E3-9099-C40C66FF867C}">
                  <a14:compatExt spid="_x0000_s583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121</xdr:row>
          <xdr:rowOff>0</xdr:rowOff>
        </xdr:from>
        <xdr:to>
          <xdr:col>8</xdr:col>
          <xdr:colOff>400050</xdr:colOff>
          <xdr:row>122</xdr:row>
          <xdr:rowOff>9525</xdr:rowOff>
        </xdr:to>
        <xdr:sp macro="" textlink="">
          <xdr:nvSpPr>
            <xdr:cNvPr id="58374" name="Check Box 6" hidden="1">
              <a:extLst>
                <a:ext uri="{63B3BB69-23CF-44E3-9099-C40C66FF867C}">
                  <a14:compatExt spid="_x0000_s583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122</xdr:row>
          <xdr:rowOff>0</xdr:rowOff>
        </xdr:from>
        <xdr:to>
          <xdr:col>7</xdr:col>
          <xdr:colOff>400050</xdr:colOff>
          <xdr:row>123</xdr:row>
          <xdr:rowOff>9525</xdr:rowOff>
        </xdr:to>
        <xdr:sp macro="" textlink="">
          <xdr:nvSpPr>
            <xdr:cNvPr id="58375" name="Check Box 7" hidden="1">
              <a:extLst>
                <a:ext uri="{63B3BB69-23CF-44E3-9099-C40C66FF867C}">
                  <a14:compatExt spid="_x0000_s583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122</xdr:row>
          <xdr:rowOff>0</xdr:rowOff>
        </xdr:from>
        <xdr:to>
          <xdr:col>8</xdr:col>
          <xdr:colOff>400050</xdr:colOff>
          <xdr:row>123</xdr:row>
          <xdr:rowOff>9525</xdr:rowOff>
        </xdr:to>
        <xdr:sp macro="" textlink="">
          <xdr:nvSpPr>
            <xdr:cNvPr id="58376" name="Check Box 8" hidden="1">
              <a:extLst>
                <a:ext uri="{63B3BB69-23CF-44E3-9099-C40C66FF867C}">
                  <a14:compatExt spid="_x0000_s583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123</xdr:row>
          <xdr:rowOff>0</xdr:rowOff>
        </xdr:from>
        <xdr:to>
          <xdr:col>7</xdr:col>
          <xdr:colOff>400050</xdr:colOff>
          <xdr:row>124</xdr:row>
          <xdr:rowOff>9525</xdr:rowOff>
        </xdr:to>
        <xdr:sp macro="" textlink="">
          <xdr:nvSpPr>
            <xdr:cNvPr id="58377" name="Check Box 9" hidden="1">
              <a:extLst>
                <a:ext uri="{63B3BB69-23CF-44E3-9099-C40C66FF867C}">
                  <a14:compatExt spid="_x0000_s583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123</xdr:row>
          <xdr:rowOff>0</xdr:rowOff>
        </xdr:from>
        <xdr:to>
          <xdr:col>8</xdr:col>
          <xdr:colOff>400050</xdr:colOff>
          <xdr:row>124</xdr:row>
          <xdr:rowOff>9525</xdr:rowOff>
        </xdr:to>
        <xdr:sp macro="" textlink="">
          <xdr:nvSpPr>
            <xdr:cNvPr id="58378" name="Check Box 10" hidden="1">
              <a:extLst>
                <a:ext uri="{63B3BB69-23CF-44E3-9099-C40C66FF867C}">
                  <a14:compatExt spid="_x0000_s583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124</xdr:row>
          <xdr:rowOff>0</xdr:rowOff>
        </xdr:from>
        <xdr:to>
          <xdr:col>7</xdr:col>
          <xdr:colOff>400050</xdr:colOff>
          <xdr:row>125</xdr:row>
          <xdr:rowOff>9525</xdr:rowOff>
        </xdr:to>
        <xdr:sp macro="" textlink="">
          <xdr:nvSpPr>
            <xdr:cNvPr id="58379" name="Check Box 11" hidden="1">
              <a:extLst>
                <a:ext uri="{63B3BB69-23CF-44E3-9099-C40C66FF867C}">
                  <a14:compatExt spid="_x0000_s583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124</xdr:row>
          <xdr:rowOff>0</xdr:rowOff>
        </xdr:from>
        <xdr:to>
          <xdr:col>8</xdr:col>
          <xdr:colOff>400050</xdr:colOff>
          <xdr:row>125</xdr:row>
          <xdr:rowOff>9525</xdr:rowOff>
        </xdr:to>
        <xdr:sp macro="" textlink="">
          <xdr:nvSpPr>
            <xdr:cNvPr id="58380" name="Check Box 12" hidden="1">
              <a:extLst>
                <a:ext uri="{63B3BB69-23CF-44E3-9099-C40C66FF867C}">
                  <a14:compatExt spid="_x0000_s583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125</xdr:row>
          <xdr:rowOff>0</xdr:rowOff>
        </xdr:from>
        <xdr:to>
          <xdr:col>8</xdr:col>
          <xdr:colOff>400050</xdr:colOff>
          <xdr:row>126</xdr:row>
          <xdr:rowOff>9525</xdr:rowOff>
        </xdr:to>
        <xdr:sp macro="" textlink="">
          <xdr:nvSpPr>
            <xdr:cNvPr id="58381" name="Check Box 13" hidden="1">
              <a:extLst>
                <a:ext uri="{63B3BB69-23CF-44E3-9099-C40C66FF867C}">
                  <a14:compatExt spid="_x0000_s583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125</xdr:row>
          <xdr:rowOff>0</xdr:rowOff>
        </xdr:from>
        <xdr:to>
          <xdr:col>7</xdr:col>
          <xdr:colOff>400050</xdr:colOff>
          <xdr:row>126</xdr:row>
          <xdr:rowOff>9525</xdr:rowOff>
        </xdr:to>
        <xdr:sp macro="" textlink="">
          <xdr:nvSpPr>
            <xdr:cNvPr id="58382" name="Check Box 14" hidden="1">
              <a:extLst>
                <a:ext uri="{63B3BB69-23CF-44E3-9099-C40C66FF867C}">
                  <a14:compatExt spid="_x0000_s583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126</xdr:row>
          <xdr:rowOff>0</xdr:rowOff>
        </xdr:from>
        <xdr:to>
          <xdr:col>7</xdr:col>
          <xdr:colOff>400050</xdr:colOff>
          <xdr:row>127</xdr:row>
          <xdr:rowOff>9525</xdr:rowOff>
        </xdr:to>
        <xdr:sp macro="" textlink="">
          <xdr:nvSpPr>
            <xdr:cNvPr id="58383" name="Check Box 15" hidden="1">
              <a:extLst>
                <a:ext uri="{63B3BB69-23CF-44E3-9099-C40C66FF867C}">
                  <a14:compatExt spid="_x0000_s583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126</xdr:row>
          <xdr:rowOff>0</xdr:rowOff>
        </xdr:from>
        <xdr:to>
          <xdr:col>8</xdr:col>
          <xdr:colOff>400050</xdr:colOff>
          <xdr:row>127</xdr:row>
          <xdr:rowOff>9525</xdr:rowOff>
        </xdr:to>
        <xdr:sp macro="" textlink="">
          <xdr:nvSpPr>
            <xdr:cNvPr id="58384" name="Check Box 16" hidden="1">
              <a:extLst>
                <a:ext uri="{63B3BB69-23CF-44E3-9099-C40C66FF867C}">
                  <a14:compatExt spid="_x0000_s583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127</xdr:row>
          <xdr:rowOff>0</xdr:rowOff>
        </xdr:from>
        <xdr:to>
          <xdr:col>8</xdr:col>
          <xdr:colOff>400050</xdr:colOff>
          <xdr:row>128</xdr:row>
          <xdr:rowOff>9525</xdr:rowOff>
        </xdr:to>
        <xdr:sp macro="" textlink="">
          <xdr:nvSpPr>
            <xdr:cNvPr id="58385" name="Check Box 17" hidden="1">
              <a:extLst>
                <a:ext uri="{63B3BB69-23CF-44E3-9099-C40C66FF867C}">
                  <a14:compatExt spid="_x0000_s583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127</xdr:row>
          <xdr:rowOff>0</xdr:rowOff>
        </xdr:from>
        <xdr:to>
          <xdr:col>7</xdr:col>
          <xdr:colOff>400050</xdr:colOff>
          <xdr:row>128</xdr:row>
          <xdr:rowOff>9525</xdr:rowOff>
        </xdr:to>
        <xdr:sp macro="" textlink="">
          <xdr:nvSpPr>
            <xdr:cNvPr id="58386" name="Check Box 18" hidden="1">
              <a:extLst>
                <a:ext uri="{63B3BB69-23CF-44E3-9099-C40C66FF867C}">
                  <a14:compatExt spid="_x0000_s583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128</xdr:row>
          <xdr:rowOff>0</xdr:rowOff>
        </xdr:from>
        <xdr:to>
          <xdr:col>7</xdr:col>
          <xdr:colOff>400050</xdr:colOff>
          <xdr:row>129</xdr:row>
          <xdr:rowOff>9525</xdr:rowOff>
        </xdr:to>
        <xdr:sp macro="" textlink="">
          <xdr:nvSpPr>
            <xdr:cNvPr id="58387" name="Check Box 19" hidden="1">
              <a:extLst>
                <a:ext uri="{63B3BB69-23CF-44E3-9099-C40C66FF867C}">
                  <a14:compatExt spid="_x0000_s583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128</xdr:row>
          <xdr:rowOff>0</xdr:rowOff>
        </xdr:from>
        <xdr:to>
          <xdr:col>8</xdr:col>
          <xdr:colOff>400050</xdr:colOff>
          <xdr:row>129</xdr:row>
          <xdr:rowOff>9525</xdr:rowOff>
        </xdr:to>
        <xdr:sp macro="" textlink="">
          <xdr:nvSpPr>
            <xdr:cNvPr id="58388" name="Check Box 20" hidden="1">
              <a:extLst>
                <a:ext uri="{63B3BB69-23CF-44E3-9099-C40C66FF867C}">
                  <a14:compatExt spid="_x0000_s583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129</xdr:row>
          <xdr:rowOff>0</xdr:rowOff>
        </xdr:from>
        <xdr:to>
          <xdr:col>8</xdr:col>
          <xdr:colOff>400050</xdr:colOff>
          <xdr:row>130</xdr:row>
          <xdr:rowOff>9525</xdr:rowOff>
        </xdr:to>
        <xdr:sp macro="" textlink="">
          <xdr:nvSpPr>
            <xdr:cNvPr id="58389" name="Check Box 21" hidden="1">
              <a:extLst>
                <a:ext uri="{63B3BB69-23CF-44E3-9099-C40C66FF867C}">
                  <a14:compatExt spid="_x0000_s583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129</xdr:row>
          <xdr:rowOff>0</xdr:rowOff>
        </xdr:from>
        <xdr:to>
          <xdr:col>7</xdr:col>
          <xdr:colOff>400050</xdr:colOff>
          <xdr:row>130</xdr:row>
          <xdr:rowOff>9525</xdr:rowOff>
        </xdr:to>
        <xdr:sp macro="" textlink="">
          <xdr:nvSpPr>
            <xdr:cNvPr id="58390" name="Check Box 22" hidden="1">
              <a:extLst>
                <a:ext uri="{63B3BB69-23CF-44E3-9099-C40C66FF867C}">
                  <a14:compatExt spid="_x0000_s583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131</xdr:row>
          <xdr:rowOff>0</xdr:rowOff>
        </xdr:from>
        <xdr:to>
          <xdr:col>7</xdr:col>
          <xdr:colOff>400050</xdr:colOff>
          <xdr:row>132</xdr:row>
          <xdr:rowOff>9525</xdr:rowOff>
        </xdr:to>
        <xdr:sp macro="" textlink="">
          <xdr:nvSpPr>
            <xdr:cNvPr id="58391" name="Check Box 23" hidden="1">
              <a:extLst>
                <a:ext uri="{63B3BB69-23CF-44E3-9099-C40C66FF867C}">
                  <a14:compatExt spid="_x0000_s583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131</xdr:row>
          <xdr:rowOff>0</xdr:rowOff>
        </xdr:from>
        <xdr:to>
          <xdr:col>8</xdr:col>
          <xdr:colOff>400050</xdr:colOff>
          <xdr:row>132</xdr:row>
          <xdr:rowOff>9525</xdr:rowOff>
        </xdr:to>
        <xdr:sp macro="" textlink="">
          <xdr:nvSpPr>
            <xdr:cNvPr id="58392" name="Check Box 24" hidden="1">
              <a:extLst>
                <a:ext uri="{63B3BB69-23CF-44E3-9099-C40C66FF867C}">
                  <a14:compatExt spid="_x0000_s583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132</xdr:row>
          <xdr:rowOff>0</xdr:rowOff>
        </xdr:from>
        <xdr:to>
          <xdr:col>7</xdr:col>
          <xdr:colOff>400050</xdr:colOff>
          <xdr:row>133</xdr:row>
          <xdr:rowOff>9525</xdr:rowOff>
        </xdr:to>
        <xdr:sp macro="" textlink="">
          <xdr:nvSpPr>
            <xdr:cNvPr id="58393" name="Check Box 25" hidden="1">
              <a:extLst>
                <a:ext uri="{63B3BB69-23CF-44E3-9099-C40C66FF867C}">
                  <a14:compatExt spid="_x0000_s583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132</xdr:row>
          <xdr:rowOff>0</xdr:rowOff>
        </xdr:from>
        <xdr:to>
          <xdr:col>8</xdr:col>
          <xdr:colOff>400050</xdr:colOff>
          <xdr:row>133</xdr:row>
          <xdr:rowOff>9525</xdr:rowOff>
        </xdr:to>
        <xdr:sp macro="" textlink="">
          <xdr:nvSpPr>
            <xdr:cNvPr id="58394" name="Check Box 26" hidden="1">
              <a:extLst>
                <a:ext uri="{63B3BB69-23CF-44E3-9099-C40C66FF867C}">
                  <a14:compatExt spid="_x0000_s583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133</xdr:row>
          <xdr:rowOff>0</xdr:rowOff>
        </xdr:from>
        <xdr:to>
          <xdr:col>7</xdr:col>
          <xdr:colOff>400050</xdr:colOff>
          <xdr:row>134</xdr:row>
          <xdr:rowOff>9525</xdr:rowOff>
        </xdr:to>
        <xdr:sp macro="" textlink="">
          <xdr:nvSpPr>
            <xdr:cNvPr id="58395" name="Check Box 27" hidden="1">
              <a:extLst>
                <a:ext uri="{63B3BB69-23CF-44E3-9099-C40C66FF867C}">
                  <a14:compatExt spid="_x0000_s583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133</xdr:row>
          <xdr:rowOff>0</xdr:rowOff>
        </xdr:from>
        <xdr:to>
          <xdr:col>8</xdr:col>
          <xdr:colOff>400050</xdr:colOff>
          <xdr:row>134</xdr:row>
          <xdr:rowOff>9525</xdr:rowOff>
        </xdr:to>
        <xdr:sp macro="" textlink="">
          <xdr:nvSpPr>
            <xdr:cNvPr id="58396" name="Check Box 28" hidden="1">
              <a:extLst>
                <a:ext uri="{63B3BB69-23CF-44E3-9099-C40C66FF867C}">
                  <a14:compatExt spid="_x0000_s583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134</xdr:row>
          <xdr:rowOff>0</xdr:rowOff>
        </xdr:from>
        <xdr:to>
          <xdr:col>7</xdr:col>
          <xdr:colOff>400050</xdr:colOff>
          <xdr:row>135</xdr:row>
          <xdr:rowOff>9525</xdr:rowOff>
        </xdr:to>
        <xdr:sp macro="" textlink="">
          <xdr:nvSpPr>
            <xdr:cNvPr id="58397" name="Check Box 29" hidden="1">
              <a:extLst>
                <a:ext uri="{63B3BB69-23CF-44E3-9099-C40C66FF867C}">
                  <a14:compatExt spid="_x0000_s583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134</xdr:row>
          <xdr:rowOff>0</xdr:rowOff>
        </xdr:from>
        <xdr:to>
          <xdr:col>8</xdr:col>
          <xdr:colOff>400050</xdr:colOff>
          <xdr:row>135</xdr:row>
          <xdr:rowOff>9525</xdr:rowOff>
        </xdr:to>
        <xdr:sp macro="" textlink="">
          <xdr:nvSpPr>
            <xdr:cNvPr id="58398" name="Check Box 30" hidden="1">
              <a:extLst>
                <a:ext uri="{63B3BB69-23CF-44E3-9099-C40C66FF867C}">
                  <a14:compatExt spid="_x0000_s58398"/>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ATISTICS%20&amp;%20ECONOMICS/EMAILED_STATS/_ECOSURVEY/ECOSUR-2012/Economics%20Survey%202012_Worl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LISH"/>
      <sheetName val="Sheet1"/>
      <sheetName val="ESPAÑOL"/>
      <sheetName val="FRANÇAIS"/>
      <sheetName val="glossary"/>
      <sheetName val="for internal use"/>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 Type="http://schemas.openxmlformats.org/officeDocument/2006/relationships/drawing" Target="../drawings/drawing2.xml"/><Relationship Id="rId21" Type="http://schemas.openxmlformats.org/officeDocument/2006/relationships/ctrlProp" Target="../ctrlProps/ctrlProp17.xml"/><Relationship Id="rId34" Type="http://schemas.openxmlformats.org/officeDocument/2006/relationships/ctrlProp" Target="../ctrlProps/ctrlProp30.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1" Type="http://schemas.openxmlformats.org/officeDocument/2006/relationships/hyperlink" Target="mailto:econ@aci.aero" TargetMode="External"/><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omments" Target="../comments1.xml"/><Relationship Id="rId8"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39.xml"/><Relationship Id="rId18" Type="http://schemas.openxmlformats.org/officeDocument/2006/relationships/ctrlProp" Target="../ctrlProps/ctrlProp44.xml"/><Relationship Id="rId26" Type="http://schemas.openxmlformats.org/officeDocument/2006/relationships/ctrlProp" Target="../ctrlProps/ctrlProp52.xml"/><Relationship Id="rId3" Type="http://schemas.openxmlformats.org/officeDocument/2006/relationships/drawing" Target="../drawings/drawing3.xml"/><Relationship Id="rId21" Type="http://schemas.openxmlformats.org/officeDocument/2006/relationships/ctrlProp" Target="../ctrlProps/ctrlProp47.xml"/><Relationship Id="rId34" Type="http://schemas.openxmlformats.org/officeDocument/2006/relationships/ctrlProp" Target="../ctrlProps/ctrlProp60.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5" Type="http://schemas.openxmlformats.org/officeDocument/2006/relationships/ctrlProp" Target="../ctrlProps/ctrlProp51.xml"/><Relationship Id="rId33" Type="http://schemas.openxmlformats.org/officeDocument/2006/relationships/ctrlProp" Target="../ctrlProps/ctrlProp59.xml"/><Relationship Id="rId2" Type="http://schemas.openxmlformats.org/officeDocument/2006/relationships/printerSettings" Target="../printerSettings/printerSettings2.bin"/><Relationship Id="rId16" Type="http://schemas.openxmlformats.org/officeDocument/2006/relationships/ctrlProp" Target="../ctrlProps/ctrlProp42.xml"/><Relationship Id="rId20" Type="http://schemas.openxmlformats.org/officeDocument/2006/relationships/ctrlProp" Target="../ctrlProps/ctrlProp46.xml"/><Relationship Id="rId29" Type="http://schemas.openxmlformats.org/officeDocument/2006/relationships/ctrlProp" Target="../ctrlProps/ctrlProp55.xml"/><Relationship Id="rId1" Type="http://schemas.openxmlformats.org/officeDocument/2006/relationships/hyperlink" Target="mailto:econ@aci.aero" TargetMode="External"/><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32" Type="http://schemas.openxmlformats.org/officeDocument/2006/relationships/ctrlProp" Target="../ctrlProps/ctrlProp58.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28" Type="http://schemas.openxmlformats.org/officeDocument/2006/relationships/ctrlProp" Target="../ctrlProps/ctrlProp54.xml"/><Relationship Id="rId10" Type="http://schemas.openxmlformats.org/officeDocument/2006/relationships/ctrlProp" Target="../ctrlProps/ctrlProp36.xml"/><Relationship Id="rId19" Type="http://schemas.openxmlformats.org/officeDocument/2006/relationships/ctrlProp" Target="../ctrlProps/ctrlProp45.xml"/><Relationship Id="rId31" Type="http://schemas.openxmlformats.org/officeDocument/2006/relationships/ctrlProp" Target="../ctrlProps/ctrlProp57.xml"/><Relationship Id="rId4" Type="http://schemas.openxmlformats.org/officeDocument/2006/relationships/vmlDrawing" Target="../drawings/vmlDrawing2.v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 Id="rId27" Type="http://schemas.openxmlformats.org/officeDocument/2006/relationships/ctrlProp" Target="../ctrlProps/ctrlProp53.xml"/><Relationship Id="rId30" Type="http://schemas.openxmlformats.org/officeDocument/2006/relationships/ctrlProp" Target="../ctrlProps/ctrlProp56.xml"/><Relationship Id="rId35" Type="http://schemas.openxmlformats.org/officeDocument/2006/relationships/comments" Target="../comments2.xml"/><Relationship Id="rId8" Type="http://schemas.openxmlformats.org/officeDocument/2006/relationships/ctrlProp" Target="../ctrlProps/ctrlProp34.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69.xml"/><Relationship Id="rId18" Type="http://schemas.openxmlformats.org/officeDocument/2006/relationships/ctrlProp" Target="../ctrlProps/ctrlProp74.xml"/><Relationship Id="rId26" Type="http://schemas.openxmlformats.org/officeDocument/2006/relationships/ctrlProp" Target="../ctrlProps/ctrlProp82.xml"/><Relationship Id="rId3" Type="http://schemas.openxmlformats.org/officeDocument/2006/relationships/drawing" Target="../drawings/drawing4.xml"/><Relationship Id="rId21" Type="http://schemas.openxmlformats.org/officeDocument/2006/relationships/ctrlProp" Target="../ctrlProps/ctrlProp77.xml"/><Relationship Id="rId34" Type="http://schemas.openxmlformats.org/officeDocument/2006/relationships/ctrlProp" Target="../ctrlProps/ctrlProp90.xml"/><Relationship Id="rId7" Type="http://schemas.openxmlformats.org/officeDocument/2006/relationships/ctrlProp" Target="../ctrlProps/ctrlProp63.xml"/><Relationship Id="rId12" Type="http://schemas.openxmlformats.org/officeDocument/2006/relationships/ctrlProp" Target="../ctrlProps/ctrlProp68.xml"/><Relationship Id="rId17" Type="http://schemas.openxmlformats.org/officeDocument/2006/relationships/ctrlProp" Target="../ctrlProps/ctrlProp73.xml"/><Relationship Id="rId25" Type="http://schemas.openxmlformats.org/officeDocument/2006/relationships/ctrlProp" Target="../ctrlProps/ctrlProp81.xml"/><Relationship Id="rId33" Type="http://schemas.openxmlformats.org/officeDocument/2006/relationships/ctrlProp" Target="../ctrlProps/ctrlProp89.xml"/><Relationship Id="rId2" Type="http://schemas.openxmlformats.org/officeDocument/2006/relationships/printerSettings" Target="../printerSettings/printerSettings3.bin"/><Relationship Id="rId16" Type="http://schemas.openxmlformats.org/officeDocument/2006/relationships/ctrlProp" Target="../ctrlProps/ctrlProp72.xml"/><Relationship Id="rId20" Type="http://schemas.openxmlformats.org/officeDocument/2006/relationships/ctrlProp" Target="../ctrlProps/ctrlProp76.xml"/><Relationship Id="rId29" Type="http://schemas.openxmlformats.org/officeDocument/2006/relationships/ctrlProp" Target="../ctrlProps/ctrlProp85.xml"/><Relationship Id="rId1" Type="http://schemas.openxmlformats.org/officeDocument/2006/relationships/hyperlink" Target="mailto:econ@aci.aero" TargetMode="External"/><Relationship Id="rId6" Type="http://schemas.openxmlformats.org/officeDocument/2006/relationships/ctrlProp" Target="../ctrlProps/ctrlProp62.xml"/><Relationship Id="rId11" Type="http://schemas.openxmlformats.org/officeDocument/2006/relationships/ctrlProp" Target="../ctrlProps/ctrlProp67.xml"/><Relationship Id="rId24" Type="http://schemas.openxmlformats.org/officeDocument/2006/relationships/ctrlProp" Target="../ctrlProps/ctrlProp80.xml"/><Relationship Id="rId32" Type="http://schemas.openxmlformats.org/officeDocument/2006/relationships/ctrlProp" Target="../ctrlProps/ctrlProp88.xml"/><Relationship Id="rId5" Type="http://schemas.openxmlformats.org/officeDocument/2006/relationships/ctrlProp" Target="../ctrlProps/ctrlProp61.xml"/><Relationship Id="rId15" Type="http://schemas.openxmlformats.org/officeDocument/2006/relationships/ctrlProp" Target="../ctrlProps/ctrlProp71.xml"/><Relationship Id="rId23" Type="http://schemas.openxmlformats.org/officeDocument/2006/relationships/ctrlProp" Target="../ctrlProps/ctrlProp79.xml"/><Relationship Id="rId28" Type="http://schemas.openxmlformats.org/officeDocument/2006/relationships/ctrlProp" Target="../ctrlProps/ctrlProp84.xml"/><Relationship Id="rId10" Type="http://schemas.openxmlformats.org/officeDocument/2006/relationships/ctrlProp" Target="../ctrlProps/ctrlProp66.xml"/><Relationship Id="rId19" Type="http://schemas.openxmlformats.org/officeDocument/2006/relationships/ctrlProp" Target="../ctrlProps/ctrlProp75.xml"/><Relationship Id="rId31" Type="http://schemas.openxmlformats.org/officeDocument/2006/relationships/ctrlProp" Target="../ctrlProps/ctrlProp87.xml"/><Relationship Id="rId4" Type="http://schemas.openxmlformats.org/officeDocument/2006/relationships/vmlDrawing" Target="../drawings/vmlDrawing3.vml"/><Relationship Id="rId9" Type="http://schemas.openxmlformats.org/officeDocument/2006/relationships/ctrlProp" Target="../ctrlProps/ctrlProp65.xml"/><Relationship Id="rId14" Type="http://schemas.openxmlformats.org/officeDocument/2006/relationships/ctrlProp" Target="../ctrlProps/ctrlProp70.xml"/><Relationship Id="rId22" Type="http://schemas.openxmlformats.org/officeDocument/2006/relationships/ctrlProp" Target="../ctrlProps/ctrlProp78.xml"/><Relationship Id="rId27" Type="http://schemas.openxmlformats.org/officeDocument/2006/relationships/ctrlProp" Target="../ctrlProps/ctrlProp83.xml"/><Relationship Id="rId30" Type="http://schemas.openxmlformats.org/officeDocument/2006/relationships/ctrlProp" Target="../ctrlProps/ctrlProp86.xml"/><Relationship Id="rId35" Type="http://schemas.openxmlformats.org/officeDocument/2006/relationships/comments" Target="../comments3.xml"/><Relationship Id="rId8" Type="http://schemas.openxmlformats.org/officeDocument/2006/relationships/ctrlProp" Target="../ctrlProps/ctrlProp6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R9" sqref="R9"/>
    </sheetView>
  </sheetViews>
  <sheetFormatPr defaultRowHeight="15" x14ac:dyDescent="0.25"/>
  <cols>
    <col min="1" max="16384" width="9.140625" style="16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3" tint="0.79998168889431442"/>
    <pageSetUpPr fitToPage="1"/>
  </sheetPr>
  <dimension ref="A1:S2042"/>
  <sheetViews>
    <sheetView tabSelected="1" workbookViewId="0">
      <selection activeCell="C27" sqref="C27:J27"/>
    </sheetView>
  </sheetViews>
  <sheetFormatPr defaultRowHeight="14.25" x14ac:dyDescent="0.2"/>
  <cols>
    <col min="1" max="1" width="4" style="185" customWidth="1"/>
    <col min="2" max="5" width="9.42578125" style="185" customWidth="1"/>
    <col min="6" max="6" width="9.7109375" style="185" customWidth="1"/>
    <col min="7" max="19" width="9.42578125" style="185" customWidth="1"/>
    <col min="20" max="16384" width="9.140625" style="185"/>
  </cols>
  <sheetData>
    <row r="1" spans="2:19" ht="15" thickBot="1" x14ac:dyDescent="0.25"/>
    <row r="2" spans="2:19" ht="15" thickTop="1" x14ac:dyDescent="0.2">
      <c r="B2" s="186"/>
      <c r="C2" s="187"/>
      <c r="D2" s="187"/>
      <c r="E2" s="450" t="s">
        <v>819</v>
      </c>
      <c r="F2" s="450"/>
      <c r="G2" s="450"/>
      <c r="H2" s="450"/>
      <c r="I2" s="450"/>
      <c r="J2" s="450"/>
      <c r="K2" s="450"/>
      <c r="L2" s="450"/>
      <c r="M2" s="450"/>
      <c r="N2" s="450"/>
      <c r="O2" s="450"/>
      <c r="P2" s="450"/>
      <c r="Q2" s="450"/>
      <c r="R2" s="450"/>
      <c r="S2" s="451"/>
    </row>
    <row r="3" spans="2:19" x14ac:dyDescent="0.2">
      <c r="B3" s="188"/>
      <c r="C3" s="189"/>
      <c r="D3" s="189"/>
      <c r="E3" s="452"/>
      <c r="F3" s="452"/>
      <c r="G3" s="452"/>
      <c r="H3" s="452"/>
      <c r="I3" s="452"/>
      <c r="J3" s="452"/>
      <c r="K3" s="452"/>
      <c r="L3" s="452"/>
      <c r="M3" s="452"/>
      <c r="N3" s="452"/>
      <c r="O3" s="452"/>
      <c r="P3" s="452"/>
      <c r="Q3" s="452"/>
      <c r="R3" s="452"/>
      <c r="S3" s="453"/>
    </row>
    <row r="4" spans="2:19" x14ac:dyDescent="0.2">
      <c r="B4" s="188"/>
      <c r="C4" s="189"/>
      <c r="D4" s="189"/>
      <c r="E4" s="452"/>
      <c r="F4" s="452"/>
      <c r="G4" s="452"/>
      <c r="H4" s="452"/>
      <c r="I4" s="452"/>
      <c r="J4" s="452"/>
      <c r="K4" s="452"/>
      <c r="L4" s="452"/>
      <c r="M4" s="452"/>
      <c r="N4" s="452"/>
      <c r="O4" s="452"/>
      <c r="P4" s="452"/>
      <c r="Q4" s="452"/>
      <c r="R4" s="452"/>
      <c r="S4" s="453"/>
    </row>
    <row r="5" spans="2:19" x14ac:dyDescent="0.2">
      <c r="B5" s="188"/>
      <c r="C5" s="189"/>
      <c r="D5" s="189"/>
      <c r="E5" s="452"/>
      <c r="F5" s="452"/>
      <c r="G5" s="452"/>
      <c r="H5" s="452"/>
      <c r="I5" s="452"/>
      <c r="J5" s="452"/>
      <c r="K5" s="452"/>
      <c r="L5" s="452"/>
      <c r="M5" s="452"/>
      <c r="N5" s="452"/>
      <c r="O5" s="452"/>
      <c r="P5" s="452"/>
      <c r="Q5" s="452"/>
      <c r="R5" s="452"/>
      <c r="S5" s="453"/>
    </row>
    <row r="6" spans="2:19" ht="21" x14ac:dyDescent="0.35">
      <c r="B6" s="188"/>
      <c r="C6" s="189"/>
      <c r="D6" s="189"/>
      <c r="E6" s="189"/>
      <c r="F6" s="189" t="s">
        <v>849</v>
      </c>
      <c r="G6" s="189"/>
      <c r="H6" s="189"/>
      <c r="I6" s="189"/>
      <c r="J6" s="189"/>
      <c r="K6" s="189"/>
      <c r="L6" s="189"/>
      <c r="M6" s="189"/>
      <c r="N6" s="190" t="s">
        <v>1085</v>
      </c>
      <c r="O6" s="189"/>
      <c r="P6" s="189"/>
      <c r="Q6" s="189"/>
      <c r="R6" s="189"/>
      <c r="S6" s="191"/>
    </row>
    <row r="7" spans="2:19" ht="15" x14ac:dyDescent="0.25">
      <c r="B7" s="188"/>
      <c r="C7" s="189"/>
      <c r="D7" s="189"/>
      <c r="E7" s="189"/>
      <c r="F7" s="192" t="s">
        <v>838</v>
      </c>
      <c r="G7" s="192"/>
      <c r="H7" s="192"/>
      <c r="I7" s="192" t="s">
        <v>839</v>
      </c>
      <c r="J7" s="189"/>
      <c r="K7" s="189"/>
      <c r="L7" s="189"/>
      <c r="M7" s="189"/>
      <c r="N7" s="189"/>
      <c r="O7" s="193"/>
      <c r="P7" s="189"/>
      <c r="Q7" s="189"/>
      <c r="R7" s="189"/>
      <c r="S7" s="191"/>
    </row>
    <row r="8" spans="2:19" ht="15" x14ac:dyDescent="0.25">
      <c r="B8" s="188"/>
      <c r="C8" s="189"/>
      <c r="D8" s="189"/>
      <c r="E8" s="189"/>
      <c r="F8" s="189"/>
      <c r="G8" s="189"/>
      <c r="H8" s="189"/>
      <c r="I8" s="189"/>
      <c r="J8" s="189"/>
      <c r="K8" s="189"/>
      <c r="L8" s="189"/>
      <c r="M8" s="189"/>
      <c r="N8" s="189"/>
      <c r="O8" s="193"/>
      <c r="P8" s="189"/>
      <c r="Q8" s="189"/>
      <c r="R8" s="189"/>
      <c r="S8" s="191"/>
    </row>
    <row r="9" spans="2:19" x14ac:dyDescent="0.2">
      <c r="B9" s="188"/>
      <c r="C9" s="189"/>
      <c r="D9" s="189"/>
      <c r="E9" s="189"/>
      <c r="F9" s="194" t="s">
        <v>830</v>
      </c>
      <c r="G9" s="195"/>
      <c r="H9" s="196"/>
      <c r="I9" s="196"/>
      <c r="J9" s="196"/>
      <c r="K9" s="196"/>
      <c r="L9" s="196"/>
      <c r="M9" s="196"/>
      <c r="N9" s="196"/>
      <c r="O9" s="196"/>
      <c r="P9" s="196"/>
      <c r="Q9" s="189"/>
      <c r="R9" s="189"/>
      <c r="S9" s="191"/>
    </row>
    <row r="10" spans="2:19" x14ac:dyDescent="0.2">
      <c r="B10" s="188"/>
      <c r="C10" s="189"/>
      <c r="D10" s="189"/>
      <c r="E10" s="189"/>
      <c r="F10" s="197" t="s">
        <v>831</v>
      </c>
      <c r="G10" s="195"/>
      <c r="H10" s="196"/>
      <c r="I10" s="196"/>
      <c r="J10" s="196"/>
      <c r="K10" s="196"/>
      <c r="L10" s="196"/>
      <c r="M10" s="196"/>
      <c r="N10" s="196"/>
      <c r="O10" s="196"/>
      <c r="P10" s="196"/>
      <c r="Q10" s="189"/>
      <c r="R10" s="189"/>
      <c r="S10" s="191"/>
    </row>
    <row r="11" spans="2:19" ht="15" x14ac:dyDescent="0.25">
      <c r="B11" s="198"/>
      <c r="C11" s="189"/>
      <c r="D11" s="189"/>
      <c r="E11" s="189"/>
      <c r="F11" s="199" t="s">
        <v>837</v>
      </c>
      <c r="G11" s="200" t="s">
        <v>832</v>
      </c>
      <c r="H11" s="195"/>
      <c r="I11" s="196"/>
      <c r="J11" s="196"/>
      <c r="K11" s="196"/>
      <c r="L11" s="196"/>
      <c r="M11" s="196"/>
      <c r="N11" s="196"/>
      <c r="O11" s="196"/>
      <c r="P11" s="196"/>
      <c r="Q11" s="189"/>
      <c r="R11" s="189"/>
      <c r="S11" s="191"/>
    </row>
    <row r="12" spans="2:19" ht="15" x14ac:dyDescent="0.25">
      <c r="B12" s="198"/>
      <c r="C12" s="189"/>
      <c r="D12" s="189"/>
      <c r="E12" s="189"/>
      <c r="F12" s="199" t="s">
        <v>837</v>
      </c>
      <c r="G12" s="200" t="s">
        <v>833</v>
      </c>
      <c r="H12" s="195"/>
      <c r="I12" s="196"/>
      <c r="J12" s="196"/>
      <c r="K12" s="196"/>
      <c r="L12" s="196"/>
      <c r="M12" s="196"/>
      <c r="N12" s="196"/>
      <c r="O12" s="196"/>
      <c r="P12" s="196"/>
      <c r="Q12" s="189"/>
      <c r="R12" s="189"/>
      <c r="S12" s="191"/>
    </row>
    <row r="13" spans="2:19" ht="15" x14ac:dyDescent="0.25">
      <c r="B13" s="198"/>
      <c r="C13" s="189"/>
      <c r="D13" s="189"/>
      <c r="E13" s="189"/>
      <c r="F13" s="199" t="s">
        <v>837</v>
      </c>
      <c r="G13" s="200" t="s">
        <v>834</v>
      </c>
      <c r="H13" s="195"/>
      <c r="I13" s="196"/>
      <c r="J13" s="196"/>
      <c r="K13" s="196"/>
      <c r="L13" s="196"/>
      <c r="M13" s="196"/>
      <c r="N13" s="196"/>
      <c r="O13" s="196"/>
      <c r="P13" s="196"/>
      <c r="Q13" s="189"/>
      <c r="R13" s="189"/>
      <c r="S13" s="191"/>
    </row>
    <row r="14" spans="2:19" ht="15" x14ac:dyDescent="0.25">
      <c r="B14" s="198"/>
      <c r="C14" s="189"/>
      <c r="D14" s="189"/>
      <c r="E14" s="189"/>
      <c r="F14" s="199" t="s">
        <v>837</v>
      </c>
      <c r="G14" s="200" t="s">
        <v>835</v>
      </c>
      <c r="H14" s="195"/>
      <c r="I14" s="196"/>
      <c r="J14" s="196"/>
      <c r="K14" s="196"/>
      <c r="L14" s="196"/>
      <c r="M14" s="196"/>
      <c r="N14" s="196"/>
      <c r="O14" s="196"/>
      <c r="P14" s="196"/>
      <c r="Q14" s="189"/>
      <c r="R14" s="189"/>
      <c r="S14" s="191"/>
    </row>
    <row r="15" spans="2:19" x14ac:dyDescent="0.2">
      <c r="B15" s="198"/>
      <c r="C15" s="189"/>
      <c r="D15" s="189"/>
      <c r="E15" s="189"/>
      <c r="F15" s="189"/>
      <c r="G15" s="195"/>
      <c r="H15" s="196"/>
      <c r="I15" s="196"/>
      <c r="J15" s="196"/>
      <c r="K15" s="196"/>
      <c r="L15" s="196"/>
      <c r="M15" s="196"/>
      <c r="N15" s="196"/>
      <c r="O15" s="196"/>
      <c r="P15" s="196"/>
      <c r="Q15" s="189"/>
      <c r="R15" s="189"/>
      <c r="S15" s="191"/>
    </row>
    <row r="16" spans="2:19" x14ac:dyDescent="0.2">
      <c r="B16" s="198"/>
      <c r="C16" s="189"/>
      <c r="D16" s="189"/>
      <c r="E16" s="189"/>
      <c r="F16" s="197" t="s">
        <v>1080</v>
      </c>
      <c r="G16" s="195"/>
      <c r="H16" s="196"/>
      <c r="I16" s="196"/>
      <c r="J16" s="332"/>
      <c r="K16" s="196"/>
      <c r="L16" s="196"/>
      <c r="M16" s="196"/>
      <c r="N16" s="196"/>
      <c r="O16" s="196"/>
      <c r="P16" s="196"/>
      <c r="Q16" s="189"/>
      <c r="R16" s="189"/>
      <c r="S16" s="191"/>
    </row>
    <row r="17" spans="2:19" x14ac:dyDescent="0.2">
      <c r="B17" s="198"/>
      <c r="C17" s="189"/>
      <c r="D17" s="189"/>
      <c r="E17" s="189"/>
      <c r="F17" s="197" t="s">
        <v>1081</v>
      </c>
      <c r="G17" s="195"/>
      <c r="H17" s="196"/>
      <c r="I17" s="196"/>
      <c r="J17" s="196"/>
      <c r="K17" s="196"/>
      <c r="L17" s="196"/>
      <c r="M17" s="196"/>
      <c r="N17" s="196"/>
      <c r="O17" s="196"/>
      <c r="P17" s="196"/>
      <c r="Q17" s="189"/>
      <c r="R17" s="189"/>
      <c r="S17" s="191"/>
    </row>
    <row r="18" spans="2:19" x14ac:dyDescent="0.2">
      <c r="B18" s="198"/>
      <c r="C18" s="189"/>
      <c r="D18" s="189"/>
      <c r="E18" s="189"/>
      <c r="F18" s="197" t="s">
        <v>1082</v>
      </c>
      <c r="G18" s="195"/>
      <c r="H18" s="196"/>
      <c r="I18" s="196"/>
      <c r="J18" s="196"/>
      <c r="K18" s="196"/>
      <c r="L18" s="196"/>
      <c r="M18" s="196"/>
      <c r="N18" s="196"/>
      <c r="O18" s="196"/>
      <c r="P18" s="196"/>
      <c r="Q18" s="189"/>
      <c r="R18" s="189"/>
      <c r="S18" s="191"/>
    </row>
    <row r="19" spans="2:19" x14ac:dyDescent="0.2">
      <c r="B19" s="198"/>
      <c r="C19" s="189"/>
      <c r="D19" s="189"/>
      <c r="E19" s="189"/>
      <c r="F19" s="197"/>
      <c r="G19" s="195"/>
      <c r="H19" s="196"/>
      <c r="I19" s="196"/>
      <c r="J19" s="196"/>
      <c r="K19" s="196"/>
      <c r="L19" s="196"/>
      <c r="M19" s="196"/>
      <c r="N19" s="196"/>
      <c r="O19" s="196"/>
      <c r="P19" s="196"/>
      <c r="Q19" s="189"/>
      <c r="R19" s="189"/>
      <c r="S19" s="191"/>
    </row>
    <row r="20" spans="2:19" x14ac:dyDescent="0.2">
      <c r="B20" s="198"/>
      <c r="C20" s="189"/>
      <c r="D20" s="189"/>
      <c r="E20" s="189"/>
      <c r="F20" s="201" t="s">
        <v>836</v>
      </c>
      <c r="G20" s="202"/>
      <c r="H20" s="203"/>
      <c r="I20" s="203"/>
      <c r="J20" s="203"/>
      <c r="K20" s="203"/>
      <c r="L20" s="203"/>
      <c r="M20" s="203"/>
      <c r="N20" s="196"/>
      <c r="O20" s="196"/>
      <c r="P20" s="196"/>
      <c r="Q20" s="189"/>
      <c r="R20" s="189"/>
      <c r="S20" s="191"/>
    </row>
    <row r="21" spans="2:19" ht="15" thickBot="1" x14ac:dyDescent="0.25">
      <c r="B21" s="204"/>
      <c r="C21" s="205"/>
      <c r="D21" s="205"/>
      <c r="E21" s="205"/>
      <c r="F21" s="205"/>
      <c r="G21" s="205"/>
      <c r="H21" s="205"/>
      <c r="I21" s="205"/>
      <c r="J21" s="205"/>
      <c r="K21" s="205"/>
      <c r="L21" s="205"/>
      <c r="M21" s="205"/>
      <c r="N21" s="206"/>
      <c r="O21" s="206"/>
      <c r="P21" s="206"/>
      <c r="Q21" s="206"/>
      <c r="R21" s="206"/>
      <c r="S21" s="207"/>
    </row>
    <row r="22" spans="2:19" ht="15.75" thickTop="1" thickBot="1" x14ac:dyDescent="0.25">
      <c r="B22" s="208"/>
      <c r="C22" s="208"/>
      <c r="D22" s="208"/>
      <c r="E22" s="208"/>
      <c r="F22" s="208"/>
      <c r="G22" s="208"/>
      <c r="H22" s="208"/>
      <c r="I22" s="208"/>
      <c r="J22" s="208"/>
      <c r="K22" s="208"/>
      <c r="L22" s="208"/>
      <c r="M22" s="208"/>
      <c r="N22" s="208"/>
      <c r="O22" s="208"/>
      <c r="P22" s="208"/>
      <c r="Q22" s="208"/>
      <c r="R22" s="208"/>
    </row>
    <row r="23" spans="2:19" ht="15" thickTop="1" x14ac:dyDescent="0.2">
      <c r="B23" s="186"/>
      <c r="C23" s="187"/>
      <c r="D23" s="187"/>
      <c r="E23" s="187"/>
      <c r="F23" s="187"/>
      <c r="G23" s="187"/>
      <c r="H23" s="187"/>
      <c r="I23" s="187"/>
      <c r="J23" s="187"/>
      <c r="K23" s="187"/>
      <c r="L23" s="187"/>
      <c r="M23" s="187"/>
      <c r="N23" s="187"/>
      <c r="O23" s="187"/>
      <c r="P23" s="187"/>
      <c r="Q23" s="187"/>
      <c r="R23" s="187"/>
      <c r="S23" s="209"/>
    </row>
    <row r="24" spans="2:19" ht="15.75" x14ac:dyDescent="0.25">
      <c r="B24" s="188"/>
      <c r="C24" s="210" t="s">
        <v>72</v>
      </c>
      <c r="D24" s="211"/>
      <c r="E24" s="189"/>
      <c r="F24" s="189"/>
      <c r="G24" s="189"/>
      <c r="H24" s="189"/>
      <c r="I24" s="189"/>
      <c r="J24" s="189"/>
      <c r="K24" s="189"/>
      <c r="L24" s="189"/>
      <c r="M24" s="189"/>
      <c r="N24" s="189"/>
      <c r="O24" s="189"/>
      <c r="P24" s="189"/>
      <c r="Q24" s="189"/>
      <c r="R24" s="189"/>
      <c r="S24" s="191"/>
    </row>
    <row r="25" spans="2:19" x14ac:dyDescent="0.2">
      <c r="B25" s="188"/>
      <c r="C25" s="212"/>
      <c r="D25" s="213"/>
      <c r="E25" s="212"/>
      <c r="F25" s="212"/>
      <c r="G25" s="212"/>
      <c r="H25" s="212"/>
      <c r="I25" s="212"/>
      <c r="J25" s="214"/>
      <c r="K25" s="215"/>
      <c r="L25" s="214" t="s">
        <v>823</v>
      </c>
      <c r="M25" s="215"/>
      <c r="N25" s="212"/>
      <c r="O25" s="212"/>
      <c r="P25" s="212"/>
      <c r="Q25" s="189"/>
      <c r="R25" s="189"/>
      <c r="S25" s="191"/>
    </row>
    <row r="26" spans="2:19" ht="15" thickBot="1" x14ac:dyDescent="0.25">
      <c r="B26" s="188"/>
      <c r="C26" s="214" t="s">
        <v>66</v>
      </c>
      <c r="D26" s="212"/>
      <c r="E26" s="212"/>
      <c r="F26" s="212"/>
      <c r="G26" s="212"/>
      <c r="H26" s="212"/>
      <c r="I26" s="212"/>
      <c r="J26" s="212"/>
      <c r="K26" s="212"/>
      <c r="L26" s="216" t="s">
        <v>67</v>
      </c>
      <c r="M26" s="215"/>
      <c r="N26" s="212"/>
      <c r="O26" s="212"/>
      <c r="P26" s="212"/>
      <c r="Q26" s="189"/>
      <c r="R26" s="189"/>
      <c r="S26" s="191"/>
    </row>
    <row r="27" spans="2:19" ht="15" thickBot="1" x14ac:dyDescent="0.25">
      <c r="B27" s="188"/>
      <c r="C27" s="385"/>
      <c r="D27" s="454"/>
      <c r="E27" s="454"/>
      <c r="F27" s="454"/>
      <c r="G27" s="455"/>
      <c r="H27" s="455"/>
      <c r="I27" s="455"/>
      <c r="J27" s="449"/>
      <c r="K27" s="212"/>
      <c r="L27" s="456"/>
      <c r="M27" s="457"/>
      <c r="N27" s="457"/>
      <c r="O27" s="458"/>
      <c r="P27" s="212"/>
      <c r="Q27" s="189"/>
      <c r="R27" s="189"/>
      <c r="S27" s="191"/>
    </row>
    <row r="28" spans="2:19" ht="15" x14ac:dyDescent="0.25">
      <c r="B28" s="188"/>
      <c r="C28" s="362" t="s">
        <v>68</v>
      </c>
      <c r="D28" s="363"/>
      <c r="E28" s="363"/>
      <c r="F28" s="363"/>
      <c r="G28" s="363"/>
      <c r="H28" s="363"/>
      <c r="I28" s="363"/>
      <c r="J28" s="363"/>
      <c r="K28" s="212"/>
      <c r="L28" s="364" t="s">
        <v>1083</v>
      </c>
      <c r="M28" s="365"/>
      <c r="N28" s="365"/>
      <c r="O28" s="365"/>
      <c r="P28" s="212"/>
      <c r="Q28" s="189"/>
      <c r="R28" s="189"/>
      <c r="S28" s="191"/>
    </row>
    <row r="29" spans="2:19" x14ac:dyDescent="0.2">
      <c r="B29" s="188"/>
      <c r="C29" s="385"/>
      <c r="D29" s="454"/>
      <c r="E29" s="454"/>
      <c r="F29" s="454"/>
      <c r="G29" s="455"/>
      <c r="H29" s="455"/>
      <c r="I29" s="455"/>
      <c r="J29" s="449"/>
      <c r="K29" s="212"/>
      <c r="L29" s="459"/>
      <c r="M29" s="460"/>
      <c r="N29" s="460"/>
      <c r="O29" s="461"/>
      <c r="P29" s="212"/>
      <c r="Q29" s="189"/>
      <c r="R29" s="189"/>
      <c r="S29" s="191"/>
    </row>
    <row r="30" spans="2:19" ht="15" x14ac:dyDescent="0.25">
      <c r="B30" s="188"/>
      <c r="C30" s="362" t="s">
        <v>69</v>
      </c>
      <c r="D30" s="363"/>
      <c r="E30" s="363"/>
      <c r="F30" s="363"/>
      <c r="G30" s="363"/>
      <c r="H30" s="363"/>
      <c r="I30" s="363"/>
      <c r="J30" s="363"/>
      <c r="K30" s="212"/>
      <c r="L30" s="366" t="s">
        <v>71</v>
      </c>
      <c r="M30" s="363"/>
      <c r="N30" s="363"/>
      <c r="O30" s="363"/>
      <c r="P30" s="212"/>
      <c r="Q30" s="189"/>
      <c r="R30" s="189"/>
      <c r="S30" s="191"/>
    </row>
    <row r="31" spans="2:19" ht="15" x14ac:dyDescent="0.25">
      <c r="B31" s="188"/>
      <c r="C31" s="385"/>
      <c r="D31" s="454"/>
      <c r="E31" s="454"/>
      <c r="F31" s="454"/>
      <c r="G31" s="455"/>
      <c r="H31" s="455"/>
      <c r="I31" s="455"/>
      <c r="J31" s="449"/>
      <c r="K31" s="212"/>
      <c r="L31" s="462"/>
      <c r="M31" s="463"/>
      <c r="N31" s="463"/>
      <c r="O31" s="464"/>
      <c r="P31" s="212"/>
      <c r="Q31" s="189"/>
      <c r="R31" s="189"/>
      <c r="S31" s="191"/>
    </row>
    <row r="32" spans="2:19" ht="15" thickBot="1" x14ac:dyDescent="0.25">
      <c r="B32" s="217"/>
      <c r="C32" s="206"/>
      <c r="D32" s="206"/>
      <c r="E32" s="206"/>
      <c r="F32" s="206"/>
      <c r="G32" s="206"/>
      <c r="H32" s="206"/>
      <c r="I32" s="206"/>
      <c r="J32" s="206"/>
      <c r="K32" s="206"/>
      <c r="L32" s="206"/>
      <c r="M32" s="206"/>
      <c r="N32" s="206"/>
      <c r="O32" s="206"/>
      <c r="P32" s="206"/>
      <c r="Q32" s="206"/>
      <c r="R32" s="206"/>
      <c r="S32" s="207"/>
    </row>
    <row r="33" spans="2:19" ht="15.75" thickTop="1" thickBot="1" x14ac:dyDescent="0.25">
      <c r="B33" s="208"/>
      <c r="C33" s="208"/>
      <c r="D33" s="208"/>
      <c r="E33" s="208"/>
      <c r="F33" s="208"/>
      <c r="G33" s="208"/>
      <c r="H33" s="208"/>
      <c r="I33" s="208"/>
      <c r="J33" s="208"/>
      <c r="K33" s="208"/>
      <c r="L33" s="208"/>
      <c r="M33" s="208"/>
      <c r="N33" s="208"/>
      <c r="O33" s="208"/>
      <c r="P33" s="208"/>
      <c r="Q33" s="208"/>
      <c r="R33" s="208"/>
    </row>
    <row r="34" spans="2:19" ht="15" thickTop="1" x14ac:dyDescent="0.2">
      <c r="B34" s="186"/>
      <c r="C34" s="187"/>
      <c r="D34" s="187"/>
      <c r="E34" s="187"/>
      <c r="F34" s="187"/>
      <c r="G34" s="187"/>
      <c r="H34" s="187"/>
      <c r="I34" s="187"/>
      <c r="J34" s="187"/>
      <c r="K34" s="187"/>
      <c r="L34" s="187"/>
      <c r="M34" s="187"/>
      <c r="N34" s="187"/>
      <c r="O34" s="187"/>
      <c r="P34" s="187"/>
      <c r="Q34" s="187"/>
      <c r="R34" s="187"/>
      <c r="S34" s="209"/>
    </row>
    <row r="35" spans="2:19" ht="15.75" x14ac:dyDescent="0.25">
      <c r="B35" s="188"/>
      <c r="C35" s="210" t="s">
        <v>73</v>
      </c>
      <c r="D35" s="211"/>
      <c r="E35" s="189"/>
      <c r="F35" s="189"/>
      <c r="G35" s="189"/>
      <c r="H35" s="189"/>
      <c r="I35" s="189"/>
      <c r="J35" s="189"/>
      <c r="K35" s="189"/>
      <c r="L35" s="189"/>
      <c r="M35" s="189"/>
      <c r="N35" s="189"/>
      <c r="O35" s="189"/>
      <c r="P35" s="189"/>
      <c r="Q35" s="189"/>
      <c r="R35" s="189"/>
      <c r="S35" s="191"/>
    </row>
    <row r="36" spans="2:19" ht="15.75" x14ac:dyDescent="0.25">
      <c r="B36" s="188"/>
      <c r="C36" s="210"/>
      <c r="D36" s="211"/>
      <c r="E36" s="189"/>
      <c r="F36" s="189"/>
      <c r="G36" s="189"/>
      <c r="H36" s="189"/>
      <c r="I36" s="189"/>
      <c r="J36" s="189"/>
      <c r="K36" s="189"/>
      <c r="L36" s="189"/>
      <c r="M36" s="189"/>
      <c r="N36" s="189"/>
      <c r="O36" s="189"/>
      <c r="P36" s="189"/>
      <c r="Q36" s="189"/>
      <c r="R36" s="189"/>
      <c r="S36" s="191"/>
    </row>
    <row r="37" spans="2:19" x14ac:dyDescent="0.2">
      <c r="B37" s="218"/>
      <c r="C37" s="219" t="str">
        <f>"Total Traffic for Calendar year 2012"&amp;" "&amp;"("&amp;L27&amp;")"</f>
        <v>Total Traffic for Calendar year 2012 ()</v>
      </c>
      <c r="D37" s="220"/>
      <c r="E37" s="221"/>
      <c r="F37" s="221"/>
      <c r="G37" s="221"/>
      <c r="H37" s="221"/>
      <c r="I37" s="221"/>
      <c r="J37" s="222"/>
      <c r="K37" s="222"/>
      <c r="L37" s="222"/>
      <c r="M37" s="222"/>
      <c r="N37" s="222"/>
      <c r="O37" s="222"/>
      <c r="P37" s="223"/>
      <c r="Q37" s="223"/>
      <c r="R37" s="223"/>
      <c r="S37" s="191"/>
    </row>
    <row r="38" spans="2:19" ht="15" x14ac:dyDescent="0.25">
      <c r="B38" s="218"/>
      <c r="C38" s="219"/>
      <c r="D38" s="220"/>
      <c r="E38" s="221"/>
      <c r="F38" s="441"/>
      <c r="G38" s="359"/>
      <c r="H38" s="221"/>
      <c r="I38" s="221"/>
      <c r="J38" s="222"/>
      <c r="K38" s="222"/>
      <c r="L38" s="222"/>
      <c r="M38" s="222"/>
      <c r="N38" s="222"/>
      <c r="O38" s="222"/>
      <c r="P38" s="223"/>
      <c r="Q38" s="223"/>
      <c r="R38" s="223"/>
      <c r="S38" s="191"/>
    </row>
    <row r="39" spans="2:19" x14ac:dyDescent="0.2">
      <c r="B39" s="218"/>
      <c r="C39" s="224">
        <v>2.1</v>
      </c>
      <c r="D39" s="225" t="s">
        <v>74</v>
      </c>
      <c r="E39" s="226"/>
      <c r="F39" s="385"/>
      <c r="G39" s="449"/>
      <c r="H39" s="227"/>
      <c r="I39" s="227"/>
      <c r="J39" s="224">
        <v>2.5</v>
      </c>
      <c r="K39" s="214" t="s">
        <v>81</v>
      </c>
      <c r="L39" s="228"/>
      <c r="M39" s="229"/>
      <c r="N39" s="229"/>
      <c r="O39" s="385"/>
      <c r="P39" s="455"/>
      <c r="Q39" s="455"/>
      <c r="R39" s="449"/>
      <c r="S39" s="191"/>
    </row>
    <row r="40" spans="2:19" ht="15" x14ac:dyDescent="0.25">
      <c r="B40" s="188"/>
      <c r="C40" s="230"/>
      <c r="D40" s="225"/>
      <c r="E40" s="226"/>
      <c r="F40" s="366"/>
      <c r="G40" s="366"/>
      <c r="H40" s="229"/>
      <c r="I40" s="229"/>
      <c r="J40" s="231"/>
      <c r="K40" s="229"/>
      <c r="L40" s="229"/>
      <c r="M40" s="232"/>
      <c r="N40" s="232"/>
      <c r="O40" s="442"/>
      <c r="P40" s="363"/>
      <c r="Q40" s="363"/>
      <c r="R40" s="363"/>
      <c r="S40" s="191"/>
    </row>
    <row r="41" spans="2:19" x14ac:dyDescent="0.2">
      <c r="B41" s="188"/>
      <c r="C41" s="224">
        <v>2.2000000000000002</v>
      </c>
      <c r="D41" s="225" t="s">
        <v>75</v>
      </c>
      <c r="E41" s="229"/>
      <c r="F41" s="385"/>
      <c r="G41" s="449"/>
      <c r="H41" s="229"/>
      <c r="I41" s="212"/>
      <c r="J41" s="224">
        <v>2.6</v>
      </c>
      <c r="K41" s="228" t="s">
        <v>773</v>
      </c>
      <c r="L41" s="228"/>
      <c r="M41" s="228"/>
      <c r="N41" s="228"/>
      <c r="O41" s="385"/>
      <c r="P41" s="455"/>
      <c r="Q41" s="455"/>
      <c r="R41" s="449"/>
      <c r="S41" s="191"/>
    </row>
    <row r="42" spans="2:19" ht="15" x14ac:dyDescent="0.25">
      <c r="B42" s="188"/>
      <c r="C42" s="233"/>
      <c r="D42" s="212"/>
      <c r="E42" s="189"/>
      <c r="F42" s="366"/>
      <c r="G42" s="363"/>
      <c r="H42" s="229"/>
      <c r="I42" s="227"/>
      <c r="J42" s="234"/>
      <c r="K42" s="232"/>
      <c r="L42" s="232"/>
      <c r="M42" s="232"/>
      <c r="N42" s="232"/>
      <c r="O42" s="442"/>
      <c r="P42" s="363"/>
      <c r="Q42" s="363"/>
      <c r="R42" s="363"/>
      <c r="S42" s="191"/>
    </row>
    <row r="43" spans="2:19" x14ac:dyDescent="0.2">
      <c r="B43" s="188"/>
      <c r="C43" s="224">
        <v>2.2999999999999998</v>
      </c>
      <c r="D43" s="212" t="s">
        <v>1074</v>
      </c>
      <c r="E43" s="189"/>
      <c r="F43" s="385"/>
      <c r="G43" s="449"/>
      <c r="H43" s="229"/>
      <c r="I43" s="227"/>
      <c r="J43" s="224">
        <v>2.7</v>
      </c>
      <c r="K43" s="229" t="s">
        <v>82</v>
      </c>
      <c r="L43" s="229"/>
      <c r="M43" s="229"/>
      <c r="N43" s="229"/>
      <c r="O43" s="385"/>
      <c r="P43" s="455"/>
      <c r="Q43" s="455"/>
      <c r="R43" s="449"/>
      <c r="S43" s="191"/>
    </row>
    <row r="44" spans="2:19" ht="15" x14ac:dyDescent="0.25">
      <c r="B44" s="188"/>
      <c r="C44" s="235"/>
      <c r="D44" s="225"/>
      <c r="E44" s="229"/>
      <c r="F44" s="366"/>
      <c r="G44" s="363"/>
      <c r="H44" s="229"/>
      <c r="I44" s="229"/>
      <c r="J44" s="231"/>
      <c r="K44" s="229"/>
      <c r="L44" s="229"/>
      <c r="M44" s="229"/>
      <c r="N44" s="229"/>
      <c r="O44" s="442"/>
      <c r="P44" s="363"/>
      <c r="Q44" s="443"/>
      <c r="R44" s="443"/>
      <c r="S44" s="191"/>
    </row>
    <row r="45" spans="2:19" x14ac:dyDescent="0.2">
      <c r="B45" s="188"/>
      <c r="C45" s="236">
        <v>2.4</v>
      </c>
      <c r="D45" s="225" t="s">
        <v>76</v>
      </c>
      <c r="E45" s="229"/>
      <c r="F45" s="385" t="str">
        <f>IF(AND(ISNUMBER(F39), ISNUMBER(F41)), (F39+10*F41), "")</f>
        <v/>
      </c>
      <c r="G45" s="449"/>
      <c r="H45" s="229"/>
      <c r="I45" s="228"/>
      <c r="J45" s="224">
        <v>2.8</v>
      </c>
      <c r="K45" s="229" t="s">
        <v>83</v>
      </c>
      <c r="L45" s="229"/>
      <c r="M45" s="229"/>
      <c r="N45" s="229"/>
      <c r="O45" s="466"/>
      <c r="P45" s="467"/>
      <c r="Q45" s="212" t="str">
        <f>IF(ISTEXT(O43), O43, "")</f>
        <v/>
      </c>
      <c r="R45" s="212"/>
      <c r="S45" s="191"/>
    </row>
    <row r="46" spans="2:19" x14ac:dyDescent="0.2">
      <c r="B46" s="188"/>
      <c r="C46" s="237"/>
      <c r="D46" s="238" t="s">
        <v>1309</v>
      </c>
      <c r="E46" s="226"/>
      <c r="F46" s="229"/>
      <c r="G46" s="232"/>
      <c r="H46" s="229"/>
      <c r="I46" s="232"/>
      <c r="J46" s="239"/>
      <c r="K46" s="232"/>
      <c r="L46" s="232"/>
      <c r="M46" s="229"/>
      <c r="N46" s="229"/>
      <c r="O46" s="229"/>
      <c r="P46" s="228"/>
      <c r="Q46" s="228"/>
      <c r="R46" s="228"/>
      <c r="S46" s="191"/>
    </row>
    <row r="47" spans="2:19" ht="15.75" thickBot="1" x14ac:dyDescent="0.3">
      <c r="B47" s="217"/>
      <c r="C47" s="206"/>
      <c r="D47" s="206"/>
      <c r="E47" s="206"/>
      <c r="F47" s="360"/>
      <c r="G47" s="361"/>
      <c r="H47" s="206"/>
      <c r="I47" s="206"/>
      <c r="J47" s="206"/>
      <c r="K47" s="206"/>
      <c r="L47" s="206"/>
      <c r="M47" s="206"/>
      <c r="N47" s="206"/>
      <c r="O47" s="360"/>
      <c r="P47" s="361"/>
      <c r="Q47" s="206"/>
      <c r="R47" s="206"/>
      <c r="S47" s="207"/>
    </row>
    <row r="48" spans="2:19" ht="15.75" thickTop="1" thickBot="1" x14ac:dyDescent="0.25"/>
    <row r="49" spans="2:19" ht="15.75" thickTop="1" x14ac:dyDescent="0.25">
      <c r="B49" s="186"/>
      <c r="C49" s="187"/>
      <c r="D49" s="187"/>
      <c r="E49" s="187"/>
      <c r="F49" s="187"/>
      <c r="G49" s="187"/>
      <c r="H49" s="187"/>
      <c r="I49" s="187"/>
      <c r="J49" s="446"/>
      <c r="K49" s="447"/>
      <c r="L49" s="187"/>
      <c r="M49" s="187"/>
      <c r="N49" s="187"/>
      <c r="O49" s="187"/>
      <c r="P49" s="187"/>
      <c r="Q49" s="187"/>
      <c r="R49" s="187"/>
      <c r="S49" s="209"/>
    </row>
    <row r="50" spans="2:19" ht="15.75" x14ac:dyDescent="0.25">
      <c r="B50" s="188"/>
      <c r="C50" s="210" t="s">
        <v>1064</v>
      </c>
      <c r="D50" s="211"/>
      <c r="E50" s="189"/>
      <c r="F50" s="189"/>
      <c r="G50" s="189"/>
      <c r="H50" s="189"/>
      <c r="I50" s="189"/>
      <c r="J50" s="356"/>
      <c r="K50" s="357"/>
      <c r="L50" s="189"/>
      <c r="M50" s="465" t="s">
        <v>768</v>
      </c>
      <c r="N50" s="465"/>
      <c r="O50" s="189"/>
      <c r="P50" s="189"/>
      <c r="Q50" s="189"/>
      <c r="R50" s="189"/>
      <c r="S50" s="191"/>
    </row>
    <row r="51" spans="2:19" ht="15" x14ac:dyDescent="0.25">
      <c r="B51" s="218"/>
      <c r="C51" s="240"/>
      <c r="D51" s="221"/>
      <c r="E51" s="221"/>
      <c r="F51" s="221"/>
      <c r="G51" s="189"/>
      <c r="H51" s="189"/>
      <c r="I51" s="189"/>
      <c r="J51" s="445"/>
      <c r="K51" s="359"/>
      <c r="L51" s="221"/>
      <c r="M51" s="396" t="s">
        <v>769</v>
      </c>
      <c r="N51" s="396"/>
      <c r="O51" s="223"/>
      <c r="P51" s="223"/>
      <c r="Q51" s="223"/>
      <c r="R51" s="223"/>
      <c r="S51" s="191"/>
    </row>
    <row r="52" spans="2:19" s="247" customFormat="1" ht="15" x14ac:dyDescent="0.25">
      <c r="B52" s="241"/>
      <c r="C52" s="242" t="s">
        <v>19</v>
      </c>
      <c r="D52" s="243" t="s">
        <v>27</v>
      </c>
      <c r="E52" s="243"/>
      <c r="F52" s="243"/>
      <c r="G52" s="244"/>
      <c r="H52" s="369"/>
      <c r="I52" s="370"/>
      <c r="J52" s="417"/>
      <c r="K52" s="418"/>
      <c r="L52" s="245"/>
      <c r="M52" s="419"/>
      <c r="N52" s="420"/>
      <c r="O52" s="245"/>
      <c r="P52" s="245"/>
      <c r="Q52" s="245"/>
      <c r="R52" s="245"/>
      <c r="S52" s="246"/>
    </row>
    <row r="53" spans="2:19" ht="15" x14ac:dyDescent="0.25">
      <c r="B53" s="218"/>
      <c r="C53" s="248"/>
      <c r="D53" s="249" t="s">
        <v>28</v>
      </c>
      <c r="E53" s="227"/>
      <c r="F53" s="227"/>
      <c r="G53" s="189"/>
      <c r="H53" s="356"/>
      <c r="I53" s="357"/>
      <c r="J53" s="444"/>
      <c r="K53" s="363"/>
      <c r="L53" s="221"/>
      <c r="M53" s="413"/>
      <c r="N53" s="414"/>
      <c r="O53" s="223"/>
      <c r="P53" s="223"/>
      <c r="Q53" s="223"/>
      <c r="R53" s="223"/>
      <c r="S53" s="191"/>
    </row>
    <row r="54" spans="2:19" ht="15" x14ac:dyDescent="0.25">
      <c r="B54" s="218"/>
      <c r="C54" s="250" t="s">
        <v>784</v>
      </c>
      <c r="D54" s="227" t="s">
        <v>29</v>
      </c>
      <c r="E54" s="227"/>
      <c r="F54" s="227"/>
      <c r="G54" s="189"/>
      <c r="H54" s="369"/>
      <c r="I54" s="370"/>
      <c r="J54" s="372"/>
      <c r="K54" s="390"/>
      <c r="L54" s="221"/>
      <c r="M54" s="385"/>
      <c r="N54" s="449"/>
      <c r="O54" s="223"/>
      <c r="P54" s="223"/>
      <c r="Q54" s="223"/>
      <c r="R54" s="223"/>
      <c r="S54" s="191"/>
    </row>
    <row r="55" spans="2:19" ht="15" x14ac:dyDescent="0.25">
      <c r="B55" s="218"/>
      <c r="C55" s="250" t="s">
        <v>785</v>
      </c>
      <c r="D55" s="227" t="s">
        <v>30</v>
      </c>
      <c r="E55" s="227"/>
      <c r="F55" s="227"/>
      <c r="G55" s="189"/>
      <c r="H55" s="369"/>
      <c r="I55" s="370"/>
      <c r="J55" s="372"/>
      <c r="K55" s="390"/>
      <c r="L55" s="221"/>
      <c r="M55" s="385"/>
      <c r="N55" s="449"/>
      <c r="O55" s="223"/>
      <c r="P55" s="223"/>
      <c r="Q55" s="223"/>
      <c r="R55" s="334"/>
      <c r="S55" s="191"/>
    </row>
    <row r="56" spans="2:19" ht="15" x14ac:dyDescent="0.25">
      <c r="B56" s="218"/>
      <c r="C56" s="248"/>
      <c r="D56" s="227"/>
      <c r="E56" s="227"/>
      <c r="F56" s="227"/>
      <c r="G56" s="189"/>
      <c r="H56" s="356"/>
      <c r="I56" s="357"/>
      <c r="J56" s="444"/>
      <c r="K56" s="363"/>
      <c r="L56" s="221"/>
      <c r="M56" s="413"/>
      <c r="N56" s="414"/>
      <c r="O56" s="223"/>
      <c r="P56" s="223"/>
      <c r="Q56" s="223"/>
      <c r="R56" s="223"/>
      <c r="S56" s="191"/>
    </row>
    <row r="57" spans="2:19" s="247" customFormat="1" ht="15" x14ac:dyDescent="0.25">
      <c r="B57" s="241"/>
      <c r="C57" s="242" t="s">
        <v>20</v>
      </c>
      <c r="D57" s="243" t="s">
        <v>851</v>
      </c>
      <c r="E57" s="243"/>
      <c r="F57" s="243"/>
      <c r="G57" s="244"/>
      <c r="H57" s="369"/>
      <c r="I57" s="370"/>
      <c r="J57" s="417"/>
      <c r="K57" s="418"/>
      <c r="L57" s="245"/>
      <c r="M57" s="419"/>
      <c r="N57" s="420"/>
      <c r="O57" s="245"/>
      <c r="P57" s="245"/>
      <c r="Q57" s="245"/>
      <c r="R57" s="245"/>
      <c r="S57" s="246"/>
    </row>
    <row r="58" spans="2:19" ht="15" x14ac:dyDescent="0.25">
      <c r="B58" s="218"/>
      <c r="C58" s="248"/>
      <c r="D58" s="249" t="s">
        <v>28</v>
      </c>
      <c r="E58" s="227"/>
      <c r="F58" s="227"/>
      <c r="G58" s="189"/>
      <c r="H58" s="356"/>
      <c r="I58" s="357"/>
      <c r="J58" s="444"/>
      <c r="K58" s="363"/>
      <c r="L58" s="221"/>
      <c r="M58" s="413"/>
      <c r="N58" s="414"/>
      <c r="O58" s="223"/>
      <c r="P58" s="223"/>
      <c r="Q58" s="223"/>
      <c r="R58" s="223"/>
      <c r="S58" s="191"/>
    </row>
    <row r="59" spans="2:19" s="254" customFormat="1" ht="15" x14ac:dyDescent="0.25">
      <c r="B59" s="251"/>
      <c r="C59" s="250" t="s">
        <v>786</v>
      </c>
      <c r="D59" s="227" t="s">
        <v>29</v>
      </c>
      <c r="E59" s="227"/>
      <c r="F59" s="227"/>
      <c r="G59" s="189"/>
      <c r="H59" s="369"/>
      <c r="I59" s="370"/>
      <c r="J59" s="372"/>
      <c r="K59" s="390"/>
      <c r="L59" s="221"/>
      <c r="M59" s="385"/>
      <c r="N59" s="449"/>
      <c r="O59" s="252"/>
      <c r="P59" s="252"/>
      <c r="Q59" s="252"/>
      <c r="R59" s="252"/>
      <c r="S59" s="253"/>
    </row>
    <row r="60" spans="2:19" s="254" customFormat="1" ht="15" x14ac:dyDescent="0.25">
      <c r="B60" s="251"/>
      <c r="C60" s="250" t="s">
        <v>787</v>
      </c>
      <c r="D60" s="227" t="s">
        <v>30</v>
      </c>
      <c r="E60" s="227"/>
      <c r="F60" s="227"/>
      <c r="G60" s="189"/>
      <c r="H60" s="369"/>
      <c r="I60" s="370"/>
      <c r="J60" s="372"/>
      <c r="K60" s="390"/>
      <c r="L60" s="221"/>
      <c r="M60" s="385"/>
      <c r="N60" s="449"/>
      <c r="O60" s="252"/>
      <c r="P60" s="252"/>
      <c r="Q60" s="252"/>
      <c r="R60" s="252"/>
      <c r="S60" s="253"/>
    </row>
    <row r="61" spans="2:19" s="254" customFormat="1" ht="15" x14ac:dyDescent="0.25">
      <c r="B61" s="251"/>
      <c r="C61" s="250"/>
      <c r="D61" s="227"/>
      <c r="E61" s="227"/>
      <c r="F61" s="227"/>
      <c r="G61" s="189"/>
      <c r="H61" s="356"/>
      <c r="I61" s="357"/>
      <c r="J61" s="444"/>
      <c r="K61" s="363"/>
      <c r="L61" s="221"/>
      <c r="M61" s="413"/>
      <c r="N61" s="414"/>
      <c r="O61" s="252"/>
      <c r="P61" s="252"/>
      <c r="Q61" s="252"/>
      <c r="R61" s="252"/>
      <c r="S61" s="253"/>
    </row>
    <row r="62" spans="2:19" s="257" customFormat="1" ht="15" x14ac:dyDescent="0.25">
      <c r="B62" s="218"/>
      <c r="C62" s="242" t="s">
        <v>21</v>
      </c>
      <c r="D62" s="227" t="s">
        <v>852</v>
      </c>
      <c r="E62" s="227"/>
      <c r="F62" s="227"/>
      <c r="G62" s="255"/>
      <c r="H62" s="369"/>
      <c r="I62" s="370"/>
      <c r="J62" s="468"/>
      <c r="K62" s="469"/>
      <c r="L62" s="221"/>
      <c r="M62" s="415"/>
      <c r="N62" s="416"/>
      <c r="O62" s="221"/>
      <c r="P62" s="221"/>
      <c r="Q62" s="221"/>
      <c r="R62" s="221"/>
      <c r="S62" s="256"/>
    </row>
    <row r="63" spans="2:19" ht="15" x14ac:dyDescent="0.25">
      <c r="B63" s="218"/>
      <c r="C63" s="248"/>
      <c r="D63" s="227"/>
      <c r="E63" s="227"/>
      <c r="F63" s="227"/>
      <c r="G63" s="189"/>
      <c r="H63" s="356"/>
      <c r="I63" s="357"/>
      <c r="J63" s="444"/>
      <c r="K63" s="363"/>
      <c r="L63" s="221"/>
      <c r="M63" s="413"/>
      <c r="N63" s="414"/>
      <c r="O63" s="223"/>
      <c r="P63" s="223"/>
      <c r="Q63" s="223"/>
      <c r="R63" s="223"/>
      <c r="S63" s="191"/>
    </row>
    <row r="64" spans="2:19" s="247" customFormat="1" ht="15" x14ac:dyDescent="0.25">
      <c r="B64" s="241"/>
      <c r="C64" s="242" t="s">
        <v>22</v>
      </c>
      <c r="D64" s="243" t="s">
        <v>858</v>
      </c>
      <c r="E64" s="243"/>
      <c r="F64" s="243"/>
      <c r="G64" s="244"/>
      <c r="H64" s="369"/>
      <c r="I64" s="370"/>
      <c r="J64" s="417"/>
      <c r="K64" s="418"/>
      <c r="L64" s="245"/>
      <c r="M64" s="419"/>
      <c r="N64" s="420"/>
      <c r="O64" s="245"/>
      <c r="P64" s="245"/>
      <c r="Q64" s="245"/>
      <c r="R64" s="245"/>
      <c r="S64" s="246"/>
    </row>
    <row r="65" spans="2:19" s="257" customFormat="1" ht="15" x14ac:dyDescent="0.25">
      <c r="B65" s="218"/>
      <c r="C65" s="248"/>
      <c r="D65" s="258" t="s">
        <v>859</v>
      </c>
      <c r="E65" s="227"/>
      <c r="F65" s="227"/>
      <c r="G65" s="255"/>
      <c r="H65" s="356"/>
      <c r="I65" s="357"/>
      <c r="J65" s="448"/>
      <c r="K65" s="401"/>
      <c r="L65" s="221"/>
      <c r="M65" s="470"/>
      <c r="N65" s="471"/>
      <c r="O65" s="221"/>
      <c r="P65" s="221"/>
      <c r="Q65" s="221"/>
      <c r="R65" s="221"/>
      <c r="S65" s="256"/>
    </row>
    <row r="66" spans="2:19" ht="15" x14ac:dyDescent="0.25">
      <c r="B66" s="218"/>
      <c r="C66" s="248"/>
      <c r="D66" s="249" t="s">
        <v>28</v>
      </c>
      <c r="E66" s="227"/>
      <c r="F66" s="227"/>
      <c r="G66" s="189"/>
      <c r="H66" s="356"/>
      <c r="I66" s="357"/>
      <c r="J66" s="445"/>
      <c r="K66" s="359"/>
      <c r="L66" s="221"/>
      <c r="M66" s="424"/>
      <c r="N66" s="425"/>
      <c r="O66" s="223"/>
      <c r="P66" s="223"/>
      <c r="Q66" s="223"/>
      <c r="R66" s="223"/>
      <c r="S66" s="191"/>
    </row>
    <row r="67" spans="2:19" ht="15" x14ac:dyDescent="0.25">
      <c r="B67" s="188"/>
      <c r="C67" s="197" t="s">
        <v>788</v>
      </c>
      <c r="D67" s="215" t="s">
        <v>860</v>
      </c>
      <c r="E67" s="189"/>
      <c r="F67" s="189"/>
      <c r="G67" s="189"/>
      <c r="H67" s="369"/>
      <c r="I67" s="371"/>
      <c r="J67" s="372"/>
      <c r="K67" s="374"/>
      <c r="L67" s="221"/>
      <c r="M67" s="385"/>
      <c r="N67" s="386"/>
      <c r="O67" s="189"/>
      <c r="P67" s="189"/>
      <c r="Q67" s="189"/>
      <c r="R67" s="189"/>
      <c r="S67" s="191"/>
    </row>
    <row r="68" spans="2:19" ht="15" x14ac:dyDescent="0.25">
      <c r="B68" s="218"/>
      <c r="C68" s="250" t="s">
        <v>789</v>
      </c>
      <c r="D68" s="227" t="s">
        <v>31</v>
      </c>
      <c r="E68" s="227"/>
      <c r="F68" s="227"/>
      <c r="G68" s="189"/>
      <c r="H68" s="369"/>
      <c r="I68" s="371"/>
      <c r="J68" s="372"/>
      <c r="K68" s="374"/>
      <c r="L68" s="221"/>
      <c r="M68" s="385"/>
      <c r="N68" s="386"/>
      <c r="O68" s="223"/>
      <c r="P68" s="223"/>
      <c r="Q68" s="223"/>
      <c r="R68" s="223"/>
      <c r="S68" s="191"/>
    </row>
    <row r="69" spans="2:19" x14ac:dyDescent="0.2">
      <c r="B69" s="218"/>
      <c r="C69" s="259"/>
      <c r="D69" s="249" t="s">
        <v>28</v>
      </c>
      <c r="E69" s="227"/>
      <c r="F69" s="227"/>
      <c r="G69" s="189"/>
      <c r="H69" s="356"/>
      <c r="I69" s="356"/>
      <c r="J69" s="444"/>
      <c r="K69" s="444"/>
      <c r="L69" s="221"/>
      <c r="M69" s="413"/>
      <c r="N69" s="413"/>
      <c r="O69" s="223"/>
      <c r="P69" s="223"/>
      <c r="Q69" s="223"/>
      <c r="R69" s="223"/>
      <c r="S69" s="191"/>
    </row>
    <row r="70" spans="2:19" ht="15" x14ac:dyDescent="0.25">
      <c r="B70" s="218"/>
      <c r="C70" s="259" t="s">
        <v>1052</v>
      </c>
      <c r="D70" s="260" t="s">
        <v>32</v>
      </c>
      <c r="E70" s="227"/>
      <c r="F70" s="227"/>
      <c r="G70" s="189"/>
      <c r="H70" s="369"/>
      <c r="I70" s="371"/>
      <c r="J70" s="372"/>
      <c r="K70" s="374"/>
      <c r="L70" s="221"/>
      <c r="M70" s="385"/>
      <c r="N70" s="386"/>
      <c r="O70" s="223"/>
      <c r="P70" s="223"/>
      <c r="Q70" s="223"/>
      <c r="R70" s="223"/>
      <c r="S70" s="191"/>
    </row>
    <row r="71" spans="2:19" ht="15" thickBot="1" x14ac:dyDescent="0.25">
      <c r="B71" s="217"/>
      <c r="C71" s="206"/>
      <c r="D71" s="206"/>
      <c r="E71" s="206"/>
      <c r="F71" s="206"/>
      <c r="G71" s="206"/>
      <c r="H71" s="206"/>
      <c r="I71" s="206"/>
      <c r="J71" s="367"/>
      <c r="K71" s="367"/>
      <c r="L71" s="206"/>
      <c r="M71" s="367"/>
      <c r="N71" s="367"/>
      <c r="O71" s="206"/>
      <c r="P71" s="206"/>
      <c r="Q71" s="206"/>
      <c r="R71" s="206"/>
      <c r="S71" s="207"/>
    </row>
    <row r="72" spans="2:19" ht="15.75" thickTop="1" thickBot="1" x14ac:dyDescent="0.25"/>
    <row r="73" spans="2:19" ht="15" thickTop="1" x14ac:dyDescent="0.2">
      <c r="B73" s="186"/>
      <c r="C73" s="187"/>
      <c r="D73" s="187"/>
      <c r="E73" s="187"/>
      <c r="F73" s="187"/>
      <c r="G73" s="187"/>
      <c r="H73" s="187"/>
      <c r="I73" s="187"/>
      <c r="J73" s="187"/>
      <c r="K73" s="187"/>
      <c r="L73" s="187"/>
      <c r="M73" s="187"/>
      <c r="N73" s="187"/>
      <c r="O73" s="187"/>
      <c r="P73" s="187"/>
      <c r="Q73" s="187"/>
      <c r="R73" s="187"/>
      <c r="S73" s="209"/>
    </row>
    <row r="74" spans="2:19" ht="15.75" x14ac:dyDescent="0.25">
      <c r="B74" s="188"/>
      <c r="C74" s="210" t="s">
        <v>1065</v>
      </c>
      <c r="D74" s="211"/>
      <c r="E74" s="189"/>
      <c r="F74" s="189"/>
      <c r="G74" s="189"/>
      <c r="H74" s="189"/>
      <c r="I74" s="189"/>
      <c r="J74" s="189"/>
      <c r="K74" s="189"/>
      <c r="L74" s="189"/>
      <c r="M74" s="189"/>
      <c r="N74" s="189"/>
      <c r="O74" s="189"/>
      <c r="P74" s="189"/>
      <c r="Q74" s="189"/>
      <c r="R74" s="189"/>
      <c r="S74" s="191"/>
    </row>
    <row r="75" spans="2:19" ht="15" x14ac:dyDescent="0.25">
      <c r="B75" s="188"/>
      <c r="C75" s="244"/>
      <c r="D75" s="211"/>
      <c r="E75" s="189"/>
      <c r="F75" s="189"/>
      <c r="G75" s="189"/>
      <c r="H75" s="189"/>
      <c r="I75" s="189"/>
      <c r="J75" s="189"/>
      <c r="K75" s="189"/>
      <c r="L75" s="189"/>
      <c r="M75" s="189"/>
      <c r="N75" s="189"/>
      <c r="O75" s="189"/>
      <c r="P75" s="189"/>
      <c r="Q75" s="189"/>
      <c r="R75" s="189"/>
      <c r="S75" s="191"/>
    </row>
    <row r="76" spans="2:19" ht="15" x14ac:dyDescent="0.25">
      <c r="B76" s="218"/>
      <c r="C76" s="395" t="s">
        <v>848</v>
      </c>
      <c r="D76" s="395"/>
      <c r="E76" s="395"/>
      <c r="F76" s="395"/>
      <c r="G76" s="221"/>
      <c r="H76" s="221"/>
      <c r="I76" s="221"/>
      <c r="J76" s="396" t="s">
        <v>863</v>
      </c>
      <c r="K76" s="396"/>
      <c r="L76" s="220"/>
      <c r="M76" s="220"/>
      <c r="N76" s="223"/>
      <c r="O76" s="223"/>
      <c r="P76" s="223"/>
      <c r="Q76" s="223"/>
      <c r="R76" s="223"/>
      <c r="S76" s="191"/>
    </row>
    <row r="77" spans="2:19" ht="14.25" customHeight="1" x14ac:dyDescent="0.2">
      <c r="B77" s="218"/>
      <c r="C77" s="248" t="s">
        <v>23</v>
      </c>
      <c r="D77" s="397" t="s">
        <v>1053</v>
      </c>
      <c r="E77" s="388"/>
      <c r="F77" s="388"/>
      <c r="G77" s="388"/>
      <c r="H77" s="388"/>
      <c r="I77" s="389"/>
      <c r="J77" s="372"/>
      <c r="K77" s="390"/>
      <c r="L77" s="189"/>
      <c r="M77" s="220"/>
      <c r="N77" s="223"/>
      <c r="O77" s="223"/>
      <c r="P77" s="223"/>
      <c r="Q77" s="223"/>
      <c r="R77" s="223"/>
      <c r="S77" s="191"/>
    </row>
    <row r="78" spans="2:19" ht="14.25" customHeight="1" x14ac:dyDescent="0.2">
      <c r="B78" s="218"/>
      <c r="C78" s="248" t="s">
        <v>24</v>
      </c>
      <c r="D78" s="387" t="s">
        <v>1533</v>
      </c>
      <c r="E78" s="388"/>
      <c r="F78" s="388"/>
      <c r="G78" s="388"/>
      <c r="H78" s="388"/>
      <c r="I78" s="389"/>
      <c r="J78" s="372"/>
      <c r="K78" s="390"/>
      <c r="L78" s="189"/>
      <c r="M78" s="220"/>
      <c r="N78" s="223"/>
      <c r="O78" s="223"/>
      <c r="P78" s="223"/>
      <c r="Q78" s="223"/>
      <c r="R78" s="223"/>
      <c r="S78" s="191"/>
    </row>
    <row r="79" spans="2:19" ht="14.25" customHeight="1" x14ac:dyDescent="0.2">
      <c r="B79" s="218"/>
      <c r="C79" s="248" t="s">
        <v>25</v>
      </c>
      <c r="D79" s="227" t="s">
        <v>16</v>
      </c>
      <c r="E79" s="227"/>
      <c r="F79" s="261"/>
      <c r="G79" s="261"/>
      <c r="H79" s="229"/>
      <c r="I79" s="262"/>
      <c r="J79" s="372"/>
      <c r="K79" s="390"/>
      <c r="L79" s="189"/>
      <c r="M79" s="220"/>
      <c r="N79" s="223"/>
      <c r="O79" s="223"/>
      <c r="P79" s="223"/>
      <c r="Q79" s="223"/>
      <c r="R79" s="223"/>
      <c r="S79" s="191"/>
    </row>
    <row r="80" spans="2:19" ht="14.25" customHeight="1" x14ac:dyDescent="0.2">
      <c r="B80" s="218"/>
      <c r="C80" s="248" t="s">
        <v>26</v>
      </c>
      <c r="D80" s="387" t="s">
        <v>13</v>
      </c>
      <c r="E80" s="388"/>
      <c r="F80" s="388"/>
      <c r="G80" s="388"/>
      <c r="H80" s="388"/>
      <c r="I80" s="389"/>
      <c r="J80" s="372"/>
      <c r="K80" s="390"/>
      <c r="L80" s="189"/>
      <c r="M80" s="220"/>
      <c r="N80" s="223"/>
      <c r="O80" s="223"/>
      <c r="P80" s="223"/>
      <c r="Q80" s="223"/>
      <c r="R80" s="223"/>
      <c r="S80" s="191"/>
    </row>
    <row r="81" spans="2:19" ht="14.25" customHeight="1" x14ac:dyDescent="0.2">
      <c r="B81" s="218"/>
      <c r="C81" s="248" t="s">
        <v>790</v>
      </c>
      <c r="D81" s="387" t="s">
        <v>14</v>
      </c>
      <c r="E81" s="388"/>
      <c r="F81" s="388"/>
      <c r="G81" s="388"/>
      <c r="H81" s="388"/>
      <c r="I81" s="389"/>
      <c r="J81" s="372"/>
      <c r="K81" s="390"/>
      <c r="L81" s="189"/>
      <c r="M81" s="220"/>
      <c r="N81" s="223"/>
      <c r="O81" s="223"/>
      <c r="P81" s="223"/>
      <c r="Q81" s="223"/>
      <c r="R81" s="223"/>
      <c r="S81" s="191"/>
    </row>
    <row r="82" spans="2:19" ht="14.25" customHeight="1" x14ac:dyDescent="0.2">
      <c r="B82" s="218"/>
      <c r="C82" s="248" t="s">
        <v>791</v>
      </c>
      <c r="D82" s="387" t="s">
        <v>1051</v>
      </c>
      <c r="E82" s="388"/>
      <c r="F82" s="388"/>
      <c r="G82" s="388"/>
      <c r="H82" s="388"/>
      <c r="I82" s="389"/>
      <c r="J82" s="372"/>
      <c r="K82" s="390"/>
      <c r="L82" s="189"/>
      <c r="M82" s="220"/>
      <c r="N82" s="223"/>
      <c r="O82" s="223"/>
      <c r="P82" s="223"/>
      <c r="Q82" s="223"/>
      <c r="R82" s="223"/>
      <c r="S82" s="191"/>
    </row>
    <row r="83" spans="2:19" ht="14.25" customHeight="1" x14ac:dyDescent="0.2">
      <c r="B83" s="218"/>
      <c r="C83" s="248" t="s">
        <v>1016</v>
      </c>
      <c r="D83" s="387" t="s">
        <v>15</v>
      </c>
      <c r="E83" s="388"/>
      <c r="F83" s="388"/>
      <c r="G83" s="388"/>
      <c r="H83" s="388"/>
      <c r="I83" s="389"/>
      <c r="J83" s="372"/>
      <c r="K83" s="390"/>
      <c r="L83" s="189"/>
      <c r="M83" s="220"/>
      <c r="N83" s="223"/>
      <c r="O83" s="223"/>
      <c r="P83" s="223"/>
      <c r="Q83" s="223"/>
      <c r="R83" s="223"/>
      <c r="S83" s="191"/>
    </row>
    <row r="84" spans="2:19" ht="14.25" customHeight="1" x14ac:dyDescent="0.2">
      <c r="B84" s="218"/>
      <c r="C84" s="248" t="s">
        <v>1017</v>
      </c>
      <c r="D84" s="387" t="s">
        <v>17</v>
      </c>
      <c r="E84" s="388"/>
      <c r="F84" s="388"/>
      <c r="G84" s="388"/>
      <c r="H84" s="388"/>
      <c r="I84" s="389"/>
      <c r="J84" s="372"/>
      <c r="K84" s="390"/>
      <c r="L84" s="189"/>
      <c r="M84" s="220"/>
      <c r="N84" s="223"/>
      <c r="O84" s="223"/>
      <c r="P84" s="223"/>
      <c r="Q84" s="223"/>
      <c r="R84" s="223"/>
      <c r="S84" s="191"/>
    </row>
    <row r="85" spans="2:19" ht="14.25" customHeight="1" x14ac:dyDescent="0.2">
      <c r="B85" s="218"/>
      <c r="C85" s="248" t="s">
        <v>1018</v>
      </c>
      <c r="D85" s="387" t="s">
        <v>861</v>
      </c>
      <c r="E85" s="388"/>
      <c r="F85" s="388"/>
      <c r="G85" s="388"/>
      <c r="H85" s="388"/>
      <c r="I85" s="389"/>
      <c r="J85" s="372"/>
      <c r="K85" s="390"/>
      <c r="L85" s="189"/>
      <c r="M85" s="220"/>
      <c r="N85" s="223"/>
      <c r="O85" s="223"/>
      <c r="P85" s="223"/>
      <c r="Q85" s="223"/>
      <c r="R85" s="223"/>
      <c r="S85" s="191"/>
    </row>
    <row r="86" spans="2:19" ht="14.25" customHeight="1" x14ac:dyDescent="0.2">
      <c r="B86" s="218"/>
      <c r="C86" s="248"/>
      <c r="D86" s="263" t="s">
        <v>0</v>
      </c>
      <c r="E86" s="261"/>
      <c r="F86" s="261"/>
      <c r="G86" s="261"/>
      <c r="H86" s="220"/>
      <c r="I86" s="223"/>
      <c r="J86" s="220"/>
      <c r="K86" s="223"/>
      <c r="L86" s="189"/>
      <c r="M86" s="220"/>
      <c r="N86" s="223"/>
      <c r="O86" s="223"/>
      <c r="P86" s="223"/>
      <c r="Q86" s="223"/>
      <c r="R86" s="223"/>
      <c r="S86" s="191"/>
    </row>
    <row r="87" spans="2:19" ht="14.25" customHeight="1" x14ac:dyDescent="0.2">
      <c r="B87" s="218"/>
      <c r="C87" s="250" t="s">
        <v>1054</v>
      </c>
      <c r="D87" s="387" t="s">
        <v>18</v>
      </c>
      <c r="E87" s="388"/>
      <c r="F87" s="388"/>
      <c r="G87" s="388"/>
      <c r="H87" s="388"/>
      <c r="I87" s="389"/>
      <c r="J87" s="372"/>
      <c r="K87" s="390"/>
      <c r="L87" s="189"/>
      <c r="M87" s="220"/>
      <c r="N87" s="223"/>
      <c r="O87" s="223"/>
      <c r="P87" s="223"/>
      <c r="Q87" s="223"/>
      <c r="R87" s="223"/>
      <c r="S87" s="191"/>
    </row>
    <row r="88" spans="2:19" ht="14.25" customHeight="1" x14ac:dyDescent="0.2">
      <c r="B88" s="218"/>
      <c r="C88" s="248" t="s">
        <v>1019</v>
      </c>
      <c r="D88" s="473" t="s">
        <v>862</v>
      </c>
      <c r="E88" s="388"/>
      <c r="F88" s="388"/>
      <c r="G88" s="388"/>
      <c r="H88" s="388"/>
      <c r="I88" s="389"/>
      <c r="J88" s="372"/>
      <c r="K88" s="390"/>
      <c r="L88" s="189"/>
      <c r="M88" s="220"/>
      <c r="N88" s="223"/>
      <c r="O88" s="223"/>
      <c r="P88" s="223"/>
      <c r="Q88" s="223"/>
      <c r="R88" s="223"/>
      <c r="S88" s="191"/>
    </row>
    <row r="89" spans="2:19" ht="15" thickBot="1" x14ac:dyDescent="0.25">
      <c r="B89" s="217"/>
      <c r="C89" s="206"/>
      <c r="D89" s="206"/>
      <c r="E89" s="206"/>
      <c r="F89" s="206"/>
      <c r="G89" s="206"/>
      <c r="H89" s="206"/>
      <c r="I89" s="206"/>
      <c r="J89" s="206"/>
      <c r="K89" s="206"/>
      <c r="L89" s="206"/>
      <c r="M89" s="206"/>
      <c r="N89" s="206"/>
      <c r="O89" s="206"/>
      <c r="P89" s="206"/>
      <c r="Q89" s="206"/>
      <c r="R89" s="206"/>
      <c r="S89" s="207"/>
    </row>
    <row r="90" spans="2:19" ht="15.75" thickTop="1" thickBot="1" x14ac:dyDescent="0.25"/>
    <row r="91" spans="2:19" ht="15" thickTop="1" x14ac:dyDescent="0.2">
      <c r="B91" s="186"/>
      <c r="C91" s="187"/>
      <c r="D91" s="187"/>
      <c r="E91" s="187"/>
      <c r="F91" s="187"/>
      <c r="G91" s="187"/>
      <c r="H91" s="187"/>
      <c r="I91" s="187"/>
      <c r="J91" s="187"/>
      <c r="K91" s="187"/>
      <c r="L91" s="187"/>
      <c r="M91" s="187"/>
      <c r="N91" s="187"/>
      <c r="O91" s="187"/>
      <c r="P91" s="187"/>
      <c r="Q91" s="187"/>
      <c r="R91" s="187"/>
      <c r="S91" s="209"/>
    </row>
    <row r="92" spans="2:19" ht="15.75" x14ac:dyDescent="0.25">
      <c r="B92" s="188"/>
      <c r="C92" s="210" t="s">
        <v>1020</v>
      </c>
      <c r="D92" s="211"/>
      <c r="E92" s="189"/>
      <c r="F92" s="189"/>
      <c r="G92" s="189"/>
      <c r="H92" s="189"/>
      <c r="I92" s="189"/>
      <c r="J92" s="189"/>
      <c r="K92" s="189"/>
      <c r="L92" s="189"/>
      <c r="M92" s="189"/>
      <c r="N92" s="189"/>
      <c r="O92" s="189"/>
      <c r="P92" s="189"/>
      <c r="Q92" s="189"/>
      <c r="R92" s="189"/>
      <c r="S92" s="191"/>
    </row>
    <row r="93" spans="2:19" ht="15" x14ac:dyDescent="0.25">
      <c r="B93" s="218"/>
      <c r="C93" s="221"/>
      <c r="D93" s="220"/>
      <c r="E93" s="221"/>
      <c r="F93" s="221"/>
      <c r="G93" s="221"/>
      <c r="H93" s="221"/>
      <c r="I93" s="221"/>
      <c r="J93" s="222"/>
      <c r="K93" s="222"/>
      <c r="L93" s="222"/>
      <c r="M93" s="391" t="s">
        <v>1023</v>
      </c>
      <c r="N93" s="392"/>
      <c r="O93" s="359"/>
      <c r="P93" s="223"/>
      <c r="Q93" s="223"/>
      <c r="R93" s="223"/>
      <c r="S93" s="191"/>
    </row>
    <row r="94" spans="2:19" ht="15" x14ac:dyDescent="0.25">
      <c r="B94" s="218"/>
      <c r="C94" s="224">
        <v>4.0999999999999996</v>
      </c>
      <c r="D94" s="264" t="s">
        <v>854</v>
      </c>
      <c r="E94" s="227"/>
      <c r="F94" s="227"/>
      <c r="G94" s="227"/>
      <c r="H94" s="227"/>
      <c r="I94" s="227"/>
      <c r="J94" s="227"/>
      <c r="K94" s="214"/>
      <c r="L94" s="212"/>
      <c r="M94" s="474"/>
      <c r="N94" s="475"/>
      <c r="O94" s="476"/>
      <c r="P94" s="252"/>
      <c r="Q94" s="223"/>
      <c r="R94" s="223"/>
      <c r="S94" s="191"/>
    </row>
    <row r="95" spans="2:19" ht="15" x14ac:dyDescent="0.25">
      <c r="B95" s="188"/>
      <c r="C95" s="231"/>
      <c r="D95" s="226"/>
      <c r="E95" s="227"/>
      <c r="F95" s="227"/>
      <c r="G95" s="227"/>
      <c r="H95" s="227"/>
      <c r="I95" s="229"/>
      <c r="J95" s="229"/>
      <c r="K95" s="229"/>
      <c r="L95" s="229"/>
      <c r="M95" s="393"/>
      <c r="N95" s="394"/>
      <c r="O95" s="363"/>
      <c r="P95" s="223"/>
      <c r="Q95" s="223"/>
      <c r="R95" s="223"/>
      <c r="S95" s="191"/>
    </row>
    <row r="96" spans="2:19" ht="15" x14ac:dyDescent="0.25">
      <c r="B96" s="188"/>
      <c r="C96" s="224">
        <v>4.2</v>
      </c>
      <c r="D96" s="214" t="s">
        <v>855</v>
      </c>
      <c r="E96" s="261"/>
      <c r="F96" s="261"/>
      <c r="G96" s="261"/>
      <c r="H96" s="261"/>
      <c r="I96" s="261"/>
      <c r="J96" s="261"/>
      <c r="K96" s="261"/>
      <c r="L96" s="261"/>
      <c r="M96" s="474"/>
      <c r="N96" s="475"/>
      <c r="O96" s="400"/>
      <c r="P96" s="223"/>
      <c r="Q96" s="223"/>
      <c r="R96" s="223"/>
      <c r="S96" s="191"/>
    </row>
    <row r="97" spans="2:19" ht="15" x14ac:dyDescent="0.25">
      <c r="B97" s="188"/>
      <c r="C97" s="231"/>
      <c r="D97" s="226"/>
      <c r="E97" s="227"/>
      <c r="F97" s="227"/>
      <c r="G97" s="227"/>
      <c r="H97" s="227"/>
      <c r="I97" s="229"/>
      <c r="J97" s="229"/>
      <c r="K97" s="229"/>
      <c r="L97" s="229"/>
      <c r="M97" s="393"/>
      <c r="N97" s="394"/>
      <c r="O97" s="363"/>
      <c r="P97" s="223"/>
      <c r="Q97" s="223"/>
      <c r="R97" s="334"/>
      <c r="S97" s="191"/>
    </row>
    <row r="98" spans="2:19" ht="15" x14ac:dyDescent="0.25">
      <c r="B98" s="188"/>
      <c r="C98" s="224">
        <v>4.3</v>
      </c>
      <c r="D98" s="214" t="s">
        <v>856</v>
      </c>
      <c r="E98" s="261"/>
      <c r="F98" s="261"/>
      <c r="G98" s="261"/>
      <c r="H98" s="261"/>
      <c r="I98" s="261"/>
      <c r="J98" s="261"/>
      <c r="K98" s="261"/>
      <c r="L98" s="261"/>
      <c r="M98" s="474"/>
      <c r="N98" s="475"/>
      <c r="O98" s="476"/>
      <c r="P98" s="189"/>
      <c r="Q98" s="189"/>
      <c r="R98" s="189"/>
      <c r="S98" s="191"/>
    </row>
    <row r="99" spans="2:19" ht="15" x14ac:dyDescent="0.25">
      <c r="B99" s="188"/>
      <c r="C99" s="224"/>
      <c r="D99" s="214"/>
      <c r="E99" s="261"/>
      <c r="F99" s="261"/>
      <c r="G99" s="261"/>
      <c r="H99" s="261"/>
      <c r="I99" s="261"/>
      <c r="J99" s="261"/>
      <c r="K99" s="261"/>
      <c r="L99" s="261"/>
      <c r="M99" s="393"/>
      <c r="N99" s="394"/>
      <c r="O99" s="363"/>
      <c r="P99" s="189"/>
      <c r="Q99" s="189"/>
      <c r="R99" s="189"/>
      <c r="S99" s="191"/>
    </row>
    <row r="100" spans="2:19" ht="15" x14ac:dyDescent="0.25">
      <c r="B100" s="188"/>
      <c r="C100" s="224">
        <v>4.4000000000000004</v>
      </c>
      <c r="D100" s="214" t="s">
        <v>857</v>
      </c>
      <c r="E100" s="261"/>
      <c r="F100" s="261"/>
      <c r="G100" s="261"/>
      <c r="H100" s="261"/>
      <c r="I100" s="261"/>
      <c r="J100" s="261"/>
      <c r="K100" s="261"/>
      <c r="L100" s="261"/>
      <c r="M100" s="474"/>
      <c r="N100" s="477"/>
      <c r="O100" s="400"/>
      <c r="P100" s="189"/>
      <c r="Q100" s="189"/>
      <c r="R100" s="189"/>
      <c r="S100" s="191"/>
    </row>
    <row r="101" spans="2:19" ht="15" x14ac:dyDescent="0.25">
      <c r="B101" s="188"/>
      <c r="C101" s="224"/>
      <c r="D101" s="214"/>
      <c r="E101" s="261"/>
      <c r="F101" s="261"/>
      <c r="G101" s="261"/>
      <c r="H101" s="261"/>
      <c r="I101" s="261"/>
      <c r="J101" s="261"/>
      <c r="K101" s="261"/>
      <c r="L101" s="261"/>
      <c r="M101" s="393"/>
      <c r="N101" s="394"/>
      <c r="O101" s="363"/>
      <c r="P101" s="189"/>
      <c r="Q101" s="189"/>
      <c r="R101" s="189"/>
      <c r="S101" s="191"/>
    </row>
    <row r="102" spans="2:19" ht="15" x14ac:dyDescent="0.25">
      <c r="B102" s="188"/>
      <c r="C102" s="224">
        <v>4.5</v>
      </c>
      <c r="D102" s="265" t="s">
        <v>1066</v>
      </c>
      <c r="E102" s="266"/>
      <c r="F102" s="266"/>
      <c r="G102" s="266"/>
      <c r="H102" s="266"/>
      <c r="I102" s="266"/>
      <c r="J102" s="266"/>
      <c r="K102" s="261"/>
      <c r="L102" s="261"/>
      <c r="M102" s="372"/>
      <c r="N102" s="478"/>
      <c r="O102" s="479"/>
      <c r="P102" s="189" t="s">
        <v>1084</v>
      </c>
      <c r="Q102" s="189"/>
      <c r="R102" s="189"/>
      <c r="S102" s="191"/>
    </row>
    <row r="103" spans="2:19" ht="15" x14ac:dyDescent="0.25">
      <c r="B103" s="188"/>
      <c r="C103" s="224"/>
      <c r="D103" s="267" t="s">
        <v>850</v>
      </c>
      <c r="E103" s="266"/>
      <c r="F103" s="266"/>
      <c r="G103" s="266"/>
      <c r="H103" s="266"/>
      <c r="I103" s="266"/>
      <c r="J103" s="266"/>
      <c r="K103" s="261"/>
      <c r="L103" s="261"/>
      <c r="M103" s="393"/>
      <c r="N103" s="394"/>
      <c r="O103" s="363"/>
      <c r="P103" s="261"/>
      <c r="Q103" s="189"/>
      <c r="R103" s="189"/>
      <c r="S103" s="191"/>
    </row>
    <row r="104" spans="2:19" ht="15" x14ac:dyDescent="0.25">
      <c r="B104" s="188"/>
      <c r="C104" s="224">
        <v>4.5999999999999996</v>
      </c>
      <c r="D104" s="267" t="s">
        <v>1055</v>
      </c>
      <c r="E104" s="261"/>
      <c r="F104" s="261"/>
      <c r="G104" s="261"/>
      <c r="H104" s="261"/>
      <c r="I104" s="261"/>
      <c r="J104" s="261"/>
      <c r="K104" s="261"/>
      <c r="L104" s="261"/>
      <c r="M104" s="398"/>
      <c r="N104" s="399"/>
      <c r="O104" s="400"/>
      <c r="P104" s="261"/>
      <c r="Q104" s="189"/>
      <c r="R104" s="189"/>
      <c r="S104" s="191"/>
    </row>
    <row r="105" spans="2:19" ht="15" x14ac:dyDescent="0.25">
      <c r="B105" s="188"/>
      <c r="C105" s="268"/>
      <c r="D105" s="267" t="s">
        <v>1056</v>
      </c>
      <c r="E105" s="261"/>
      <c r="F105" s="261"/>
      <c r="G105" s="261"/>
      <c r="H105" s="261"/>
      <c r="I105" s="261"/>
      <c r="J105" s="261"/>
      <c r="K105" s="261"/>
      <c r="L105" s="261"/>
      <c r="M105" s="538"/>
      <c r="N105" s="539"/>
      <c r="O105" s="443"/>
      <c r="P105" s="261"/>
      <c r="Q105" s="189"/>
      <c r="R105" s="189"/>
      <c r="S105" s="191"/>
    </row>
    <row r="106" spans="2:19" ht="15" thickBot="1" x14ac:dyDescent="0.25">
      <c r="B106" s="217"/>
      <c r="C106" s="206"/>
      <c r="D106" s="206"/>
      <c r="E106" s="206"/>
      <c r="F106" s="206"/>
      <c r="G106" s="206"/>
      <c r="H106" s="206"/>
      <c r="I106" s="206"/>
      <c r="J106" s="206"/>
      <c r="K106" s="206"/>
      <c r="L106" s="206"/>
      <c r="M106" s="206"/>
      <c r="N106" s="206"/>
      <c r="O106" s="206"/>
      <c r="P106" s="206"/>
      <c r="Q106" s="206"/>
      <c r="R106" s="206"/>
      <c r="S106" s="207"/>
    </row>
    <row r="107" spans="2:19" ht="15.75" thickTop="1" thickBot="1" x14ac:dyDescent="0.25"/>
    <row r="108" spans="2:19" ht="15" customHeight="1" thickTop="1" x14ac:dyDescent="0.25">
      <c r="B108" s="186"/>
      <c r="C108" s="187"/>
      <c r="D108" s="187"/>
      <c r="E108" s="187"/>
      <c r="F108" s="187"/>
      <c r="G108" s="187"/>
      <c r="H108" s="187"/>
      <c r="I108" s="187"/>
      <c r="J108" s="187"/>
      <c r="K108" s="187"/>
      <c r="L108" s="187"/>
      <c r="M108" s="187"/>
      <c r="N108" s="187"/>
      <c r="O108" s="187"/>
      <c r="P108" s="269"/>
      <c r="Q108" s="270"/>
      <c r="R108" s="271"/>
      <c r="S108" s="272"/>
    </row>
    <row r="109" spans="2:19" ht="15" customHeight="1" x14ac:dyDescent="0.25">
      <c r="B109" s="188"/>
      <c r="C109" s="210" t="s">
        <v>792</v>
      </c>
      <c r="D109" s="189"/>
      <c r="E109" s="189"/>
      <c r="F109" s="189"/>
      <c r="G109" s="189"/>
      <c r="H109" s="189"/>
      <c r="I109" s="189"/>
      <c r="J109" s="189"/>
      <c r="K109" s="189"/>
      <c r="L109" s="189"/>
      <c r="M109" s="273"/>
      <c r="N109" s="223"/>
      <c r="O109" s="189"/>
      <c r="P109" s="223"/>
      <c r="Q109" s="223"/>
      <c r="R109" s="223"/>
      <c r="S109" s="274"/>
    </row>
    <row r="110" spans="2:19" ht="15" customHeight="1" x14ac:dyDescent="0.2">
      <c r="B110" s="188"/>
      <c r="C110" s="408" t="s">
        <v>1753</v>
      </c>
      <c r="D110" s="409"/>
      <c r="E110" s="409"/>
      <c r="F110" s="409"/>
      <c r="G110" s="409"/>
      <c r="H110" s="409"/>
      <c r="I110" s="409"/>
      <c r="J110" s="409"/>
      <c r="K110" s="409"/>
      <c r="L110" s="410"/>
      <c r="M110" s="410"/>
      <c r="N110" s="410"/>
      <c r="O110" s="410"/>
      <c r="P110" s="410"/>
      <c r="Q110" s="410"/>
      <c r="R110" s="223"/>
      <c r="S110" s="274"/>
    </row>
    <row r="111" spans="2:19" ht="15" customHeight="1" x14ac:dyDescent="0.2">
      <c r="B111" s="188"/>
      <c r="C111" s="409"/>
      <c r="D111" s="409"/>
      <c r="E111" s="409"/>
      <c r="F111" s="409"/>
      <c r="G111" s="409"/>
      <c r="H111" s="409"/>
      <c r="I111" s="409"/>
      <c r="J111" s="409"/>
      <c r="K111" s="409"/>
      <c r="L111" s="410"/>
      <c r="M111" s="410"/>
      <c r="N111" s="410"/>
      <c r="O111" s="410"/>
      <c r="P111" s="410"/>
      <c r="Q111" s="410"/>
      <c r="R111" s="223"/>
      <c r="S111" s="274"/>
    </row>
    <row r="112" spans="2:19" ht="15" customHeight="1" x14ac:dyDescent="0.2">
      <c r="B112" s="188"/>
      <c r="C112" s="409"/>
      <c r="D112" s="409"/>
      <c r="E112" s="409"/>
      <c r="F112" s="409"/>
      <c r="G112" s="409"/>
      <c r="H112" s="409"/>
      <c r="I112" s="409"/>
      <c r="J112" s="409"/>
      <c r="K112" s="409"/>
      <c r="L112" s="410"/>
      <c r="M112" s="410"/>
      <c r="N112" s="410"/>
      <c r="O112" s="410"/>
      <c r="P112" s="410"/>
      <c r="Q112" s="410"/>
      <c r="R112" s="223"/>
      <c r="S112" s="274"/>
    </row>
    <row r="113" spans="2:19" ht="15" customHeight="1" x14ac:dyDescent="0.25">
      <c r="B113" s="188"/>
      <c r="C113" s="210"/>
      <c r="D113" s="189"/>
      <c r="E113" s="189"/>
      <c r="F113" s="189"/>
      <c r="G113" s="189"/>
      <c r="H113" s="189"/>
      <c r="I113" s="189"/>
      <c r="J113" s="189"/>
      <c r="K113" s="544" t="s">
        <v>64</v>
      </c>
      <c r="L113" s="545"/>
      <c r="M113" s="545"/>
      <c r="N113" s="189"/>
      <c r="O113" s="540" t="s">
        <v>1058</v>
      </c>
      <c r="P113" s="541"/>
      <c r="Q113" s="541"/>
      <c r="R113" s="223"/>
      <c r="S113" s="274"/>
    </row>
    <row r="114" spans="2:19" ht="15" customHeight="1" thickBot="1" x14ac:dyDescent="0.3">
      <c r="B114" s="188"/>
      <c r="C114" s="210"/>
      <c r="D114" s="189"/>
      <c r="E114" s="189"/>
      <c r="F114" s="189"/>
      <c r="G114" s="189"/>
      <c r="H114" s="189"/>
      <c r="I114" s="189"/>
      <c r="J114" s="189"/>
      <c r="K114" s="546"/>
      <c r="L114" s="546"/>
      <c r="M114" s="546"/>
      <c r="N114" s="189"/>
      <c r="O114" s="542" t="s">
        <v>1059</v>
      </c>
      <c r="P114" s="543"/>
      <c r="Q114" s="543"/>
      <c r="R114" s="223"/>
      <c r="S114" s="274"/>
    </row>
    <row r="115" spans="2:19" ht="15" customHeight="1" thickBot="1" x14ac:dyDescent="0.3">
      <c r="B115" s="188"/>
      <c r="C115" s="224">
        <v>5.0999999999999996</v>
      </c>
      <c r="D115" s="189" t="s">
        <v>1057</v>
      </c>
      <c r="E115" s="189"/>
      <c r="F115" s="189"/>
      <c r="G115" s="189"/>
      <c r="H115" s="189"/>
      <c r="I115" s="275" t="s">
        <v>1068</v>
      </c>
      <c r="J115" s="275" t="s">
        <v>1068</v>
      </c>
      <c r="K115" s="435"/>
      <c r="L115" s="480"/>
      <c r="M115" s="481"/>
      <c r="N115" s="223"/>
      <c r="O115" s="435"/>
      <c r="P115" s="480"/>
      <c r="Q115" s="481"/>
      <c r="R115" s="223"/>
      <c r="S115" s="274"/>
    </row>
    <row r="116" spans="2:19" ht="15" customHeight="1" x14ac:dyDescent="0.25">
      <c r="B116" s="188"/>
      <c r="C116" s="189"/>
      <c r="D116" s="189"/>
      <c r="E116" s="189"/>
      <c r="F116" s="189"/>
      <c r="G116" s="189"/>
      <c r="H116" s="189"/>
      <c r="I116" s="189"/>
      <c r="J116" s="189"/>
      <c r="K116" s="189"/>
      <c r="L116" s="189"/>
      <c r="M116" s="356"/>
      <c r="N116" s="401"/>
      <c r="O116" s="189"/>
      <c r="P116" s="405"/>
      <c r="Q116" s="406"/>
      <c r="R116" s="223"/>
      <c r="S116" s="274"/>
    </row>
    <row r="117" spans="2:19" ht="15" customHeight="1" x14ac:dyDescent="0.25">
      <c r="B117" s="198"/>
      <c r="C117" s="244" t="s">
        <v>1075</v>
      </c>
      <c r="D117" s="189"/>
      <c r="E117" s="189"/>
      <c r="F117" s="189"/>
      <c r="G117" s="189"/>
      <c r="H117" s="189"/>
      <c r="I117" s="189"/>
      <c r="J117" s="189"/>
      <c r="K117" s="547" t="s">
        <v>1076</v>
      </c>
      <c r="L117" s="548"/>
      <c r="M117" s="548"/>
      <c r="N117" s="276"/>
      <c r="O117" s="547" t="s">
        <v>1076</v>
      </c>
      <c r="P117" s="548"/>
      <c r="Q117" s="548"/>
      <c r="R117" s="412"/>
      <c r="S117" s="427"/>
    </row>
    <row r="118" spans="2:19" ht="15" customHeight="1" x14ac:dyDescent="0.25">
      <c r="B118" s="198"/>
      <c r="C118" s="196"/>
      <c r="D118" s="277"/>
      <c r="E118" s="189"/>
      <c r="F118" s="189"/>
      <c r="G118" s="189"/>
      <c r="H118" s="278" t="s">
        <v>847</v>
      </c>
      <c r="I118" s="196" t="s">
        <v>1060</v>
      </c>
      <c r="J118" s="189"/>
      <c r="K118" s="189"/>
      <c r="L118" s="192"/>
      <c r="M118" s="358"/>
      <c r="N118" s="401"/>
      <c r="O118" s="189"/>
      <c r="P118" s="407"/>
      <c r="Q118" s="359"/>
      <c r="R118" s="279"/>
      <c r="S118" s="274"/>
    </row>
    <row r="119" spans="2:19" ht="15" customHeight="1" x14ac:dyDescent="0.25">
      <c r="B119" s="198"/>
      <c r="C119" s="242" t="s">
        <v>37</v>
      </c>
      <c r="D119" s="192" t="s">
        <v>807</v>
      </c>
      <c r="E119" s="192"/>
      <c r="F119" s="192"/>
      <c r="G119" s="192"/>
      <c r="H119" s="189"/>
      <c r="I119" s="189"/>
      <c r="J119" s="189"/>
      <c r="K119" s="372"/>
      <c r="L119" s="373"/>
      <c r="M119" s="374"/>
      <c r="N119" s="189"/>
      <c r="O119" s="372"/>
      <c r="P119" s="373"/>
      <c r="Q119" s="374"/>
      <c r="R119" s="279"/>
      <c r="S119" s="274"/>
    </row>
    <row r="120" spans="2:19" ht="15" customHeight="1" x14ac:dyDescent="0.25">
      <c r="B120" s="198"/>
      <c r="C120" s="242" t="s">
        <v>38</v>
      </c>
      <c r="D120" s="192" t="s">
        <v>793</v>
      </c>
      <c r="E120" s="192"/>
      <c r="F120" s="192"/>
      <c r="G120" s="192"/>
      <c r="H120" s="189"/>
      <c r="I120" s="189"/>
      <c r="J120" s="189"/>
      <c r="K120" s="372"/>
      <c r="L120" s="373"/>
      <c r="M120" s="374"/>
      <c r="N120" s="189"/>
      <c r="O120" s="372"/>
      <c r="P120" s="373"/>
      <c r="Q120" s="374"/>
      <c r="R120" s="279"/>
      <c r="S120" s="274"/>
    </row>
    <row r="121" spans="2:19" ht="15" customHeight="1" x14ac:dyDescent="0.25">
      <c r="B121" s="198"/>
      <c r="C121" s="196"/>
      <c r="D121" s="249" t="s">
        <v>28</v>
      </c>
      <c r="E121" s="192"/>
      <c r="F121" s="192"/>
      <c r="G121" s="192"/>
      <c r="H121" s="189"/>
      <c r="I121" s="189"/>
      <c r="J121" s="189"/>
      <c r="K121" s="402"/>
      <c r="L121" s="363"/>
      <c r="M121" s="363"/>
      <c r="N121" s="223"/>
      <c r="O121" s="402"/>
      <c r="P121" s="363"/>
      <c r="Q121" s="363"/>
      <c r="R121" s="279"/>
      <c r="S121" s="274"/>
    </row>
    <row r="122" spans="2:19" ht="15" customHeight="1" x14ac:dyDescent="0.25">
      <c r="B122" s="198"/>
      <c r="C122" s="280" t="s">
        <v>6</v>
      </c>
      <c r="D122" s="192" t="s">
        <v>1069</v>
      </c>
      <c r="E122" s="192"/>
      <c r="F122" s="192"/>
      <c r="G122" s="192"/>
      <c r="H122" s="189"/>
      <c r="I122" s="189"/>
      <c r="J122" s="189"/>
      <c r="K122" s="372"/>
      <c r="L122" s="373"/>
      <c r="M122" s="374"/>
      <c r="N122" s="189"/>
      <c r="O122" s="372"/>
      <c r="P122" s="373"/>
      <c r="Q122" s="374"/>
      <c r="R122" s="279"/>
      <c r="S122" s="274"/>
    </row>
    <row r="123" spans="2:19" ht="15" customHeight="1" x14ac:dyDescent="0.25">
      <c r="B123" s="188"/>
      <c r="C123" s="280" t="s">
        <v>7</v>
      </c>
      <c r="D123" s="192" t="s">
        <v>1070</v>
      </c>
      <c r="E123" s="192"/>
      <c r="F123" s="192"/>
      <c r="G123" s="192"/>
      <c r="H123" s="189"/>
      <c r="I123" s="189"/>
      <c r="J123" s="189"/>
      <c r="K123" s="372"/>
      <c r="L123" s="373"/>
      <c r="M123" s="374"/>
      <c r="N123" s="189"/>
      <c r="O123" s="372"/>
      <c r="P123" s="373"/>
      <c r="Q123" s="374"/>
      <c r="R123" s="279"/>
      <c r="S123" s="274"/>
    </row>
    <row r="124" spans="2:19" ht="15" customHeight="1" x14ac:dyDescent="0.25">
      <c r="B124" s="188"/>
      <c r="C124" s="280" t="s">
        <v>8</v>
      </c>
      <c r="D124" s="192" t="s">
        <v>1071</v>
      </c>
      <c r="E124" s="192"/>
      <c r="F124" s="192"/>
      <c r="G124" s="192"/>
      <c r="H124" s="189"/>
      <c r="I124" s="189"/>
      <c r="J124" s="189"/>
      <c r="K124" s="372"/>
      <c r="L124" s="373"/>
      <c r="M124" s="374"/>
      <c r="N124" s="189"/>
      <c r="O124" s="372"/>
      <c r="P124" s="373"/>
      <c r="Q124" s="374"/>
      <c r="R124" s="279"/>
      <c r="S124" s="274"/>
    </row>
    <row r="125" spans="2:19" ht="15" customHeight="1" x14ac:dyDescent="0.25">
      <c r="B125" s="188"/>
      <c r="C125" s="242" t="s">
        <v>39</v>
      </c>
      <c r="D125" s="192" t="s">
        <v>794</v>
      </c>
      <c r="E125" s="192"/>
      <c r="F125" s="192"/>
      <c r="G125" s="192"/>
      <c r="H125" s="189"/>
      <c r="I125" s="189"/>
      <c r="J125" s="189"/>
      <c r="K125" s="372"/>
      <c r="L125" s="373"/>
      <c r="M125" s="374"/>
      <c r="N125" s="189"/>
      <c r="O125" s="372"/>
      <c r="P125" s="373"/>
      <c r="Q125" s="374"/>
      <c r="R125" s="279"/>
      <c r="S125" s="274"/>
    </row>
    <row r="126" spans="2:19" ht="15" customHeight="1" x14ac:dyDescent="0.25">
      <c r="B126" s="188"/>
      <c r="C126" s="242" t="s">
        <v>800</v>
      </c>
      <c r="D126" s="192" t="s">
        <v>795</v>
      </c>
      <c r="E126" s="192"/>
      <c r="F126" s="192"/>
      <c r="G126" s="192"/>
      <c r="H126" s="189"/>
      <c r="I126" s="189"/>
      <c r="J126" s="189"/>
      <c r="K126" s="372"/>
      <c r="L126" s="373"/>
      <c r="M126" s="374"/>
      <c r="N126" s="189"/>
      <c r="O126" s="372"/>
      <c r="P126" s="373"/>
      <c r="Q126" s="374"/>
      <c r="R126" s="279"/>
      <c r="S126" s="274"/>
    </row>
    <row r="127" spans="2:19" ht="15" customHeight="1" x14ac:dyDescent="0.25">
      <c r="B127" s="188"/>
      <c r="C127" s="242" t="s">
        <v>801</v>
      </c>
      <c r="D127" s="192" t="s">
        <v>796</v>
      </c>
      <c r="E127" s="192"/>
      <c r="F127" s="192"/>
      <c r="G127" s="192"/>
      <c r="H127" s="189"/>
      <c r="I127" s="189"/>
      <c r="J127" s="189"/>
      <c r="K127" s="372"/>
      <c r="L127" s="373"/>
      <c r="M127" s="374"/>
      <c r="N127" s="189"/>
      <c r="O127" s="372"/>
      <c r="P127" s="373"/>
      <c r="Q127" s="374"/>
      <c r="R127" s="335"/>
      <c r="S127" s="274"/>
    </row>
    <row r="128" spans="2:19" ht="15" customHeight="1" x14ac:dyDescent="0.25">
      <c r="B128" s="188"/>
      <c r="C128" s="242" t="s">
        <v>802</v>
      </c>
      <c r="D128" s="192" t="s">
        <v>797</v>
      </c>
      <c r="E128" s="192"/>
      <c r="F128" s="192"/>
      <c r="G128" s="192"/>
      <c r="H128" s="189"/>
      <c r="I128" s="189"/>
      <c r="J128" s="189"/>
      <c r="K128" s="372"/>
      <c r="L128" s="373"/>
      <c r="M128" s="374"/>
      <c r="N128" s="189"/>
      <c r="O128" s="372"/>
      <c r="P128" s="373"/>
      <c r="Q128" s="374"/>
      <c r="R128" s="279"/>
      <c r="S128" s="274"/>
    </row>
    <row r="129" spans="2:19" ht="15" customHeight="1" x14ac:dyDescent="0.25">
      <c r="B129" s="188"/>
      <c r="C129" s="242" t="s">
        <v>803</v>
      </c>
      <c r="D129" s="192" t="s">
        <v>798</v>
      </c>
      <c r="E129" s="192"/>
      <c r="F129" s="192"/>
      <c r="G129" s="192"/>
      <c r="H129" s="189"/>
      <c r="I129" s="189"/>
      <c r="J129" s="189"/>
      <c r="K129" s="372"/>
      <c r="L129" s="373"/>
      <c r="M129" s="374"/>
      <c r="N129" s="189"/>
      <c r="O129" s="372"/>
      <c r="P129" s="373"/>
      <c r="Q129" s="374"/>
      <c r="R129" s="279"/>
      <c r="S129" s="274"/>
    </row>
    <row r="130" spans="2:19" ht="15" customHeight="1" x14ac:dyDescent="0.25">
      <c r="B130" s="188"/>
      <c r="C130" s="242" t="s">
        <v>804</v>
      </c>
      <c r="D130" s="281" t="s">
        <v>799</v>
      </c>
      <c r="E130" s="281"/>
      <c r="F130" s="281"/>
      <c r="G130" s="281"/>
      <c r="H130" s="189"/>
      <c r="I130" s="189"/>
      <c r="J130" s="255"/>
      <c r="K130" s="372"/>
      <c r="L130" s="373"/>
      <c r="M130" s="374"/>
      <c r="N130" s="189"/>
      <c r="O130" s="372"/>
      <c r="P130" s="373"/>
      <c r="Q130" s="374"/>
      <c r="R130" s="279"/>
      <c r="S130" s="274"/>
    </row>
    <row r="131" spans="2:19" ht="15" customHeight="1" x14ac:dyDescent="0.25">
      <c r="B131" s="188"/>
      <c r="C131" s="255"/>
      <c r="D131" s="249" t="s">
        <v>28</v>
      </c>
      <c r="E131" s="281"/>
      <c r="F131" s="281"/>
      <c r="G131" s="281"/>
      <c r="H131" s="255"/>
      <c r="I131" s="255"/>
      <c r="J131" s="255"/>
      <c r="K131" s="402"/>
      <c r="L131" s="363"/>
      <c r="M131" s="363"/>
      <c r="N131" s="223"/>
      <c r="O131" s="402"/>
      <c r="P131" s="363"/>
      <c r="Q131" s="363"/>
      <c r="R131" s="279"/>
      <c r="S131" s="274"/>
    </row>
    <row r="132" spans="2:19" ht="15" customHeight="1" x14ac:dyDescent="0.25">
      <c r="B132" s="188"/>
      <c r="C132" s="250" t="s">
        <v>1061</v>
      </c>
      <c r="D132" s="281" t="s">
        <v>1067</v>
      </c>
      <c r="E132" s="281"/>
      <c r="F132" s="281"/>
      <c r="G132" s="281"/>
      <c r="H132" s="189"/>
      <c r="I132" s="189"/>
      <c r="J132" s="255"/>
      <c r="K132" s="372"/>
      <c r="L132" s="373"/>
      <c r="M132" s="374"/>
      <c r="N132" s="189"/>
      <c r="O132" s="372"/>
      <c r="P132" s="373"/>
      <c r="Q132" s="374"/>
      <c r="R132" s="279"/>
      <c r="S132" s="274"/>
    </row>
    <row r="133" spans="2:19" ht="15" customHeight="1" x14ac:dyDescent="0.25">
      <c r="B133" s="188"/>
      <c r="C133" s="242" t="s">
        <v>1774</v>
      </c>
      <c r="D133" s="281" t="s">
        <v>853</v>
      </c>
      <c r="E133" s="281"/>
      <c r="F133" s="281"/>
      <c r="G133" s="281"/>
      <c r="H133" s="189"/>
      <c r="I133" s="189"/>
      <c r="J133" s="255"/>
      <c r="K133" s="372"/>
      <c r="L133" s="373"/>
      <c r="M133" s="374"/>
      <c r="N133" s="189"/>
      <c r="O133" s="372"/>
      <c r="P133" s="373"/>
      <c r="Q133" s="374"/>
      <c r="R133" s="279"/>
      <c r="S133" s="274"/>
    </row>
    <row r="134" spans="2:19" ht="15" customHeight="1" x14ac:dyDescent="0.25">
      <c r="B134" s="188"/>
      <c r="C134" s="242" t="s">
        <v>897</v>
      </c>
      <c r="D134" s="281" t="s">
        <v>864</v>
      </c>
      <c r="E134" s="281"/>
      <c r="F134" s="281"/>
      <c r="G134" s="281"/>
      <c r="H134" s="189"/>
      <c r="I134" s="189"/>
      <c r="J134" s="255"/>
      <c r="K134" s="372"/>
      <c r="L134" s="373"/>
      <c r="M134" s="374"/>
      <c r="N134" s="189"/>
      <c r="O134" s="372"/>
      <c r="P134" s="373"/>
      <c r="Q134" s="374"/>
      <c r="R134" s="279"/>
      <c r="S134" s="274"/>
    </row>
    <row r="135" spans="2:19" ht="15" customHeight="1" x14ac:dyDescent="0.25">
      <c r="B135" s="188"/>
      <c r="C135" s="242" t="s">
        <v>898</v>
      </c>
      <c r="D135" s="281" t="s">
        <v>808</v>
      </c>
      <c r="E135" s="281"/>
      <c r="F135" s="281"/>
      <c r="G135" s="281"/>
      <c r="H135" s="189"/>
      <c r="I135" s="189"/>
      <c r="J135" s="255"/>
      <c r="K135" s="372"/>
      <c r="L135" s="373"/>
      <c r="M135" s="374"/>
      <c r="N135" s="189"/>
      <c r="O135" s="372"/>
      <c r="P135" s="373"/>
      <c r="Q135" s="374"/>
      <c r="R135" s="279"/>
      <c r="S135" s="274"/>
    </row>
    <row r="136" spans="2:19" ht="15" customHeight="1" thickBot="1" x14ac:dyDescent="0.3">
      <c r="B136" s="188"/>
      <c r="C136" s="242"/>
      <c r="D136" s="281"/>
      <c r="E136" s="281"/>
      <c r="F136" s="281"/>
      <c r="G136" s="281"/>
      <c r="H136" s="281"/>
      <c r="I136" s="255"/>
      <c r="J136" s="255"/>
      <c r="K136" s="255"/>
      <c r="L136" s="255"/>
      <c r="M136" s="223"/>
      <c r="N136" s="223"/>
      <c r="O136" s="189"/>
      <c r="P136" s="223"/>
      <c r="Q136" s="223"/>
      <c r="R136" s="279"/>
      <c r="S136" s="274"/>
    </row>
    <row r="137" spans="2:19" ht="15" customHeight="1" thickTop="1" thickBot="1" x14ac:dyDescent="0.3">
      <c r="B137" s="188"/>
      <c r="C137" s="282"/>
      <c r="D137" s="283"/>
      <c r="E137" s="283"/>
      <c r="F137" s="283"/>
      <c r="G137" s="283"/>
      <c r="H137" s="283"/>
      <c r="I137" s="284"/>
      <c r="J137" s="284"/>
      <c r="K137" s="284"/>
      <c r="L137" s="284"/>
      <c r="M137" s="285"/>
      <c r="N137" s="285"/>
      <c r="O137" s="286"/>
      <c r="P137" s="285"/>
      <c r="Q137" s="285"/>
      <c r="R137" s="279"/>
      <c r="S137" s="274"/>
    </row>
    <row r="138" spans="2:19" ht="15" customHeight="1" thickBot="1" x14ac:dyDescent="0.3">
      <c r="B138" s="188"/>
      <c r="C138" s="224">
        <v>5.2</v>
      </c>
      <c r="D138" s="189" t="s">
        <v>1077</v>
      </c>
      <c r="E138" s="189"/>
      <c r="F138" s="192"/>
      <c r="G138" s="192"/>
      <c r="H138" s="192"/>
      <c r="I138" s="275"/>
      <c r="J138" s="275"/>
      <c r="K138" s="435"/>
      <c r="L138" s="480"/>
      <c r="M138" s="481"/>
      <c r="N138" s="223"/>
      <c r="O138" s="223"/>
      <c r="P138" s="287"/>
      <c r="Q138" s="288"/>
      <c r="R138" s="279"/>
      <c r="S138" s="274"/>
    </row>
    <row r="139" spans="2:19" ht="15" customHeight="1" x14ac:dyDescent="0.25">
      <c r="B139" s="188"/>
      <c r="C139" s="224"/>
      <c r="D139" s="192" t="s">
        <v>1078</v>
      </c>
      <c r="E139" s="189"/>
      <c r="F139" s="192"/>
      <c r="G139" s="192"/>
      <c r="H139" s="192"/>
      <c r="I139" s="189"/>
      <c r="J139" s="189"/>
      <c r="K139" s="223"/>
      <c r="L139" s="223"/>
      <c r="M139" s="223"/>
      <c r="N139" s="223"/>
      <c r="O139" s="223"/>
      <c r="P139" s="287"/>
      <c r="Q139" s="288"/>
      <c r="R139" s="279"/>
      <c r="S139" s="274"/>
    </row>
    <row r="140" spans="2:19" ht="15" customHeight="1" x14ac:dyDescent="0.25">
      <c r="B140" s="188"/>
      <c r="C140" s="224"/>
      <c r="D140" s="192" t="s">
        <v>1079</v>
      </c>
      <c r="E140" s="189"/>
      <c r="F140" s="192"/>
      <c r="G140" s="192"/>
      <c r="H140" s="192"/>
      <c r="I140" s="189"/>
      <c r="J140" s="189"/>
      <c r="K140" s="223"/>
      <c r="L140" s="223"/>
      <c r="M140" s="223"/>
      <c r="N140" s="223"/>
      <c r="O140" s="223"/>
      <c r="P140" s="287"/>
      <c r="Q140" s="288"/>
      <c r="R140" s="279"/>
      <c r="S140" s="274"/>
    </row>
    <row r="141" spans="2:19" ht="15.75" thickBot="1" x14ac:dyDescent="0.3">
      <c r="B141" s="217"/>
      <c r="C141" s="206"/>
      <c r="D141" s="206"/>
      <c r="E141" s="206"/>
      <c r="F141" s="206"/>
      <c r="G141" s="206"/>
      <c r="H141" s="206"/>
      <c r="I141" s="206"/>
      <c r="J141" s="206"/>
      <c r="K141" s="206"/>
      <c r="L141" s="206"/>
      <c r="M141" s="360"/>
      <c r="N141" s="361"/>
      <c r="O141" s="206"/>
      <c r="P141" s="360"/>
      <c r="Q141" s="361"/>
      <c r="R141" s="206"/>
      <c r="S141" s="207"/>
    </row>
    <row r="142" spans="2:19" ht="15.75" thickTop="1" thickBot="1" x14ac:dyDescent="0.25"/>
    <row r="143" spans="2:19" ht="15" thickTop="1" x14ac:dyDescent="0.2">
      <c r="B143" s="186"/>
      <c r="C143" s="187"/>
      <c r="D143" s="187"/>
      <c r="E143" s="187"/>
      <c r="F143" s="187"/>
      <c r="G143" s="187"/>
      <c r="H143" s="187"/>
      <c r="I143" s="187"/>
      <c r="J143" s="187"/>
      <c r="K143" s="187"/>
      <c r="L143" s="187"/>
      <c r="M143" s="187"/>
      <c r="N143" s="187"/>
      <c r="O143" s="187"/>
      <c r="P143" s="187"/>
      <c r="Q143" s="187"/>
      <c r="R143" s="187"/>
      <c r="S143" s="209"/>
    </row>
    <row r="144" spans="2:19" ht="15.75" x14ac:dyDescent="0.25">
      <c r="B144" s="188"/>
      <c r="C144" s="210" t="s">
        <v>865</v>
      </c>
      <c r="D144" s="289"/>
      <c r="E144" s="189"/>
      <c r="F144" s="189" t="str">
        <f>IF(ISTEXT(O43), O43, "")</f>
        <v/>
      </c>
      <c r="G144" s="189"/>
      <c r="H144" s="189"/>
      <c r="I144" s="189"/>
      <c r="J144" s="189"/>
      <c r="K144" s="189"/>
      <c r="L144" s="189"/>
      <c r="M144" s="189"/>
      <c r="N144" s="189"/>
      <c r="O144" s="189"/>
      <c r="P144" s="189"/>
      <c r="Q144" s="189"/>
      <c r="R144" s="189"/>
      <c r="S144" s="191"/>
    </row>
    <row r="145" spans="2:19" ht="16.5" thickBot="1" x14ac:dyDescent="0.3">
      <c r="B145" s="188"/>
      <c r="C145" s="210"/>
      <c r="D145" s="289"/>
      <c r="E145" s="189"/>
      <c r="F145" s="189"/>
      <c r="G145" s="189"/>
      <c r="H145" s="189"/>
      <c r="I145" s="189"/>
      <c r="J145" s="189"/>
      <c r="K145" s="411" t="s">
        <v>1526</v>
      </c>
      <c r="L145" s="411"/>
      <c r="M145" s="411"/>
      <c r="N145" s="290"/>
      <c r="O145" s="411" t="s">
        <v>1527</v>
      </c>
      <c r="P145" s="411"/>
      <c r="Q145" s="411"/>
      <c r="R145" s="189"/>
      <c r="S145" s="191"/>
    </row>
    <row r="146" spans="2:19" ht="16.5" thickTop="1" thickBot="1" x14ac:dyDescent="0.3">
      <c r="B146" s="188"/>
      <c r="C146" s="291">
        <v>6.1</v>
      </c>
      <c r="D146" s="277" t="s">
        <v>1026</v>
      </c>
      <c r="E146" s="289"/>
      <c r="F146" s="189"/>
      <c r="G146" s="189"/>
      <c r="H146" s="189"/>
      <c r="I146" s="412" t="str">
        <f>IF((SUM(K148,K169,K181))&lt;&gt;K146,(SUM(K148,K169,K181)),"")</f>
        <v/>
      </c>
      <c r="J146" s="412"/>
      <c r="K146" s="421">
        <f>SUM(K148,K169,K181)</f>
        <v>0</v>
      </c>
      <c r="L146" s="422"/>
      <c r="M146" s="423"/>
      <c r="N146" s="292"/>
      <c r="O146" s="421">
        <f>SUM(O148,O169,O181)</f>
        <v>0</v>
      </c>
      <c r="P146" s="422"/>
      <c r="Q146" s="423"/>
      <c r="R146" s="472" t="str">
        <f>IF((SUM(O148,O169,O181))&lt;&gt;O146,(SUM(O148,O169,O181)),"")</f>
        <v/>
      </c>
      <c r="S146" s="427"/>
    </row>
    <row r="147" spans="2:19" ht="16.5" thickTop="1" thickBot="1" x14ac:dyDescent="0.3">
      <c r="B147" s="188"/>
      <c r="C147" s="277"/>
      <c r="D147" s="289"/>
      <c r="E147" s="189"/>
      <c r="F147" s="189"/>
      <c r="G147" s="189"/>
      <c r="H147" s="189"/>
      <c r="I147" s="276"/>
      <c r="J147" s="276"/>
      <c r="K147" s="375"/>
      <c r="L147" s="376"/>
      <c r="M147" s="376"/>
      <c r="N147" s="292"/>
      <c r="O147" s="375"/>
      <c r="P147" s="376"/>
      <c r="Q147" s="376"/>
      <c r="R147" s="276"/>
      <c r="S147" s="293"/>
    </row>
    <row r="148" spans="2:19" ht="15.75" thickBot="1" x14ac:dyDescent="0.3">
      <c r="B148" s="188"/>
      <c r="C148" s="294" t="s">
        <v>41</v>
      </c>
      <c r="D148" s="295" t="s">
        <v>1025</v>
      </c>
      <c r="E148" s="296"/>
      <c r="F148" s="296"/>
      <c r="G148" s="296"/>
      <c r="H148" s="296"/>
      <c r="I148" s="403" t="str">
        <f>IF((SUM(K150:K161,K163:K165,K167))&lt;&gt;K148,(SUM(K150:K161,K163:K165,K167)),"")</f>
        <v/>
      </c>
      <c r="J148" s="404"/>
      <c r="K148" s="382">
        <f>SUM(K150:M161, K163:M165,K167)</f>
        <v>0</v>
      </c>
      <c r="L148" s="383"/>
      <c r="M148" s="384"/>
      <c r="N148" s="296"/>
      <c r="O148" s="382">
        <f>SUM(O150:Q161, O163:Q165,O167)</f>
        <v>0</v>
      </c>
      <c r="P148" s="383"/>
      <c r="Q148" s="384"/>
      <c r="R148" s="412" t="str">
        <f>IF((SUM(O150:O161,O163:O165,O167))&lt;&gt;O148,(SUM(O150:O161,O163:O165,O167)),"")</f>
        <v/>
      </c>
      <c r="S148" s="429"/>
    </row>
    <row r="149" spans="2:19" ht="15" x14ac:dyDescent="0.25">
      <c r="B149" s="188"/>
      <c r="C149" s="277"/>
      <c r="D149" s="289"/>
      <c r="E149" s="189"/>
      <c r="F149" s="189"/>
      <c r="G149" s="189"/>
      <c r="H149" s="189"/>
      <c r="I149" s="276"/>
      <c r="J149" s="276"/>
      <c r="K149" s="377"/>
      <c r="L149" s="365"/>
      <c r="M149" s="365"/>
      <c r="N149" s="189"/>
      <c r="O149" s="377"/>
      <c r="P149" s="365"/>
      <c r="Q149" s="365"/>
      <c r="R149" s="276"/>
      <c r="S149" s="293"/>
    </row>
    <row r="150" spans="2:19" ht="15" x14ac:dyDescent="0.25">
      <c r="B150" s="188"/>
      <c r="C150" s="297" t="s">
        <v>866</v>
      </c>
      <c r="D150" s="298" t="s">
        <v>882</v>
      </c>
      <c r="E150" s="255"/>
      <c r="F150" s="189"/>
      <c r="G150" s="189"/>
      <c r="H150" s="189"/>
      <c r="I150" s="276"/>
      <c r="J150" s="276"/>
      <c r="K150" s="372"/>
      <c r="L150" s="373"/>
      <c r="M150" s="374"/>
      <c r="N150" s="189"/>
      <c r="O150" s="372"/>
      <c r="P150" s="373"/>
      <c r="Q150" s="374"/>
      <c r="R150" s="276"/>
      <c r="S150" s="293"/>
    </row>
    <row r="151" spans="2:19" ht="15" x14ac:dyDescent="0.25">
      <c r="B151" s="188"/>
      <c r="C151" s="297" t="s">
        <v>867</v>
      </c>
      <c r="D151" s="298" t="s">
        <v>883</v>
      </c>
      <c r="E151" s="255"/>
      <c r="F151" s="189"/>
      <c r="G151" s="189"/>
      <c r="H151" s="189"/>
      <c r="I151" s="276"/>
      <c r="J151" s="276"/>
      <c r="K151" s="372"/>
      <c r="L151" s="373"/>
      <c r="M151" s="374"/>
      <c r="N151" s="189"/>
      <c r="O151" s="372"/>
      <c r="P151" s="373"/>
      <c r="Q151" s="374"/>
      <c r="R151" s="276"/>
      <c r="S151" s="293"/>
    </row>
    <row r="152" spans="2:19" ht="15" x14ac:dyDescent="0.25">
      <c r="B152" s="188"/>
      <c r="C152" s="297" t="s">
        <v>868</v>
      </c>
      <c r="D152" s="298" t="s">
        <v>884</v>
      </c>
      <c r="E152" s="255"/>
      <c r="F152" s="189"/>
      <c r="G152" s="189"/>
      <c r="H152" s="189"/>
      <c r="I152" s="276"/>
      <c r="J152" s="276"/>
      <c r="K152" s="372"/>
      <c r="L152" s="373"/>
      <c r="M152" s="374"/>
      <c r="N152" s="189"/>
      <c r="O152" s="372"/>
      <c r="P152" s="373"/>
      <c r="Q152" s="374"/>
      <c r="R152" s="276"/>
      <c r="S152" s="293"/>
    </row>
    <row r="153" spans="2:19" ht="15" x14ac:dyDescent="0.25">
      <c r="B153" s="188"/>
      <c r="C153" s="297" t="s">
        <v>869</v>
      </c>
      <c r="D153" s="298" t="s">
        <v>885</v>
      </c>
      <c r="E153" s="255"/>
      <c r="F153" s="189"/>
      <c r="G153" s="189"/>
      <c r="H153" s="189"/>
      <c r="I153" s="276"/>
      <c r="J153" s="276"/>
      <c r="K153" s="372"/>
      <c r="L153" s="373"/>
      <c r="M153" s="374"/>
      <c r="N153" s="189"/>
      <c r="O153" s="372"/>
      <c r="P153" s="373"/>
      <c r="Q153" s="374"/>
      <c r="R153" s="276"/>
      <c r="S153" s="293"/>
    </row>
    <row r="154" spans="2:19" ht="15" x14ac:dyDescent="0.25">
      <c r="B154" s="188"/>
      <c r="C154" s="297" t="s">
        <v>870</v>
      </c>
      <c r="D154" s="298" t="s">
        <v>886</v>
      </c>
      <c r="E154" s="255"/>
      <c r="F154" s="189"/>
      <c r="G154" s="189"/>
      <c r="H154" s="189"/>
      <c r="I154" s="276"/>
      <c r="J154" s="276"/>
      <c r="K154" s="372"/>
      <c r="L154" s="373"/>
      <c r="M154" s="374"/>
      <c r="N154" s="189"/>
      <c r="O154" s="372"/>
      <c r="P154" s="373"/>
      <c r="Q154" s="374"/>
      <c r="R154" s="276"/>
      <c r="S154" s="293"/>
    </row>
    <row r="155" spans="2:19" ht="15" x14ac:dyDescent="0.25">
      <c r="B155" s="188"/>
      <c r="C155" s="297" t="s">
        <v>871</v>
      </c>
      <c r="D155" s="298" t="s">
        <v>887</v>
      </c>
      <c r="E155" s="255"/>
      <c r="F155" s="189"/>
      <c r="G155" s="189"/>
      <c r="H155" s="189"/>
      <c r="I155" s="276"/>
      <c r="J155" s="276"/>
      <c r="K155" s="372"/>
      <c r="L155" s="373"/>
      <c r="M155" s="374"/>
      <c r="N155" s="189"/>
      <c r="O155" s="372"/>
      <c r="P155" s="373"/>
      <c r="Q155" s="374"/>
      <c r="R155" s="276"/>
      <c r="S155" s="293"/>
    </row>
    <row r="156" spans="2:19" ht="15" x14ac:dyDescent="0.25">
      <c r="B156" s="188"/>
      <c r="C156" s="297" t="s">
        <v>872</v>
      </c>
      <c r="D156" s="298" t="s">
        <v>888</v>
      </c>
      <c r="E156" s="255"/>
      <c r="F156" s="189"/>
      <c r="G156" s="189"/>
      <c r="H156" s="189"/>
      <c r="I156" s="276"/>
      <c r="J156" s="276"/>
      <c r="K156" s="372"/>
      <c r="L156" s="373"/>
      <c r="M156" s="374"/>
      <c r="N156" s="189"/>
      <c r="O156" s="372"/>
      <c r="P156" s="373"/>
      <c r="Q156" s="374"/>
      <c r="R156" s="276"/>
      <c r="S156" s="293"/>
    </row>
    <row r="157" spans="2:19" ht="15" x14ac:dyDescent="0.25">
      <c r="B157" s="188"/>
      <c r="C157" s="297" t="s">
        <v>873</v>
      </c>
      <c r="D157" s="298" t="s">
        <v>889</v>
      </c>
      <c r="E157" s="255"/>
      <c r="F157" s="189"/>
      <c r="G157" s="189"/>
      <c r="H157" s="189"/>
      <c r="I157" s="276"/>
      <c r="J157" s="276"/>
      <c r="K157" s="372"/>
      <c r="L157" s="373"/>
      <c r="M157" s="374"/>
      <c r="N157" s="189"/>
      <c r="O157" s="372"/>
      <c r="P157" s="373"/>
      <c r="Q157" s="374"/>
      <c r="R157" s="276"/>
      <c r="S157" s="293"/>
    </row>
    <row r="158" spans="2:19" ht="15" x14ac:dyDescent="0.25">
      <c r="B158" s="188"/>
      <c r="C158" s="297" t="s">
        <v>874</v>
      </c>
      <c r="D158" s="298" t="s">
        <v>890</v>
      </c>
      <c r="E158" s="255"/>
      <c r="F158" s="189"/>
      <c r="G158" s="189"/>
      <c r="H158" s="189"/>
      <c r="I158" s="276"/>
      <c r="J158" s="276"/>
      <c r="K158" s="372"/>
      <c r="L158" s="373"/>
      <c r="M158" s="374"/>
      <c r="N158" s="189"/>
      <c r="O158" s="372"/>
      <c r="P158" s="373"/>
      <c r="Q158" s="374"/>
      <c r="R158" s="276"/>
      <c r="S158" s="293"/>
    </row>
    <row r="159" spans="2:19" ht="15" x14ac:dyDescent="0.25">
      <c r="B159" s="188"/>
      <c r="C159" s="297" t="s">
        <v>875</v>
      </c>
      <c r="D159" s="298" t="s">
        <v>891</v>
      </c>
      <c r="E159" s="255"/>
      <c r="F159" s="189"/>
      <c r="G159" s="189"/>
      <c r="H159" s="189"/>
      <c r="I159" s="276"/>
      <c r="J159" s="276"/>
      <c r="K159" s="372"/>
      <c r="L159" s="373"/>
      <c r="M159" s="374"/>
      <c r="N159" s="189"/>
      <c r="O159" s="372"/>
      <c r="P159" s="373"/>
      <c r="Q159" s="374"/>
      <c r="R159" s="276"/>
      <c r="S159" s="293"/>
    </row>
    <row r="160" spans="2:19" ht="15" x14ac:dyDescent="0.25">
      <c r="B160" s="188"/>
      <c r="C160" s="297" t="s">
        <v>876</v>
      </c>
      <c r="D160" s="298" t="s">
        <v>892</v>
      </c>
      <c r="E160" s="255"/>
      <c r="F160" s="189"/>
      <c r="G160" s="189"/>
      <c r="H160" s="189"/>
      <c r="I160" s="276"/>
      <c r="J160" s="276"/>
      <c r="K160" s="372"/>
      <c r="L160" s="373"/>
      <c r="M160" s="374"/>
      <c r="N160" s="189"/>
      <c r="O160" s="372"/>
      <c r="P160" s="373"/>
      <c r="Q160" s="374"/>
      <c r="R160" s="336"/>
      <c r="S160" s="293"/>
    </row>
    <row r="161" spans="2:19" ht="15" x14ac:dyDescent="0.25">
      <c r="B161" s="188"/>
      <c r="C161" s="297" t="s">
        <v>877</v>
      </c>
      <c r="D161" s="298" t="s">
        <v>4</v>
      </c>
      <c r="E161" s="255"/>
      <c r="F161" s="189"/>
      <c r="G161" s="189"/>
      <c r="H161" s="189"/>
      <c r="I161" s="276"/>
      <c r="J161" s="276"/>
      <c r="K161" s="372"/>
      <c r="L161" s="373"/>
      <c r="M161" s="374"/>
      <c r="N161" s="189"/>
      <c r="O161" s="372"/>
      <c r="P161" s="373"/>
      <c r="Q161" s="374"/>
      <c r="R161" s="276"/>
      <c r="S161" s="293"/>
    </row>
    <row r="162" spans="2:19" ht="15" x14ac:dyDescent="0.25">
      <c r="B162" s="188"/>
      <c r="C162" s="299" t="s">
        <v>893</v>
      </c>
      <c r="D162" s="298" t="s">
        <v>1356</v>
      </c>
      <c r="E162" s="255"/>
      <c r="F162" s="189"/>
      <c r="G162" s="189"/>
      <c r="H162" s="189"/>
      <c r="I162" s="276"/>
      <c r="J162" s="276"/>
      <c r="K162" s="372"/>
      <c r="L162" s="373"/>
      <c r="M162" s="374"/>
      <c r="N162" s="189"/>
      <c r="O162" s="372"/>
      <c r="P162" s="373"/>
      <c r="Q162" s="374"/>
      <c r="R162" s="276"/>
      <c r="S162" s="293"/>
    </row>
    <row r="163" spans="2:19" ht="15" x14ac:dyDescent="0.25">
      <c r="B163" s="188"/>
      <c r="C163" s="297" t="s">
        <v>878</v>
      </c>
      <c r="D163" s="298" t="s">
        <v>894</v>
      </c>
      <c r="E163" s="255"/>
      <c r="F163" s="189"/>
      <c r="G163" s="189"/>
      <c r="H163" s="189"/>
      <c r="I163" s="276"/>
      <c r="J163" s="276"/>
      <c r="K163" s="372"/>
      <c r="L163" s="373"/>
      <c r="M163" s="374"/>
      <c r="N163" s="189"/>
      <c r="O163" s="372"/>
      <c r="P163" s="373"/>
      <c r="Q163" s="374"/>
      <c r="R163" s="276"/>
      <c r="S163" s="293"/>
    </row>
    <row r="164" spans="2:19" ht="15" x14ac:dyDescent="0.25">
      <c r="B164" s="188"/>
      <c r="C164" s="297" t="s">
        <v>879</v>
      </c>
      <c r="D164" s="298" t="s">
        <v>5</v>
      </c>
      <c r="E164" s="255"/>
      <c r="F164" s="189"/>
      <c r="G164" s="189"/>
      <c r="H164" s="189"/>
      <c r="I164" s="276"/>
      <c r="J164" s="276"/>
      <c r="K164" s="372"/>
      <c r="L164" s="373"/>
      <c r="M164" s="374"/>
      <c r="N164" s="189"/>
      <c r="O164" s="372"/>
      <c r="P164" s="373"/>
      <c r="Q164" s="374"/>
      <c r="R164" s="276"/>
      <c r="S164" s="293"/>
    </row>
    <row r="165" spans="2:19" ht="15" x14ac:dyDescent="0.25">
      <c r="B165" s="188"/>
      <c r="C165" s="297" t="s">
        <v>880</v>
      </c>
      <c r="D165" s="298" t="s">
        <v>895</v>
      </c>
      <c r="E165" s="255"/>
      <c r="F165" s="189"/>
      <c r="G165" s="189"/>
      <c r="H165" s="189"/>
      <c r="I165" s="276"/>
      <c r="J165" s="276"/>
      <c r="K165" s="372"/>
      <c r="L165" s="373"/>
      <c r="M165" s="374"/>
      <c r="N165" s="189"/>
      <c r="O165" s="372"/>
      <c r="P165" s="373"/>
      <c r="Q165" s="374"/>
      <c r="R165" s="276"/>
      <c r="S165" s="293"/>
    </row>
    <row r="166" spans="2:19" ht="15" x14ac:dyDescent="0.25">
      <c r="B166" s="188"/>
      <c r="C166" s="297" t="s">
        <v>881</v>
      </c>
      <c r="D166" s="298" t="s">
        <v>896</v>
      </c>
      <c r="E166" s="255"/>
      <c r="F166" s="189"/>
      <c r="G166" s="189"/>
      <c r="H166" s="189"/>
      <c r="I166" s="276"/>
      <c r="J166" s="276"/>
      <c r="K166" s="378"/>
      <c r="L166" s="363"/>
      <c r="M166" s="363"/>
      <c r="N166" s="189"/>
      <c r="O166" s="378"/>
      <c r="P166" s="363"/>
      <c r="Q166" s="363"/>
      <c r="R166" s="276"/>
      <c r="S166" s="293"/>
    </row>
    <row r="167" spans="2:19" ht="15" x14ac:dyDescent="0.25">
      <c r="B167" s="188"/>
      <c r="C167" s="277"/>
      <c r="D167" s="438"/>
      <c r="E167" s="439"/>
      <c r="F167" s="439"/>
      <c r="G167" s="439"/>
      <c r="H167" s="439"/>
      <c r="I167" s="440"/>
      <c r="J167" s="189"/>
      <c r="K167" s="372"/>
      <c r="L167" s="373"/>
      <c r="M167" s="374"/>
      <c r="N167" s="276"/>
      <c r="O167" s="372"/>
      <c r="P167" s="373"/>
      <c r="Q167" s="374"/>
      <c r="R167" s="276"/>
      <c r="S167" s="293"/>
    </row>
    <row r="168" spans="2:19" ht="15.75" thickBot="1" x14ac:dyDescent="0.3">
      <c r="B168" s="188"/>
      <c r="C168" s="277"/>
      <c r="D168" s="289"/>
      <c r="E168" s="189"/>
      <c r="F168" s="189"/>
      <c r="G168" s="189"/>
      <c r="H168" s="189"/>
      <c r="I168" s="276"/>
      <c r="J168" s="189"/>
      <c r="K168" s="379"/>
      <c r="L168" s="380"/>
      <c r="M168" s="380"/>
      <c r="N168" s="276"/>
      <c r="O168" s="379"/>
      <c r="P168" s="380"/>
      <c r="Q168" s="380"/>
      <c r="R168" s="276"/>
      <c r="S168" s="293"/>
    </row>
    <row r="169" spans="2:19" ht="15.75" thickBot="1" x14ac:dyDescent="0.3">
      <c r="B169" s="188"/>
      <c r="C169" s="294" t="s">
        <v>42</v>
      </c>
      <c r="D169" s="295" t="s">
        <v>1072</v>
      </c>
      <c r="E169" s="296"/>
      <c r="F169" s="296"/>
      <c r="G169" s="296"/>
      <c r="H169" s="296"/>
      <c r="I169" s="403" t="str">
        <f>IF((SUM(K171:K177,K179))&lt;&gt;K169,(SUM(K171:K177,K179)),"")</f>
        <v/>
      </c>
      <c r="J169" s="404"/>
      <c r="K169" s="382">
        <f>SUM(K171:M177,K179)</f>
        <v>0</v>
      </c>
      <c r="L169" s="383"/>
      <c r="M169" s="384"/>
      <c r="N169" s="296"/>
      <c r="O169" s="382">
        <f>SUM(O171:Q177,O179)</f>
        <v>0</v>
      </c>
      <c r="P169" s="383"/>
      <c r="Q169" s="384"/>
      <c r="R169" s="412" t="str">
        <f>IF((SUM(O171:O177,O179))&lt;&gt;O169,(SUM(O171:O177,O179)),"")</f>
        <v/>
      </c>
      <c r="S169" s="429"/>
    </row>
    <row r="170" spans="2:19" ht="15" x14ac:dyDescent="0.25">
      <c r="B170" s="188"/>
      <c r="C170" s="277"/>
      <c r="D170" s="289"/>
      <c r="E170" s="189"/>
      <c r="F170" s="189"/>
      <c r="G170" s="189"/>
      <c r="H170" s="189"/>
      <c r="I170" s="276"/>
      <c r="J170" s="189"/>
      <c r="K170" s="377"/>
      <c r="L170" s="365"/>
      <c r="M170" s="365"/>
      <c r="N170" s="276"/>
      <c r="O170" s="377"/>
      <c r="P170" s="365"/>
      <c r="Q170" s="365"/>
      <c r="R170" s="276"/>
      <c r="S170" s="293"/>
    </row>
    <row r="171" spans="2:19" ht="15" x14ac:dyDescent="0.25">
      <c r="B171" s="188"/>
      <c r="C171" s="297" t="s">
        <v>899</v>
      </c>
      <c r="D171" s="298" t="s">
        <v>906</v>
      </c>
      <c r="E171" s="255"/>
      <c r="F171" s="255"/>
      <c r="G171" s="255"/>
      <c r="H171" s="255"/>
      <c r="I171" s="276"/>
      <c r="J171" s="189"/>
      <c r="K171" s="372"/>
      <c r="L171" s="373"/>
      <c r="M171" s="374"/>
      <c r="N171" s="276"/>
      <c r="O171" s="372"/>
      <c r="P171" s="373"/>
      <c r="Q171" s="374"/>
      <c r="R171" s="276"/>
      <c r="S171" s="293"/>
    </row>
    <row r="172" spans="2:19" ht="15" x14ac:dyDescent="0.25">
      <c r="B172" s="188"/>
      <c r="C172" s="299" t="s">
        <v>907</v>
      </c>
      <c r="D172" s="298" t="s">
        <v>920</v>
      </c>
      <c r="E172" s="255"/>
      <c r="F172" s="255"/>
      <c r="G172" s="255"/>
      <c r="H172" s="255"/>
      <c r="I172" s="276"/>
      <c r="J172" s="189"/>
      <c r="K172" s="372"/>
      <c r="L172" s="373"/>
      <c r="M172" s="374"/>
      <c r="N172" s="276"/>
      <c r="O172" s="372"/>
      <c r="P172" s="373"/>
      <c r="Q172" s="374"/>
      <c r="R172" s="276"/>
      <c r="S172" s="293"/>
    </row>
    <row r="173" spans="2:19" ht="15" x14ac:dyDescent="0.25">
      <c r="B173" s="188"/>
      <c r="C173" s="297" t="s">
        <v>900</v>
      </c>
      <c r="D173" s="298" t="s">
        <v>908</v>
      </c>
      <c r="E173" s="255"/>
      <c r="F173" s="255"/>
      <c r="G173" s="255"/>
      <c r="H173" s="255"/>
      <c r="I173" s="276"/>
      <c r="J173" s="189"/>
      <c r="K173" s="372"/>
      <c r="L173" s="373"/>
      <c r="M173" s="374"/>
      <c r="N173" s="276"/>
      <c r="O173" s="372"/>
      <c r="P173" s="373"/>
      <c r="Q173" s="374"/>
      <c r="R173" s="276"/>
      <c r="S173" s="293"/>
    </row>
    <row r="174" spans="2:19" ht="15" x14ac:dyDescent="0.25">
      <c r="B174" s="188"/>
      <c r="C174" s="297" t="s">
        <v>901</v>
      </c>
      <c r="D174" s="298" t="s">
        <v>909</v>
      </c>
      <c r="E174" s="255"/>
      <c r="F174" s="255"/>
      <c r="G174" s="255"/>
      <c r="H174" s="255"/>
      <c r="I174" s="276"/>
      <c r="J174" s="189"/>
      <c r="K174" s="372"/>
      <c r="L174" s="373"/>
      <c r="M174" s="374"/>
      <c r="N174" s="276"/>
      <c r="O174" s="372"/>
      <c r="P174" s="373"/>
      <c r="Q174" s="374"/>
      <c r="R174" s="276"/>
      <c r="S174" s="293"/>
    </row>
    <row r="175" spans="2:19" ht="15" x14ac:dyDescent="0.25">
      <c r="B175" s="188"/>
      <c r="C175" s="297" t="s">
        <v>902</v>
      </c>
      <c r="D175" s="298" t="s">
        <v>910</v>
      </c>
      <c r="E175" s="255"/>
      <c r="F175" s="255"/>
      <c r="G175" s="255"/>
      <c r="H175" s="255"/>
      <c r="I175" s="276"/>
      <c r="J175" s="189"/>
      <c r="K175" s="372"/>
      <c r="L175" s="373"/>
      <c r="M175" s="374"/>
      <c r="N175" s="276"/>
      <c r="O175" s="372"/>
      <c r="P175" s="373"/>
      <c r="Q175" s="374"/>
      <c r="R175" s="276"/>
      <c r="S175" s="293"/>
    </row>
    <row r="176" spans="2:19" ht="15" x14ac:dyDescent="0.25">
      <c r="B176" s="188"/>
      <c r="C176" s="297" t="s">
        <v>903</v>
      </c>
      <c r="D176" s="298" t="s">
        <v>911</v>
      </c>
      <c r="E176" s="255"/>
      <c r="F176" s="255"/>
      <c r="G176" s="255"/>
      <c r="H176" s="255"/>
      <c r="I176" s="276"/>
      <c r="J176" s="189"/>
      <c r="K176" s="372"/>
      <c r="L176" s="373"/>
      <c r="M176" s="374"/>
      <c r="N176" s="276"/>
      <c r="O176" s="372"/>
      <c r="P176" s="373"/>
      <c r="Q176" s="374"/>
      <c r="R176" s="276"/>
      <c r="S176" s="293"/>
    </row>
    <row r="177" spans="2:19" ht="15" x14ac:dyDescent="0.25">
      <c r="B177" s="188"/>
      <c r="C177" s="297" t="s">
        <v>904</v>
      </c>
      <c r="D177" s="298" t="s">
        <v>9</v>
      </c>
      <c r="E177" s="255"/>
      <c r="F177" s="255"/>
      <c r="G177" s="255"/>
      <c r="H177" s="255"/>
      <c r="I177" s="276"/>
      <c r="J177" s="189"/>
      <c r="K177" s="372"/>
      <c r="L177" s="373"/>
      <c r="M177" s="374"/>
      <c r="N177" s="276"/>
      <c r="O177" s="372"/>
      <c r="P177" s="373"/>
      <c r="Q177" s="374"/>
      <c r="R177" s="276"/>
      <c r="S177" s="293"/>
    </row>
    <row r="178" spans="2:19" ht="15" x14ac:dyDescent="0.25">
      <c r="B178" s="188"/>
      <c r="C178" s="297" t="s">
        <v>905</v>
      </c>
      <c r="D178" s="298" t="s">
        <v>912</v>
      </c>
      <c r="E178" s="255"/>
      <c r="F178" s="255"/>
      <c r="G178" s="255"/>
      <c r="H178" s="255"/>
      <c r="I178" s="276"/>
      <c r="J178" s="189"/>
      <c r="K178" s="378"/>
      <c r="L178" s="363"/>
      <c r="M178" s="363"/>
      <c r="N178" s="189"/>
      <c r="O178" s="378"/>
      <c r="P178" s="363"/>
      <c r="Q178" s="363"/>
      <c r="R178" s="276"/>
      <c r="S178" s="293"/>
    </row>
    <row r="179" spans="2:19" ht="15" x14ac:dyDescent="0.25">
      <c r="B179" s="188"/>
      <c r="C179" s="297"/>
      <c r="D179" s="438"/>
      <c r="E179" s="482"/>
      <c r="F179" s="482"/>
      <c r="G179" s="482"/>
      <c r="H179" s="482"/>
      <c r="I179" s="483"/>
      <c r="J179" s="189"/>
      <c r="K179" s="372"/>
      <c r="L179" s="373"/>
      <c r="M179" s="374"/>
      <c r="N179" s="276"/>
      <c r="O179" s="372"/>
      <c r="P179" s="373"/>
      <c r="Q179" s="374"/>
      <c r="R179" s="276"/>
      <c r="S179" s="293"/>
    </row>
    <row r="180" spans="2:19" ht="15.75" thickBot="1" x14ac:dyDescent="0.3">
      <c r="B180" s="188"/>
      <c r="C180" s="277"/>
      <c r="D180" s="289"/>
      <c r="E180" s="189"/>
      <c r="F180" s="189"/>
      <c r="G180" s="189"/>
      <c r="H180" s="189"/>
      <c r="I180" s="276"/>
      <c r="J180" s="189"/>
      <c r="K180" s="379"/>
      <c r="L180" s="380"/>
      <c r="M180" s="380"/>
      <c r="N180" s="276"/>
      <c r="O180" s="379"/>
      <c r="P180" s="380"/>
      <c r="Q180" s="380"/>
      <c r="R180" s="276"/>
      <c r="S180" s="293"/>
    </row>
    <row r="181" spans="2:19" ht="15.75" thickBot="1" x14ac:dyDescent="0.3">
      <c r="B181" s="188"/>
      <c r="C181" s="294" t="s">
        <v>43</v>
      </c>
      <c r="D181" s="295" t="s">
        <v>1027</v>
      </c>
      <c r="E181" s="296"/>
      <c r="F181" s="296"/>
      <c r="G181" s="296"/>
      <c r="H181" s="296"/>
      <c r="I181" s="403" t="str">
        <f>IF((SUM(K183:K185,K187))&lt;&gt;K181,(SUM(K183:K185,K187)),"")</f>
        <v/>
      </c>
      <c r="J181" s="404"/>
      <c r="K181" s="382">
        <f>SUM(K183:M185,K187)</f>
        <v>0</v>
      </c>
      <c r="L181" s="383"/>
      <c r="M181" s="384"/>
      <c r="N181" s="296"/>
      <c r="O181" s="382">
        <f>SUM(O183:Q185,O187)</f>
        <v>0</v>
      </c>
      <c r="P181" s="383"/>
      <c r="Q181" s="384"/>
      <c r="R181" s="412" t="str">
        <f>IF((SUM(O183:O185,O187))&lt;&gt;O181,(SUM(O183:O185,O187)),"")</f>
        <v/>
      </c>
      <c r="S181" s="429"/>
    </row>
    <row r="182" spans="2:19" ht="15" x14ac:dyDescent="0.25">
      <c r="B182" s="188"/>
      <c r="C182" s="277"/>
      <c r="D182" s="289"/>
      <c r="E182" s="189"/>
      <c r="F182" s="189"/>
      <c r="G182" s="189"/>
      <c r="H182" s="189"/>
      <c r="I182" s="276"/>
      <c r="J182" s="189"/>
      <c r="K182" s="377"/>
      <c r="L182" s="365"/>
      <c r="M182" s="365"/>
      <c r="N182" s="276"/>
      <c r="O182" s="377"/>
      <c r="P182" s="365"/>
      <c r="Q182" s="365"/>
      <c r="R182" s="276"/>
      <c r="S182" s="293"/>
    </row>
    <row r="183" spans="2:19" ht="15" x14ac:dyDescent="0.25">
      <c r="B183" s="188"/>
      <c r="C183" s="297" t="s">
        <v>913</v>
      </c>
      <c r="D183" s="298" t="s">
        <v>914</v>
      </c>
      <c r="E183" s="255"/>
      <c r="F183" s="255"/>
      <c r="G183" s="255"/>
      <c r="H183" s="189"/>
      <c r="I183" s="276"/>
      <c r="J183" s="189"/>
      <c r="K183" s="372"/>
      <c r="L183" s="373"/>
      <c r="M183" s="374"/>
      <c r="N183" s="276"/>
      <c r="O183" s="372"/>
      <c r="P183" s="373"/>
      <c r="Q183" s="374"/>
      <c r="R183" s="276"/>
      <c r="S183" s="293"/>
    </row>
    <row r="184" spans="2:19" ht="15" x14ac:dyDescent="0.25">
      <c r="B184" s="188"/>
      <c r="C184" s="297" t="s">
        <v>915</v>
      </c>
      <c r="D184" s="298" t="s">
        <v>1532</v>
      </c>
      <c r="E184" s="255"/>
      <c r="F184" s="255"/>
      <c r="G184" s="255"/>
      <c r="H184" s="189"/>
      <c r="I184" s="276"/>
      <c r="J184" s="189"/>
      <c r="K184" s="372"/>
      <c r="L184" s="373"/>
      <c r="M184" s="374"/>
      <c r="N184" s="276"/>
      <c r="O184" s="372"/>
      <c r="P184" s="373"/>
      <c r="Q184" s="374"/>
      <c r="R184" s="276"/>
      <c r="S184" s="293"/>
    </row>
    <row r="185" spans="2:19" ht="15" x14ac:dyDescent="0.25">
      <c r="B185" s="188"/>
      <c r="C185" s="297" t="s">
        <v>916</v>
      </c>
      <c r="D185" s="298" t="s">
        <v>918</v>
      </c>
      <c r="E185" s="255"/>
      <c r="F185" s="255"/>
      <c r="G185" s="255"/>
      <c r="H185" s="189"/>
      <c r="I185" s="276"/>
      <c r="J185" s="189"/>
      <c r="K185" s="372"/>
      <c r="L185" s="373"/>
      <c r="M185" s="374"/>
      <c r="N185" s="276"/>
      <c r="O185" s="372"/>
      <c r="P185" s="373"/>
      <c r="Q185" s="374"/>
      <c r="R185" s="276"/>
      <c r="S185" s="293"/>
    </row>
    <row r="186" spans="2:19" ht="15" x14ac:dyDescent="0.25">
      <c r="B186" s="188"/>
      <c r="C186" s="297" t="s">
        <v>917</v>
      </c>
      <c r="D186" s="298" t="s">
        <v>919</v>
      </c>
      <c r="E186" s="255"/>
      <c r="F186" s="255"/>
      <c r="G186" s="255"/>
      <c r="H186" s="189"/>
      <c r="I186" s="276"/>
      <c r="J186" s="189"/>
      <c r="K186" s="378"/>
      <c r="L186" s="363"/>
      <c r="M186" s="363"/>
      <c r="N186" s="276"/>
      <c r="O186" s="378"/>
      <c r="P186" s="363"/>
      <c r="Q186" s="363"/>
      <c r="R186" s="276"/>
      <c r="S186" s="293"/>
    </row>
    <row r="187" spans="2:19" ht="15" x14ac:dyDescent="0.25">
      <c r="B187" s="188"/>
      <c r="C187" s="277"/>
      <c r="D187" s="438"/>
      <c r="E187" s="482"/>
      <c r="F187" s="482"/>
      <c r="G187" s="482"/>
      <c r="H187" s="482"/>
      <c r="I187" s="483"/>
      <c r="J187" s="189"/>
      <c r="K187" s="372"/>
      <c r="L187" s="373"/>
      <c r="M187" s="374"/>
      <c r="N187" s="276"/>
      <c r="O187" s="372"/>
      <c r="P187" s="373"/>
      <c r="Q187" s="374"/>
      <c r="R187" s="276"/>
      <c r="S187" s="333"/>
    </row>
    <row r="188" spans="2:19" ht="15" x14ac:dyDescent="0.25">
      <c r="B188" s="188"/>
      <c r="C188" s="277"/>
      <c r="D188" s="289"/>
      <c r="E188" s="189"/>
      <c r="F188" s="189"/>
      <c r="G188" s="189"/>
      <c r="H188" s="189"/>
      <c r="I188" s="276"/>
      <c r="J188" s="189"/>
      <c r="K188" s="496"/>
      <c r="L188" s="443"/>
      <c r="M188" s="443"/>
      <c r="N188" s="276"/>
      <c r="O188" s="496"/>
      <c r="P188" s="443"/>
      <c r="Q188" s="443"/>
      <c r="R188" s="276"/>
      <c r="S188" s="293"/>
    </row>
    <row r="189" spans="2:19" ht="15" x14ac:dyDescent="0.25">
      <c r="B189" s="188"/>
      <c r="C189" s="196" t="s">
        <v>809</v>
      </c>
      <c r="D189" s="300" t="s">
        <v>810</v>
      </c>
      <c r="E189" s="212"/>
      <c r="F189" s="212"/>
      <c r="G189" s="212"/>
      <c r="H189" s="189"/>
      <c r="I189" s="189"/>
      <c r="J189" s="189"/>
      <c r="K189" s="356"/>
      <c r="L189" s="357"/>
      <c r="M189" s="357"/>
      <c r="N189" s="276"/>
      <c r="O189" s="356"/>
      <c r="P189" s="357"/>
      <c r="Q189" s="357"/>
      <c r="R189" s="276"/>
      <c r="S189" s="293"/>
    </row>
    <row r="190" spans="2:19" ht="15" x14ac:dyDescent="0.25">
      <c r="B190" s="188"/>
      <c r="C190" s="289"/>
      <c r="D190" s="189"/>
      <c r="E190" s="189"/>
      <c r="F190" s="189"/>
      <c r="G190" s="189"/>
      <c r="H190" s="189"/>
      <c r="I190" s="189"/>
      <c r="J190" s="189"/>
      <c r="K190" s="358"/>
      <c r="L190" s="359"/>
      <c r="M190" s="359"/>
      <c r="N190" s="276"/>
      <c r="O190" s="358"/>
      <c r="P190" s="359"/>
      <c r="Q190" s="359"/>
      <c r="R190" s="276"/>
      <c r="S190" s="293"/>
    </row>
    <row r="191" spans="2:19" ht="15" x14ac:dyDescent="0.25">
      <c r="B191" s="188"/>
      <c r="C191" s="189"/>
      <c r="D191" s="484"/>
      <c r="E191" s="485"/>
      <c r="F191" s="485"/>
      <c r="G191" s="485"/>
      <c r="H191" s="485"/>
      <c r="I191" s="485"/>
      <c r="J191" s="485"/>
      <c r="K191" s="485"/>
      <c r="L191" s="485"/>
      <c r="M191" s="485"/>
      <c r="N191" s="486"/>
      <c r="O191" s="486"/>
      <c r="P191" s="486"/>
      <c r="Q191" s="487"/>
      <c r="R191" s="276"/>
      <c r="S191" s="293"/>
    </row>
    <row r="192" spans="2:19" ht="15" x14ac:dyDescent="0.25">
      <c r="B192" s="188"/>
      <c r="C192" s="189"/>
      <c r="D192" s="488"/>
      <c r="E192" s="489"/>
      <c r="F192" s="489"/>
      <c r="G192" s="489"/>
      <c r="H192" s="489"/>
      <c r="I192" s="489"/>
      <c r="J192" s="489"/>
      <c r="K192" s="489"/>
      <c r="L192" s="489"/>
      <c r="M192" s="489"/>
      <c r="N192" s="490"/>
      <c r="O192" s="490"/>
      <c r="P192" s="490"/>
      <c r="Q192" s="491"/>
      <c r="R192" s="276"/>
      <c r="S192" s="293"/>
    </row>
    <row r="193" spans="2:19" ht="15" x14ac:dyDescent="0.25">
      <c r="B193" s="188"/>
      <c r="C193" s="189"/>
      <c r="D193" s="492"/>
      <c r="E193" s="493"/>
      <c r="F193" s="493"/>
      <c r="G193" s="493"/>
      <c r="H193" s="493"/>
      <c r="I193" s="493"/>
      <c r="J193" s="493"/>
      <c r="K193" s="493"/>
      <c r="L193" s="493"/>
      <c r="M193" s="493"/>
      <c r="N193" s="494"/>
      <c r="O193" s="494"/>
      <c r="P193" s="494"/>
      <c r="Q193" s="495"/>
      <c r="R193" s="276"/>
      <c r="S193" s="293"/>
    </row>
    <row r="194" spans="2:19" ht="15" thickBot="1" x14ac:dyDescent="0.25">
      <c r="B194" s="217"/>
      <c r="C194" s="206"/>
      <c r="D194" s="206"/>
      <c r="E194" s="206"/>
      <c r="F194" s="206"/>
      <c r="G194" s="206"/>
      <c r="H194" s="206"/>
      <c r="I194" s="206"/>
      <c r="J194" s="206"/>
      <c r="K194" s="206"/>
      <c r="L194" s="206"/>
      <c r="M194" s="206"/>
      <c r="N194" s="206"/>
      <c r="O194" s="206"/>
      <c r="P194" s="206"/>
      <c r="Q194" s="206"/>
      <c r="R194" s="206"/>
      <c r="S194" s="207"/>
    </row>
    <row r="195" spans="2:19" ht="15.75" thickTop="1" thickBot="1" x14ac:dyDescent="0.25"/>
    <row r="196" spans="2:19" ht="15" thickTop="1" x14ac:dyDescent="0.2">
      <c r="B196" s="186"/>
      <c r="C196" s="187"/>
      <c r="D196" s="187"/>
      <c r="E196" s="187"/>
      <c r="F196" s="187"/>
      <c r="G196" s="187"/>
      <c r="H196" s="187"/>
      <c r="I196" s="187"/>
      <c r="J196" s="187"/>
      <c r="K196" s="187"/>
      <c r="L196" s="187"/>
      <c r="M196" s="187"/>
      <c r="N196" s="187"/>
      <c r="O196" s="187"/>
      <c r="P196" s="187"/>
      <c r="Q196" s="187"/>
      <c r="R196" s="187"/>
      <c r="S196" s="209"/>
    </row>
    <row r="197" spans="2:19" ht="15.75" x14ac:dyDescent="0.25">
      <c r="B197" s="188"/>
      <c r="C197" s="210" t="s">
        <v>921</v>
      </c>
      <c r="D197" s="289"/>
      <c r="E197" s="189"/>
      <c r="F197" s="189"/>
      <c r="G197" s="189"/>
      <c r="H197" s="189" t="str">
        <f>IF(ISTEXT(O43), O43, "")</f>
        <v/>
      </c>
      <c r="I197" s="189"/>
      <c r="J197" s="189"/>
      <c r="K197" s="189"/>
      <c r="L197" s="189"/>
      <c r="M197" s="189"/>
      <c r="N197" s="189"/>
      <c r="O197" s="189"/>
      <c r="P197" s="189"/>
      <c r="Q197" s="189"/>
      <c r="R197" s="189"/>
      <c r="S197" s="191"/>
    </row>
    <row r="198" spans="2:19" ht="16.5" thickBot="1" x14ac:dyDescent="0.3">
      <c r="B198" s="188"/>
      <c r="C198" s="210"/>
      <c r="D198" s="289"/>
      <c r="E198" s="189"/>
      <c r="F198" s="189"/>
      <c r="G198" s="189"/>
      <c r="H198" s="189"/>
      <c r="I198" s="189"/>
      <c r="J198" s="189"/>
      <c r="K198" s="428" t="s">
        <v>1526</v>
      </c>
      <c r="L198" s="428"/>
      <c r="M198" s="428"/>
      <c r="N198" s="290"/>
      <c r="O198" s="428" t="s">
        <v>1527</v>
      </c>
      <c r="P198" s="428"/>
      <c r="Q198" s="428"/>
      <c r="R198" s="189"/>
      <c r="S198" s="191"/>
    </row>
    <row r="199" spans="2:19" ht="15.75" thickBot="1" x14ac:dyDescent="0.3">
      <c r="B199" s="188"/>
      <c r="C199" s="291">
        <v>7.1</v>
      </c>
      <c r="D199" s="277" t="s">
        <v>1028</v>
      </c>
      <c r="E199" s="189"/>
      <c r="F199" s="189"/>
      <c r="G199" s="189"/>
      <c r="H199" s="189"/>
      <c r="I199" s="412" t="str">
        <f>IF((SUM(K201:K208,K210))&lt;&gt;K199,(SUM(K201:K208,K210)),"")</f>
        <v/>
      </c>
      <c r="J199" s="426"/>
      <c r="K199" s="382">
        <f>SUM(K201:K208,K210)</f>
        <v>0</v>
      </c>
      <c r="L199" s="383"/>
      <c r="M199" s="384"/>
      <c r="N199" s="292"/>
      <c r="O199" s="382">
        <f>SUM(O201:O208,O210)</f>
        <v>0</v>
      </c>
      <c r="P199" s="383"/>
      <c r="Q199" s="384"/>
      <c r="R199" s="472" t="str">
        <f>IF((SUM(O201:O208,O210))&lt;&gt;O199,(SUM(O201:O208,O210)),"")</f>
        <v/>
      </c>
      <c r="S199" s="528"/>
    </row>
    <row r="200" spans="2:19" ht="15" x14ac:dyDescent="0.25">
      <c r="B200" s="188"/>
      <c r="C200" s="277"/>
      <c r="D200" s="289"/>
      <c r="E200" s="189"/>
      <c r="F200" s="189"/>
      <c r="G200" s="189"/>
      <c r="H200" s="189"/>
      <c r="I200" s="276"/>
      <c r="J200" s="189"/>
      <c r="K200" s="377"/>
      <c r="L200" s="365"/>
      <c r="M200" s="365"/>
      <c r="N200" s="292"/>
      <c r="O200" s="377"/>
      <c r="P200" s="365"/>
      <c r="Q200" s="365"/>
      <c r="R200" s="276"/>
      <c r="S200" s="293"/>
    </row>
    <row r="201" spans="2:19" ht="15" x14ac:dyDescent="0.25">
      <c r="B201" s="188"/>
      <c r="C201" s="297" t="s">
        <v>811</v>
      </c>
      <c r="D201" s="298" t="s">
        <v>930</v>
      </c>
      <c r="E201" s="189"/>
      <c r="F201" s="189"/>
      <c r="G201" s="189"/>
      <c r="H201" s="189"/>
      <c r="I201" s="276"/>
      <c r="J201" s="189"/>
      <c r="K201" s="372"/>
      <c r="L201" s="373"/>
      <c r="M201" s="374"/>
      <c r="N201" s="276"/>
      <c r="O201" s="372"/>
      <c r="P201" s="373"/>
      <c r="Q201" s="374"/>
      <c r="R201" s="276"/>
      <c r="S201" s="293"/>
    </row>
    <row r="202" spans="2:19" ht="15" x14ac:dyDescent="0.25">
      <c r="B202" s="188"/>
      <c r="C202" s="297" t="s">
        <v>922</v>
      </c>
      <c r="D202" s="298" t="s">
        <v>931</v>
      </c>
      <c r="E202" s="189"/>
      <c r="F202" s="189"/>
      <c r="G202" s="189"/>
      <c r="H202" s="189"/>
      <c r="I202" s="276"/>
      <c r="J202" s="189"/>
      <c r="K202" s="372"/>
      <c r="L202" s="373"/>
      <c r="M202" s="374"/>
      <c r="N202" s="276"/>
      <c r="O202" s="372"/>
      <c r="P202" s="373"/>
      <c r="Q202" s="374"/>
      <c r="R202" s="276"/>
      <c r="S202" s="293"/>
    </row>
    <row r="203" spans="2:19" ht="15" x14ac:dyDescent="0.25">
      <c r="B203" s="188"/>
      <c r="C203" s="297" t="s">
        <v>923</v>
      </c>
      <c r="D203" s="298" t="s">
        <v>932</v>
      </c>
      <c r="E203" s="189"/>
      <c r="F203" s="189"/>
      <c r="G203" s="189"/>
      <c r="H203" s="189"/>
      <c r="I203" s="276"/>
      <c r="J203" s="189"/>
      <c r="K203" s="372"/>
      <c r="L203" s="373"/>
      <c r="M203" s="374"/>
      <c r="N203" s="276"/>
      <c r="O203" s="372"/>
      <c r="P203" s="373"/>
      <c r="Q203" s="374"/>
      <c r="R203" s="276"/>
      <c r="S203" s="293"/>
    </row>
    <row r="204" spans="2:19" ht="15" x14ac:dyDescent="0.25">
      <c r="B204" s="188"/>
      <c r="C204" s="297" t="s">
        <v>924</v>
      </c>
      <c r="D204" s="298" t="s">
        <v>1</v>
      </c>
      <c r="E204" s="189"/>
      <c r="F204" s="189"/>
      <c r="G204" s="189"/>
      <c r="H204" s="189"/>
      <c r="I204" s="276"/>
      <c r="J204" s="189"/>
      <c r="K204" s="372"/>
      <c r="L204" s="373"/>
      <c r="M204" s="374"/>
      <c r="N204" s="276"/>
      <c r="O204" s="372"/>
      <c r="P204" s="373"/>
      <c r="Q204" s="374"/>
      <c r="R204" s="276"/>
      <c r="S204" s="293"/>
    </row>
    <row r="205" spans="2:19" ht="15" x14ac:dyDescent="0.25">
      <c r="B205" s="188"/>
      <c r="C205" s="297" t="s">
        <v>925</v>
      </c>
      <c r="D205" s="298" t="s">
        <v>2</v>
      </c>
      <c r="E205" s="189"/>
      <c r="F205" s="189"/>
      <c r="G205" s="189"/>
      <c r="H205" s="189"/>
      <c r="I205" s="276"/>
      <c r="J205" s="189"/>
      <c r="K205" s="372"/>
      <c r="L205" s="373"/>
      <c r="M205" s="374"/>
      <c r="N205" s="276"/>
      <c r="O205" s="372"/>
      <c r="P205" s="373"/>
      <c r="Q205" s="374"/>
      <c r="R205" s="276"/>
      <c r="S205" s="293"/>
    </row>
    <row r="206" spans="2:19" ht="15" x14ac:dyDescent="0.25">
      <c r="B206" s="188"/>
      <c r="C206" s="297" t="s">
        <v>926</v>
      </c>
      <c r="D206" s="298" t="s">
        <v>933</v>
      </c>
      <c r="E206" s="189"/>
      <c r="F206" s="189"/>
      <c r="G206" s="189"/>
      <c r="H206" s="189"/>
      <c r="I206" s="276"/>
      <c r="J206" s="189"/>
      <c r="K206" s="372"/>
      <c r="L206" s="373"/>
      <c r="M206" s="374"/>
      <c r="N206" s="276"/>
      <c r="O206" s="372"/>
      <c r="P206" s="373"/>
      <c r="Q206" s="374"/>
      <c r="R206" s="276"/>
      <c r="S206" s="293"/>
    </row>
    <row r="207" spans="2:19" ht="15" x14ac:dyDescent="0.25">
      <c r="B207" s="188"/>
      <c r="C207" s="297" t="s">
        <v>927</v>
      </c>
      <c r="D207" s="298" t="s">
        <v>3</v>
      </c>
      <c r="E207" s="189"/>
      <c r="F207" s="189"/>
      <c r="G207" s="189"/>
      <c r="H207" s="189"/>
      <c r="I207" s="276"/>
      <c r="J207" s="189"/>
      <c r="K207" s="372"/>
      <c r="L207" s="373"/>
      <c r="M207" s="374"/>
      <c r="N207" s="276"/>
      <c r="O207" s="372"/>
      <c r="P207" s="373"/>
      <c r="Q207" s="374"/>
      <c r="R207" s="276"/>
      <c r="S207" s="293"/>
    </row>
    <row r="208" spans="2:19" ht="15" x14ac:dyDescent="0.25">
      <c r="B208" s="188"/>
      <c r="C208" s="297" t="s">
        <v>928</v>
      </c>
      <c r="D208" s="298" t="s">
        <v>934</v>
      </c>
      <c r="E208" s="189"/>
      <c r="F208" s="189"/>
      <c r="G208" s="189"/>
      <c r="H208" s="189"/>
      <c r="I208" s="276"/>
      <c r="J208" s="189"/>
      <c r="K208" s="372"/>
      <c r="L208" s="373"/>
      <c r="M208" s="374"/>
      <c r="N208" s="292"/>
      <c r="O208" s="372"/>
      <c r="P208" s="373"/>
      <c r="Q208" s="374"/>
      <c r="R208" s="276"/>
      <c r="S208" s="293"/>
    </row>
    <row r="209" spans="2:19" ht="15" x14ac:dyDescent="0.25">
      <c r="B209" s="188"/>
      <c r="C209" s="297" t="s">
        <v>929</v>
      </c>
      <c r="D209" s="298" t="s">
        <v>935</v>
      </c>
      <c r="E209" s="189"/>
      <c r="F209" s="189"/>
      <c r="G209" s="189"/>
      <c r="H209" s="189"/>
      <c r="I209" s="189"/>
      <c r="J209" s="292"/>
      <c r="K209" s="378"/>
      <c r="L209" s="363"/>
      <c r="M209" s="363"/>
      <c r="N209" s="189"/>
      <c r="O209" s="378"/>
      <c r="P209" s="363"/>
      <c r="Q209" s="363"/>
      <c r="R209" s="189"/>
      <c r="S209" s="293"/>
    </row>
    <row r="210" spans="2:19" ht="15.75" x14ac:dyDescent="0.25">
      <c r="B210" s="188"/>
      <c r="C210" s="210"/>
      <c r="D210" s="438"/>
      <c r="E210" s="482"/>
      <c r="F210" s="482"/>
      <c r="G210" s="482"/>
      <c r="H210" s="482"/>
      <c r="I210" s="483"/>
      <c r="J210" s="292"/>
      <c r="K210" s="372"/>
      <c r="L210" s="373"/>
      <c r="M210" s="374"/>
      <c r="N210" s="189"/>
      <c r="O210" s="372"/>
      <c r="P210" s="373"/>
      <c r="Q210" s="374"/>
      <c r="R210" s="189"/>
      <c r="S210" s="293"/>
    </row>
    <row r="211" spans="2:19" ht="15.75" x14ac:dyDescent="0.25">
      <c r="B211" s="188"/>
      <c r="C211" s="210"/>
      <c r="D211" s="289"/>
      <c r="E211" s="189"/>
      <c r="F211" s="189"/>
      <c r="G211" s="189"/>
      <c r="H211" s="189"/>
      <c r="I211" s="189"/>
      <c r="J211" s="189"/>
      <c r="K211" s="496"/>
      <c r="L211" s="443"/>
      <c r="M211" s="443"/>
      <c r="N211" s="189"/>
      <c r="O211" s="496"/>
      <c r="P211" s="443"/>
      <c r="Q211" s="443"/>
      <c r="R211" s="189"/>
      <c r="S211" s="293"/>
    </row>
    <row r="212" spans="2:19" ht="15" x14ac:dyDescent="0.25">
      <c r="B212" s="188"/>
      <c r="C212" s="291">
        <v>7.2</v>
      </c>
      <c r="D212" s="300" t="s">
        <v>810</v>
      </c>
      <c r="E212" s="189"/>
      <c r="F212" s="189"/>
      <c r="G212" s="189"/>
      <c r="H212" s="189"/>
      <c r="I212" s="189"/>
      <c r="J212" s="189"/>
      <c r="K212" s="356"/>
      <c r="L212" s="357"/>
      <c r="M212" s="357"/>
      <c r="N212" s="189"/>
      <c r="O212" s="356"/>
      <c r="P212" s="357"/>
      <c r="Q212" s="357"/>
      <c r="R212" s="189"/>
      <c r="S212" s="191"/>
    </row>
    <row r="213" spans="2:19" ht="15.75" x14ac:dyDescent="0.25">
      <c r="B213" s="188"/>
      <c r="C213" s="210"/>
      <c r="D213" s="289"/>
      <c r="E213" s="189"/>
      <c r="F213" s="189"/>
      <c r="G213" s="189"/>
      <c r="H213" s="189"/>
      <c r="I213" s="189"/>
      <c r="J213" s="189"/>
      <c r="K213" s="358"/>
      <c r="L213" s="359"/>
      <c r="M213" s="359"/>
      <c r="N213" s="189"/>
      <c r="O213" s="430"/>
      <c r="P213" s="431"/>
      <c r="Q213" s="431"/>
      <c r="R213" s="189"/>
      <c r="S213" s="191"/>
    </row>
    <row r="214" spans="2:19" ht="15.75" x14ac:dyDescent="0.25">
      <c r="B214" s="188"/>
      <c r="C214" s="210"/>
      <c r="D214" s="484"/>
      <c r="E214" s="485"/>
      <c r="F214" s="485"/>
      <c r="G214" s="485"/>
      <c r="H214" s="485"/>
      <c r="I214" s="485"/>
      <c r="J214" s="485"/>
      <c r="K214" s="485"/>
      <c r="L214" s="485"/>
      <c r="M214" s="485"/>
      <c r="N214" s="486"/>
      <c r="O214" s="486"/>
      <c r="P214" s="486"/>
      <c r="Q214" s="487"/>
      <c r="R214" s="189"/>
      <c r="S214" s="191"/>
    </row>
    <row r="215" spans="2:19" ht="15.75" x14ac:dyDescent="0.25">
      <c r="B215" s="188"/>
      <c r="C215" s="210"/>
      <c r="D215" s="488"/>
      <c r="E215" s="489"/>
      <c r="F215" s="489"/>
      <c r="G215" s="489"/>
      <c r="H215" s="489"/>
      <c r="I215" s="489"/>
      <c r="J215" s="489"/>
      <c r="K215" s="489"/>
      <c r="L215" s="489"/>
      <c r="M215" s="489"/>
      <c r="N215" s="490"/>
      <c r="O215" s="490"/>
      <c r="P215" s="490"/>
      <c r="Q215" s="491"/>
      <c r="R215" s="189"/>
      <c r="S215" s="191"/>
    </row>
    <row r="216" spans="2:19" ht="15.75" x14ac:dyDescent="0.25">
      <c r="B216" s="188"/>
      <c r="C216" s="210"/>
      <c r="D216" s="492"/>
      <c r="E216" s="493"/>
      <c r="F216" s="493"/>
      <c r="G216" s="493"/>
      <c r="H216" s="493"/>
      <c r="I216" s="493"/>
      <c r="J216" s="493"/>
      <c r="K216" s="493"/>
      <c r="L216" s="493"/>
      <c r="M216" s="493"/>
      <c r="N216" s="494"/>
      <c r="O216" s="494"/>
      <c r="P216" s="494"/>
      <c r="Q216" s="495"/>
      <c r="R216" s="189"/>
      <c r="S216" s="191"/>
    </row>
    <row r="217" spans="2:19" ht="15" thickBot="1" x14ac:dyDescent="0.25">
      <c r="B217" s="217"/>
      <c r="C217" s="206"/>
      <c r="D217" s="206"/>
      <c r="E217" s="206"/>
      <c r="F217" s="206"/>
      <c r="G217" s="206"/>
      <c r="H217" s="206"/>
      <c r="I217" s="206"/>
      <c r="J217" s="206"/>
      <c r="K217" s="206"/>
      <c r="L217" s="206"/>
      <c r="M217" s="206"/>
      <c r="N217" s="206"/>
      <c r="O217" s="206"/>
      <c r="P217" s="206"/>
      <c r="Q217" s="206"/>
      <c r="R217" s="206"/>
      <c r="S217" s="207"/>
    </row>
    <row r="218" spans="2:19" ht="15.75" thickTop="1" thickBot="1" x14ac:dyDescent="0.25"/>
    <row r="219" spans="2:19" ht="15" thickTop="1" x14ac:dyDescent="0.2">
      <c r="B219" s="186"/>
      <c r="C219" s="187"/>
      <c r="D219" s="187"/>
      <c r="E219" s="187"/>
      <c r="F219" s="187"/>
      <c r="G219" s="187"/>
      <c r="H219" s="187"/>
      <c r="I219" s="187"/>
      <c r="J219" s="187"/>
      <c r="K219" s="187"/>
      <c r="L219" s="187"/>
      <c r="M219" s="187"/>
      <c r="N219" s="187"/>
      <c r="O219" s="187"/>
      <c r="P219" s="187"/>
      <c r="Q219" s="187"/>
      <c r="R219" s="187"/>
      <c r="S219" s="209"/>
    </row>
    <row r="220" spans="2:19" ht="15.75" x14ac:dyDescent="0.25">
      <c r="B220" s="188"/>
      <c r="C220" s="210" t="s">
        <v>936</v>
      </c>
      <c r="D220" s="289"/>
      <c r="E220" s="189"/>
      <c r="F220" s="189"/>
      <c r="G220" s="189"/>
      <c r="H220" s="189" t="str">
        <f>IF(ISTEXT(O43), O43, "")</f>
        <v/>
      </c>
      <c r="I220" s="189"/>
      <c r="J220" s="189"/>
      <c r="K220" s="189"/>
      <c r="L220" s="189"/>
      <c r="M220" s="189"/>
      <c r="N220" s="189"/>
      <c r="O220" s="189"/>
      <c r="P220" s="189"/>
      <c r="Q220" s="189"/>
      <c r="R220" s="189"/>
      <c r="S220" s="191"/>
    </row>
    <row r="221" spans="2:19" ht="16.5" thickBot="1" x14ac:dyDescent="0.3">
      <c r="B221" s="188"/>
      <c r="C221" s="210"/>
      <c r="D221" s="289"/>
      <c r="E221" s="189"/>
      <c r="F221" s="189"/>
      <c r="G221" s="189"/>
      <c r="H221" s="189"/>
      <c r="I221" s="189"/>
      <c r="J221" s="189"/>
      <c r="K221" s="428" t="s">
        <v>1526</v>
      </c>
      <c r="L221" s="428"/>
      <c r="M221" s="428"/>
      <c r="N221" s="290"/>
      <c r="O221" s="428" t="s">
        <v>1527</v>
      </c>
      <c r="P221" s="428"/>
      <c r="Q221" s="428"/>
      <c r="R221" s="189"/>
      <c r="S221" s="191"/>
    </row>
    <row r="222" spans="2:19" s="306" customFormat="1" ht="15.75" thickBot="1" x14ac:dyDescent="0.3">
      <c r="B222" s="301"/>
      <c r="C222" s="302">
        <v>8.1</v>
      </c>
      <c r="D222" s="303" t="s">
        <v>812</v>
      </c>
      <c r="E222" s="304"/>
      <c r="F222" s="304"/>
      <c r="G222" s="305"/>
      <c r="H222" s="305"/>
      <c r="I222" s="412" t="str">
        <f>IF((SUM(K224:K226))&lt;&gt;K222,(SUM(K224:K226)),"")</f>
        <v/>
      </c>
      <c r="J222" s="499"/>
      <c r="K222" s="435">
        <f>SUM(K224:M226)</f>
        <v>0</v>
      </c>
      <c r="L222" s="436"/>
      <c r="M222" s="437"/>
      <c r="N222" s="287"/>
      <c r="O222" s="435">
        <f>SUM(O224:Q226)</f>
        <v>0</v>
      </c>
      <c r="P222" s="436"/>
      <c r="Q222" s="437"/>
      <c r="R222" s="472" t="str">
        <f>IF((SUM(O224:O226))&lt;&gt;O222,(SUM(O224:O226)),"")</f>
        <v/>
      </c>
      <c r="S222" s="524"/>
    </row>
    <row r="223" spans="2:19" ht="15.75" x14ac:dyDescent="0.25">
      <c r="B223" s="188"/>
      <c r="C223" s="307"/>
      <c r="D223" s="210"/>
      <c r="E223" s="189"/>
      <c r="F223" s="189"/>
      <c r="G223" s="189"/>
      <c r="H223" s="189"/>
      <c r="I223" s="189"/>
      <c r="J223" s="292"/>
      <c r="K223" s="292"/>
      <c r="L223" s="292"/>
      <c r="M223" s="292"/>
      <c r="N223" s="189"/>
      <c r="O223" s="292"/>
      <c r="P223" s="292"/>
      <c r="Q223" s="292"/>
      <c r="R223" s="189"/>
      <c r="S223" s="191"/>
    </row>
    <row r="224" spans="2:19" x14ac:dyDescent="0.2">
      <c r="B224" s="188"/>
      <c r="C224" s="230" t="s">
        <v>937</v>
      </c>
      <c r="D224" s="308" t="s">
        <v>828</v>
      </c>
      <c r="E224" s="189"/>
      <c r="F224" s="189"/>
      <c r="G224" s="189"/>
      <c r="H224" s="189"/>
      <c r="I224" s="189"/>
      <c r="J224" s="292"/>
      <c r="K224" s="372">
        <f>K148</f>
        <v>0</v>
      </c>
      <c r="L224" s="373"/>
      <c r="M224" s="374"/>
      <c r="N224" s="292"/>
      <c r="O224" s="372">
        <f>O148</f>
        <v>0</v>
      </c>
      <c r="P224" s="373"/>
      <c r="Q224" s="374"/>
      <c r="R224" s="189"/>
      <c r="S224" s="191"/>
    </row>
    <row r="225" spans="2:19" x14ac:dyDescent="0.2">
      <c r="B225" s="188"/>
      <c r="C225" s="230" t="s">
        <v>938</v>
      </c>
      <c r="D225" s="308" t="s">
        <v>829</v>
      </c>
      <c r="E225" s="189"/>
      <c r="F225" s="189"/>
      <c r="G225" s="189"/>
      <c r="H225" s="189"/>
      <c r="I225" s="189"/>
      <c r="J225" s="292"/>
      <c r="K225" s="372">
        <f>K169</f>
        <v>0</v>
      </c>
      <c r="L225" s="373"/>
      <c r="M225" s="374"/>
      <c r="N225" s="292"/>
      <c r="O225" s="372">
        <f>O169</f>
        <v>0</v>
      </c>
      <c r="P225" s="373"/>
      <c r="Q225" s="374"/>
      <c r="R225" s="189"/>
      <c r="S225" s="191"/>
    </row>
    <row r="226" spans="2:19" x14ac:dyDescent="0.2">
      <c r="B226" s="188"/>
      <c r="C226" s="230" t="s">
        <v>939</v>
      </c>
      <c r="D226" s="308" t="s">
        <v>10</v>
      </c>
      <c r="E226" s="189"/>
      <c r="F226" s="189"/>
      <c r="G226" s="189"/>
      <c r="H226" s="189"/>
      <c r="I226" s="189"/>
      <c r="J226" s="292"/>
      <c r="K226" s="372">
        <f>K181</f>
        <v>0</v>
      </c>
      <c r="L226" s="373"/>
      <c r="M226" s="374"/>
      <c r="N226" s="292"/>
      <c r="O226" s="372">
        <f>O181</f>
        <v>0</v>
      </c>
      <c r="P226" s="373"/>
      <c r="Q226" s="374"/>
      <c r="R226" s="189"/>
      <c r="S226" s="191"/>
    </row>
    <row r="227" spans="2:19" ht="15.75" thickBot="1" x14ac:dyDescent="0.3">
      <c r="B227" s="188"/>
      <c r="C227" s="309"/>
      <c r="D227" s="310"/>
      <c r="E227" s="189"/>
      <c r="F227" s="189"/>
      <c r="G227" s="189"/>
      <c r="H227" s="189"/>
      <c r="I227" s="189"/>
      <c r="J227" s="292"/>
      <c r="K227" s="189"/>
      <c r="L227" s="189"/>
      <c r="M227" s="292"/>
      <c r="N227" s="292"/>
      <c r="O227" s="189"/>
      <c r="P227" s="189"/>
      <c r="Q227" s="292"/>
      <c r="R227" s="189"/>
      <c r="S227" s="191"/>
    </row>
    <row r="228" spans="2:19" s="306" customFormat="1" ht="15.75" thickBot="1" x14ac:dyDescent="0.3">
      <c r="B228" s="301"/>
      <c r="C228" s="302">
        <v>8.1999999999999993</v>
      </c>
      <c r="D228" s="303" t="s">
        <v>815</v>
      </c>
      <c r="E228" s="304"/>
      <c r="F228" s="304"/>
      <c r="G228" s="305"/>
      <c r="H228" s="305"/>
      <c r="I228" s="412" t="str">
        <f>IF((K228)&lt;&gt;K199, K199,"")</f>
        <v/>
      </c>
      <c r="J228" s="499"/>
      <c r="K228" s="435">
        <f>K199</f>
        <v>0</v>
      </c>
      <c r="L228" s="436"/>
      <c r="M228" s="437"/>
      <c r="N228" s="287"/>
      <c r="O228" s="435">
        <f>O199</f>
        <v>0</v>
      </c>
      <c r="P228" s="436"/>
      <c r="Q228" s="437"/>
      <c r="R228" s="472" t="str">
        <f>IF((O228)&lt;&gt;O199, O199,"")</f>
        <v/>
      </c>
      <c r="S228" s="524"/>
    </row>
    <row r="229" spans="2:19" ht="15.75" thickBot="1" x14ac:dyDescent="0.3">
      <c r="B229" s="188"/>
      <c r="C229" s="309"/>
      <c r="D229" s="310"/>
      <c r="E229" s="189"/>
      <c r="F229" s="189"/>
      <c r="G229" s="189"/>
      <c r="H229" s="189"/>
      <c r="I229" s="189"/>
      <c r="J229" s="292"/>
      <c r="K229" s="189"/>
      <c r="L229" s="189"/>
      <c r="M229" s="292"/>
      <c r="N229" s="292"/>
      <c r="O229" s="189"/>
      <c r="P229" s="189"/>
      <c r="Q229" s="292"/>
      <c r="R229" s="189"/>
      <c r="S229" s="191"/>
    </row>
    <row r="230" spans="2:19" s="306" customFormat="1" ht="15.75" thickBot="1" x14ac:dyDescent="0.3">
      <c r="B230" s="301"/>
      <c r="C230" s="302">
        <v>8.3000000000000007</v>
      </c>
      <c r="D230" s="303" t="s">
        <v>1769</v>
      </c>
      <c r="E230" s="311"/>
      <c r="F230" s="305"/>
      <c r="G230" s="305"/>
      <c r="H230" s="305"/>
      <c r="I230" s="412" t="str">
        <f>IF((K222-K228)&lt;&gt;K230,(K222-K228),"")</f>
        <v/>
      </c>
      <c r="J230" s="499"/>
      <c r="K230" s="435">
        <f>K222-K228</f>
        <v>0</v>
      </c>
      <c r="L230" s="436"/>
      <c r="M230" s="437"/>
      <c r="N230" s="287"/>
      <c r="O230" s="435">
        <f>O222-O228</f>
        <v>0</v>
      </c>
      <c r="P230" s="436"/>
      <c r="Q230" s="437"/>
      <c r="R230" s="472" t="str">
        <f>IF((O222-O228)&lt;&gt;O230,(O222-O228),"")</f>
        <v/>
      </c>
      <c r="S230" s="525"/>
    </row>
    <row r="231" spans="2:19" x14ac:dyDescent="0.2">
      <c r="B231" s="188"/>
      <c r="C231" s="312"/>
      <c r="D231" s="313" t="s">
        <v>822</v>
      </c>
      <c r="E231" s="289"/>
      <c r="F231" s="189"/>
      <c r="G231" s="189"/>
      <c r="H231" s="189"/>
      <c r="I231" s="189"/>
      <c r="J231" s="292"/>
      <c r="K231" s="292"/>
      <c r="L231" s="292"/>
      <c r="M231" s="292"/>
      <c r="N231" s="189"/>
      <c r="O231" s="292"/>
      <c r="P231" s="292"/>
      <c r="Q231" s="292"/>
      <c r="R231" s="189"/>
      <c r="S231" s="191"/>
    </row>
    <row r="232" spans="2:19" ht="16.5" thickBot="1" x14ac:dyDescent="0.3">
      <c r="B232" s="188"/>
      <c r="C232" s="314"/>
      <c r="D232" s="289"/>
      <c r="E232" s="189"/>
      <c r="F232" s="189"/>
      <c r="G232" s="189"/>
      <c r="H232" s="189"/>
      <c r="I232" s="189"/>
      <c r="J232" s="189"/>
      <c r="K232" s="189"/>
      <c r="L232" s="189"/>
      <c r="M232" s="189"/>
      <c r="N232" s="189"/>
      <c r="O232" s="292"/>
      <c r="P232" s="292"/>
      <c r="Q232" s="292"/>
      <c r="R232" s="189"/>
      <c r="S232" s="191"/>
    </row>
    <row r="233" spans="2:19" s="306" customFormat="1" ht="15.75" thickBot="1" x14ac:dyDescent="0.3">
      <c r="B233" s="301"/>
      <c r="C233" s="302">
        <v>8.4</v>
      </c>
      <c r="D233" s="277" t="s">
        <v>816</v>
      </c>
      <c r="E233" s="305"/>
      <c r="F233" s="305"/>
      <c r="G233" s="305"/>
      <c r="H233" s="305"/>
      <c r="I233" s="412" t="str">
        <f>IF((SUM(K235:K236,K238))&lt;&gt;K233,(SUM(K235:K236,K238)),"")</f>
        <v/>
      </c>
      <c r="J233" s="499"/>
      <c r="K233" s="435">
        <f>SUM(K235:M236,K238)</f>
        <v>0</v>
      </c>
      <c r="L233" s="436"/>
      <c r="M233" s="437"/>
      <c r="N233" s="287"/>
      <c r="O233" s="435">
        <f>SUM(O235:Q236,O238)</f>
        <v>0</v>
      </c>
      <c r="P233" s="436"/>
      <c r="Q233" s="437"/>
      <c r="R233" s="472" t="str">
        <f>IF((SUM(O235:O236,O238))&lt;&gt;O233,(SUM(O235:O236,O238)),"")</f>
        <v/>
      </c>
      <c r="S233" s="524"/>
    </row>
    <row r="234" spans="2:19" ht="15.75" x14ac:dyDescent="0.25">
      <c r="B234" s="188"/>
      <c r="C234" s="314"/>
      <c r="D234" s="315" t="s">
        <v>40</v>
      </c>
      <c r="E234" s="189"/>
      <c r="F234" s="189"/>
      <c r="G234" s="189"/>
      <c r="H234" s="189"/>
      <c r="I234" s="189"/>
      <c r="J234" s="189"/>
      <c r="K234" s="189"/>
      <c r="L234" s="189"/>
      <c r="M234" s="189"/>
      <c r="N234" s="189"/>
      <c r="O234" s="292"/>
      <c r="P234" s="292"/>
      <c r="Q234" s="292"/>
      <c r="R234" s="189"/>
      <c r="S234" s="191"/>
    </row>
    <row r="235" spans="2:19" x14ac:dyDescent="0.2">
      <c r="B235" s="188"/>
      <c r="C235" s="316" t="s">
        <v>940</v>
      </c>
      <c r="D235" s="215" t="s">
        <v>1784</v>
      </c>
      <c r="E235" s="212"/>
      <c r="F235" s="212"/>
      <c r="G235" s="212"/>
      <c r="H235" s="212"/>
      <c r="I235" s="189"/>
      <c r="J235" s="189"/>
      <c r="K235" s="372"/>
      <c r="L235" s="373"/>
      <c r="M235" s="374"/>
      <c r="N235" s="189"/>
      <c r="O235" s="372"/>
      <c r="P235" s="373"/>
      <c r="Q235" s="374"/>
      <c r="R235" s="189"/>
      <c r="S235" s="191"/>
    </row>
    <row r="236" spans="2:19" x14ac:dyDescent="0.2">
      <c r="B236" s="188"/>
      <c r="C236" s="316" t="s">
        <v>941</v>
      </c>
      <c r="D236" s="215" t="s">
        <v>49</v>
      </c>
      <c r="E236" s="212"/>
      <c r="F236" s="212"/>
      <c r="G236" s="212"/>
      <c r="H236" s="212"/>
      <c r="I236" s="189"/>
      <c r="J236" s="189"/>
      <c r="K236" s="372"/>
      <c r="L236" s="373"/>
      <c r="M236" s="374"/>
      <c r="N236" s="189"/>
      <c r="O236" s="372"/>
      <c r="P236" s="373"/>
      <c r="Q236" s="374"/>
      <c r="R236" s="189"/>
      <c r="S236" s="191"/>
    </row>
    <row r="237" spans="2:19" x14ac:dyDescent="0.2">
      <c r="B237" s="188"/>
      <c r="C237" s="316" t="s">
        <v>942</v>
      </c>
      <c r="D237" s="215" t="s">
        <v>44</v>
      </c>
      <c r="E237" s="212"/>
      <c r="F237" s="212"/>
      <c r="G237" s="212"/>
      <c r="H237" s="212"/>
      <c r="I237" s="189"/>
      <c r="J237" s="189"/>
      <c r="K237" s="189"/>
      <c r="L237" s="189"/>
      <c r="M237" s="189"/>
      <c r="N237" s="189"/>
      <c r="O237" s="292"/>
      <c r="P237" s="292"/>
      <c r="Q237" s="292"/>
      <c r="R237" s="189"/>
      <c r="S237" s="191"/>
    </row>
    <row r="238" spans="2:19" ht="15.75" x14ac:dyDescent="0.25">
      <c r="B238" s="188"/>
      <c r="C238" s="314"/>
      <c r="D238" s="526"/>
      <c r="E238" s="527"/>
      <c r="F238" s="527"/>
      <c r="G238" s="527"/>
      <c r="H238" s="469"/>
      <c r="I238" s="189"/>
      <c r="J238" s="189"/>
      <c r="K238" s="372"/>
      <c r="L238" s="373"/>
      <c r="M238" s="374"/>
      <c r="N238" s="189"/>
      <c r="O238" s="372"/>
      <c r="P238" s="373"/>
      <c r="Q238" s="374"/>
      <c r="R238" s="189"/>
      <c r="S238" s="191"/>
    </row>
    <row r="239" spans="2:19" ht="16.5" thickBot="1" x14ac:dyDescent="0.3">
      <c r="B239" s="188"/>
      <c r="C239" s="314"/>
      <c r="D239" s="289"/>
      <c r="E239" s="189"/>
      <c r="F239" s="189"/>
      <c r="G239" s="189"/>
      <c r="H239" s="189"/>
      <c r="I239" s="189"/>
      <c r="J239" s="189"/>
      <c r="K239" s="189"/>
      <c r="L239" s="189"/>
      <c r="M239" s="189"/>
      <c r="N239" s="189"/>
      <c r="O239" s="292"/>
      <c r="P239" s="292"/>
      <c r="Q239" s="292"/>
      <c r="R239" s="189"/>
      <c r="S239" s="191"/>
    </row>
    <row r="240" spans="2:19" ht="15.75" thickBot="1" x14ac:dyDescent="0.3">
      <c r="B240" s="188"/>
      <c r="C240" s="317">
        <v>8.5</v>
      </c>
      <c r="D240" s="277" t="s">
        <v>817</v>
      </c>
      <c r="E240" s="189"/>
      <c r="F240" s="189"/>
      <c r="G240" s="189"/>
      <c r="H240" s="189"/>
      <c r="I240" s="189"/>
      <c r="J240" s="189"/>
      <c r="K240" s="382"/>
      <c r="L240" s="383"/>
      <c r="M240" s="384"/>
      <c r="N240" s="292"/>
      <c r="O240" s="382"/>
      <c r="P240" s="383"/>
      <c r="Q240" s="384"/>
      <c r="R240" s="189"/>
      <c r="S240" s="191"/>
    </row>
    <row r="241" spans="2:19" ht="16.5" thickBot="1" x14ac:dyDescent="0.3">
      <c r="B241" s="188"/>
      <c r="C241" s="314"/>
      <c r="D241" s="289"/>
      <c r="E241" s="189"/>
      <c r="F241" s="189"/>
      <c r="G241" s="189"/>
      <c r="H241" s="189"/>
      <c r="I241" s="189"/>
      <c r="J241" s="189"/>
      <c r="K241" s="189"/>
      <c r="L241" s="189"/>
      <c r="M241" s="189"/>
      <c r="N241" s="189"/>
      <c r="O241" s="292"/>
      <c r="P241" s="292"/>
      <c r="Q241" s="292"/>
      <c r="R241" s="189"/>
      <c r="S241" s="191"/>
    </row>
    <row r="242" spans="2:19" s="306" customFormat="1" ht="15.75" thickBot="1" x14ac:dyDescent="0.3">
      <c r="B242" s="301"/>
      <c r="C242" s="302">
        <v>8.6</v>
      </c>
      <c r="D242" s="303" t="s">
        <v>1770</v>
      </c>
      <c r="E242" s="311"/>
      <c r="F242" s="305"/>
      <c r="G242" s="305"/>
      <c r="H242" s="305"/>
      <c r="I242" s="412" t="str">
        <f>IF((K230-K233-K240)&lt;&gt;K242,(K230-K233-K240),"")</f>
        <v/>
      </c>
      <c r="J242" s="499"/>
      <c r="K242" s="435">
        <f>K230-K233-K240</f>
        <v>0</v>
      </c>
      <c r="L242" s="436"/>
      <c r="M242" s="437"/>
      <c r="N242" s="287"/>
      <c r="O242" s="435">
        <f>O230-O233-O240</f>
        <v>0</v>
      </c>
      <c r="P242" s="436"/>
      <c r="Q242" s="437"/>
      <c r="R242" s="472" t="str">
        <f>IF((O230-O233-O240)&lt;&gt;O242,(O230-O233-O240),"")</f>
        <v/>
      </c>
      <c r="S242" s="524"/>
    </row>
    <row r="243" spans="2:19" ht="15.75" x14ac:dyDescent="0.25">
      <c r="B243" s="188"/>
      <c r="C243" s="314"/>
      <c r="D243" s="313" t="s">
        <v>818</v>
      </c>
      <c r="E243" s="189"/>
      <c r="F243" s="189"/>
      <c r="G243" s="189"/>
      <c r="H243" s="189"/>
      <c r="I243" s="189"/>
      <c r="J243" s="189"/>
      <c r="K243" s="189"/>
      <c r="L243" s="189"/>
      <c r="M243" s="189"/>
      <c r="N243" s="189"/>
      <c r="O243" s="292"/>
      <c r="P243" s="292"/>
      <c r="Q243" s="292"/>
      <c r="R243" s="189"/>
      <c r="S243" s="191"/>
    </row>
    <row r="244" spans="2:19" ht="15.75" x14ac:dyDescent="0.25">
      <c r="B244" s="188"/>
      <c r="C244" s="314"/>
      <c r="D244" s="313"/>
      <c r="E244" s="189"/>
      <c r="F244" s="189"/>
      <c r="G244" s="189"/>
      <c r="H244" s="189"/>
      <c r="I244" s="189"/>
      <c r="J244" s="189"/>
      <c r="K244" s="189"/>
      <c r="L244" s="189"/>
      <c r="M244" s="189"/>
      <c r="N244" s="189"/>
      <c r="O244" s="292"/>
      <c r="P244" s="292"/>
      <c r="Q244" s="292"/>
      <c r="R244" s="189"/>
      <c r="S244" s="191"/>
    </row>
    <row r="245" spans="2:19" x14ac:dyDescent="0.2">
      <c r="B245" s="188"/>
      <c r="C245" s="317">
        <v>8.6999999999999993</v>
      </c>
      <c r="D245" s="318" t="s">
        <v>810</v>
      </c>
      <c r="E245" s="189"/>
      <c r="F245" s="189"/>
      <c r="G245" s="189"/>
      <c r="H245" s="189"/>
      <c r="I245" s="189"/>
      <c r="J245" s="189"/>
      <c r="K245" s="189"/>
      <c r="L245" s="189"/>
      <c r="M245" s="189"/>
      <c r="N245" s="189"/>
      <c r="O245" s="292"/>
      <c r="P245" s="292"/>
      <c r="Q245" s="292"/>
      <c r="R245" s="189"/>
      <c r="S245" s="191"/>
    </row>
    <row r="246" spans="2:19" ht="15.75" x14ac:dyDescent="0.25">
      <c r="B246" s="188"/>
      <c r="C246" s="314"/>
      <c r="D246" s="289"/>
      <c r="E246" s="189"/>
      <c r="F246" s="189"/>
      <c r="G246" s="189"/>
      <c r="H246" s="189"/>
      <c r="I246" s="189"/>
      <c r="J246" s="189"/>
      <c r="K246" s="189"/>
      <c r="L246" s="189"/>
      <c r="M246" s="189"/>
      <c r="N246" s="189"/>
      <c r="O246" s="292"/>
      <c r="P246" s="292"/>
      <c r="Q246" s="292"/>
      <c r="R246" s="189"/>
      <c r="S246" s="191"/>
    </row>
    <row r="247" spans="2:19" ht="15.75" x14ac:dyDescent="0.25">
      <c r="B247" s="188"/>
      <c r="C247" s="314"/>
      <c r="D247" s="484"/>
      <c r="E247" s="485"/>
      <c r="F247" s="485"/>
      <c r="G247" s="485"/>
      <c r="H247" s="485"/>
      <c r="I247" s="485"/>
      <c r="J247" s="485"/>
      <c r="K247" s="485"/>
      <c r="L247" s="485"/>
      <c r="M247" s="485"/>
      <c r="N247" s="500"/>
      <c r="O247" s="500"/>
      <c r="P247" s="500"/>
      <c r="Q247" s="501"/>
      <c r="R247" s="189"/>
      <c r="S247" s="191"/>
    </row>
    <row r="248" spans="2:19" ht="15.75" x14ac:dyDescent="0.25">
      <c r="B248" s="188"/>
      <c r="C248" s="314"/>
      <c r="D248" s="488"/>
      <c r="E248" s="489"/>
      <c r="F248" s="489"/>
      <c r="G248" s="489"/>
      <c r="H248" s="489"/>
      <c r="I248" s="489"/>
      <c r="J248" s="489"/>
      <c r="K248" s="489"/>
      <c r="L248" s="489"/>
      <c r="M248" s="489"/>
      <c r="N248" s="502"/>
      <c r="O248" s="502"/>
      <c r="P248" s="502"/>
      <c r="Q248" s="503"/>
      <c r="R248" s="189"/>
      <c r="S248" s="191"/>
    </row>
    <row r="249" spans="2:19" ht="15.75" x14ac:dyDescent="0.25">
      <c r="B249" s="188"/>
      <c r="C249" s="314"/>
      <c r="D249" s="492"/>
      <c r="E249" s="493"/>
      <c r="F249" s="493"/>
      <c r="G249" s="493"/>
      <c r="H249" s="493"/>
      <c r="I249" s="493"/>
      <c r="J249" s="493"/>
      <c r="K249" s="493"/>
      <c r="L249" s="493"/>
      <c r="M249" s="493"/>
      <c r="N249" s="504"/>
      <c r="O249" s="504"/>
      <c r="P249" s="504"/>
      <c r="Q249" s="505"/>
      <c r="R249" s="189"/>
      <c r="S249" s="191"/>
    </row>
    <row r="250" spans="2:19" ht="15" thickBot="1" x14ac:dyDescent="0.25">
      <c r="B250" s="217"/>
      <c r="C250" s="319"/>
      <c r="D250" s="206"/>
      <c r="E250" s="206"/>
      <c r="F250" s="206"/>
      <c r="G250" s="206"/>
      <c r="H250" s="206"/>
      <c r="I250" s="206"/>
      <c r="J250" s="206"/>
      <c r="K250" s="206"/>
      <c r="L250" s="206"/>
      <c r="M250" s="206"/>
      <c r="N250" s="206"/>
      <c r="O250" s="206"/>
      <c r="P250" s="206"/>
      <c r="Q250" s="206"/>
      <c r="R250" s="206"/>
      <c r="S250" s="207"/>
    </row>
    <row r="251" spans="2:19" ht="15.75" thickTop="1" thickBot="1" x14ac:dyDescent="0.25">
      <c r="B251" s="208"/>
      <c r="C251" s="320"/>
      <c r="D251" s="208"/>
      <c r="E251" s="208"/>
      <c r="F251" s="208"/>
      <c r="G251" s="208"/>
      <c r="H251" s="208"/>
      <c r="I251" s="208"/>
      <c r="J251" s="208"/>
      <c r="K251" s="208"/>
      <c r="L251" s="208"/>
      <c r="M251" s="208"/>
      <c r="N251" s="208"/>
      <c r="O251" s="208"/>
      <c r="P251" s="208"/>
      <c r="Q251" s="208"/>
      <c r="R251" s="208"/>
      <c r="S251" s="208"/>
    </row>
    <row r="252" spans="2:19" ht="15" thickTop="1" x14ac:dyDescent="0.2">
      <c r="B252" s="186"/>
      <c r="C252" s="321"/>
      <c r="D252" s="187"/>
      <c r="E252" s="187"/>
      <c r="F252" s="187"/>
      <c r="G252" s="187"/>
      <c r="H252" s="187"/>
      <c r="I252" s="187"/>
      <c r="J252" s="187"/>
      <c r="K252" s="187"/>
      <c r="L252" s="187"/>
      <c r="M252" s="187"/>
      <c r="N252" s="187"/>
      <c r="O252" s="187"/>
      <c r="P252" s="187"/>
      <c r="Q252" s="187"/>
      <c r="R252" s="187"/>
      <c r="S252" s="209"/>
    </row>
    <row r="253" spans="2:19" ht="15.75" x14ac:dyDescent="0.25">
      <c r="B253" s="188"/>
      <c r="C253" s="314" t="s">
        <v>1024</v>
      </c>
      <c r="D253" s="289"/>
      <c r="E253" s="189"/>
      <c r="F253" s="189"/>
      <c r="G253" s="189"/>
      <c r="H253" s="189" t="str">
        <f>IF(ISTEXT(O43), O43, "")</f>
        <v/>
      </c>
      <c r="I253" s="189"/>
      <c r="J253" s="189"/>
      <c r="K253" s="189"/>
      <c r="L253" s="189"/>
      <c r="M253" s="189"/>
      <c r="N253" s="189"/>
      <c r="O253" s="189"/>
      <c r="P253" s="189"/>
      <c r="Q253" s="189"/>
      <c r="R253" s="189"/>
      <c r="S253" s="191"/>
    </row>
    <row r="254" spans="2:19" ht="16.5" thickBot="1" x14ac:dyDescent="0.3">
      <c r="B254" s="188"/>
      <c r="C254" s="314"/>
      <c r="D254" s="289"/>
      <c r="E254" s="189"/>
      <c r="F254" s="189"/>
      <c r="G254" s="189"/>
      <c r="H254" s="189"/>
      <c r="I254" s="189"/>
      <c r="J254" s="189"/>
      <c r="K254" s="428" t="s">
        <v>1766</v>
      </c>
      <c r="L254" s="428"/>
      <c r="M254" s="428"/>
      <c r="N254" s="290"/>
      <c r="O254" s="428" t="s">
        <v>1767</v>
      </c>
      <c r="P254" s="428"/>
      <c r="Q254" s="428"/>
      <c r="R254" s="276"/>
      <c r="S254" s="293"/>
    </row>
    <row r="255" spans="2:19" s="306" customFormat="1" ht="16.5" thickTop="1" thickBot="1" x14ac:dyDescent="0.3">
      <c r="B255" s="301"/>
      <c r="C255" s="302">
        <v>9.1</v>
      </c>
      <c r="D255" s="322" t="s">
        <v>1005</v>
      </c>
      <c r="E255" s="244"/>
      <c r="F255" s="305"/>
      <c r="G255" s="305"/>
      <c r="H255" s="412" t="str">
        <f>IF((SUM(K257,K261))&lt;&gt;K255,(SUM(K257,K261)),"")</f>
        <v/>
      </c>
      <c r="I255" s="497"/>
      <c r="J255" s="498"/>
      <c r="K255" s="530">
        <f>SUM(K257,K261)</f>
        <v>0</v>
      </c>
      <c r="L255" s="531"/>
      <c r="M255" s="532"/>
      <c r="N255" s="287"/>
      <c r="O255" s="530">
        <f>SUM(O257,O261)</f>
        <v>0</v>
      </c>
      <c r="P255" s="531"/>
      <c r="Q255" s="532"/>
      <c r="R255" s="533" t="str">
        <f>IF((SUM(O257,O261))&lt;&gt;O255,(SUM(O257,O261)),"")</f>
        <v/>
      </c>
      <c r="S255" s="528"/>
    </row>
    <row r="256" spans="2:19" ht="16.5" thickTop="1" thickBot="1" x14ac:dyDescent="0.3">
      <c r="B256" s="188"/>
      <c r="C256" s="317"/>
      <c r="D256" s="318"/>
      <c r="E256" s="255"/>
      <c r="F256" s="189"/>
      <c r="G256" s="189"/>
      <c r="H256" s="292"/>
      <c r="I256" s="292"/>
      <c r="J256" s="292"/>
      <c r="K256" s="292"/>
      <c r="L256" s="189"/>
      <c r="M256" s="292"/>
      <c r="N256" s="292"/>
      <c r="O256" s="292"/>
      <c r="P256" s="189"/>
      <c r="Q256" s="292"/>
      <c r="R256" s="276"/>
      <c r="S256" s="293"/>
    </row>
    <row r="257" spans="2:19" ht="15.75" thickBot="1" x14ac:dyDescent="0.3">
      <c r="B257" s="188"/>
      <c r="C257" s="316" t="s">
        <v>813</v>
      </c>
      <c r="D257" s="323" t="s">
        <v>1007</v>
      </c>
      <c r="E257" s="189"/>
      <c r="F257" s="189"/>
      <c r="G257" s="189"/>
      <c r="H257" s="412" t="str">
        <f>IF((SUM(K258:M259))&lt;&gt;K257,(SUM(K258:M259)),"")</f>
        <v/>
      </c>
      <c r="I257" s="497"/>
      <c r="J257" s="498"/>
      <c r="K257" s="509">
        <f>SUM(K258:M259)</f>
        <v>0</v>
      </c>
      <c r="L257" s="510"/>
      <c r="M257" s="511"/>
      <c r="N257" s="189"/>
      <c r="O257" s="512">
        <f>SUM(O258:Q259)</f>
        <v>0</v>
      </c>
      <c r="P257" s="513"/>
      <c r="Q257" s="514"/>
      <c r="R257" s="533" t="str">
        <f>IF((SUM(O258:O259))&lt;&gt;O257,(SUM(O258:O259)),"")</f>
        <v/>
      </c>
      <c r="S257" s="528"/>
    </row>
    <row r="258" spans="2:19" ht="15" x14ac:dyDescent="0.25">
      <c r="B258" s="188"/>
      <c r="C258" s="324" t="s">
        <v>1008</v>
      </c>
      <c r="D258" s="298" t="s">
        <v>1006</v>
      </c>
      <c r="E258" s="189"/>
      <c r="F258" s="189"/>
      <c r="G258" s="189"/>
      <c r="H258" s="292"/>
      <c r="I258" s="292"/>
      <c r="J258" s="292"/>
      <c r="K258" s="506"/>
      <c r="L258" s="507"/>
      <c r="M258" s="508"/>
      <c r="N258" s="189"/>
      <c r="O258" s="506"/>
      <c r="P258" s="507"/>
      <c r="Q258" s="508"/>
      <c r="R258" s="276"/>
      <c r="S258" s="293"/>
    </row>
    <row r="259" spans="2:19" ht="15" x14ac:dyDescent="0.25">
      <c r="B259" s="188"/>
      <c r="C259" s="324" t="s">
        <v>1010</v>
      </c>
      <c r="D259" s="298" t="s">
        <v>808</v>
      </c>
      <c r="E259" s="189"/>
      <c r="F259" s="189"/>
      <c r="G259" s="189"/>
      <c r="H259" s="292"/>
      <c r="I259" s="292"/>
      <c r="J259" s="292"/>
      <c r="K259" s="515"/>
      <c r="L259" s="516"/>
      <c r="M259" s="517"/>
      <c r="N259" s="189"/>
      <c r="O259" s="515"/>
      <c r="P259" s="516"/>
      <c r="Q259" s="517"/>
      <c r="R259" s="276"/>
      <c r="S259" s="293"/>
    </row>
    <row r="260" spans="2:19" ht="15.75" thickBot="1" x14ac:dyDescent="0.3">
      <c r="B260" s="188"/>
      <c r="C260" s="317"/>
      <c r="D260" s="298"/>
      <c r="E260" s="189"/>
      <c r="F260" s="189"/>
      <c r="G260" s="189"/>
      <c r="H260" s="292"/>
      <c r="I260" s="292"/>
      <c r="J260" s="292"/>
      <c r="K260" s="292"/>
      <c r="L260" s="189"/>
      <c r="M260" s="292"/>
      <c r="N260" s="189"/>
      <c r="O260" s="292"/>
      <c r="P260" s="189"/>
      <c r="Q260" s="292"/>
      <c r="R260" s="276"/>
      <c r="S260" s="293"/>
    </row>
    <row r="261" spans="2:19" ht="15.75" thickBot="1" x14ac:dyDescent="0.3">
      <c r="B261" s="188"/>
      <c r="C261" s="316" t="s">
        <v>814</v>
      </c>
      <c r="D261" s="323" t="s">
        <v>1012</v>
      </c>
      <c r="E261" s="189"/>
      <c r="F261" s="189"/>
      <c r="G261" s="189"/>
      <c r="H261" s="412" t="str">
        <f>IF((SUM(K262:M264))&lt;&gt;K261,(SUM(K262:M264)),"")</f>
        <v/>
      </c>
      <c r="I261" s="497"/>
      <c r="J261" s="498"/>
      <c r="K261" s="512">
        <f>SUM(K262:M264)</f>
        <v>0</v>
      </c>
      <c r="L261" s="513"/>
      <c r="M261" s="514"/>
      <c r="N261" s="189"/>
      <c r="O261" s="512">
        <f>SUM(O262:Q264)</f>
        <v>0</v>
      </c>
      <c r="P261" s="513"/>
      <c r="Q261" s="514"/>
      <c r="R261" s="533" t="str">
        <f>IF((SUM(O262:O264))&lt;&gt;O261,(SUM(O262:O264)),"")</f>
        <v/>
      </c>
      <c r="S261" s="528"/>
    </row>
    <row r="262" spans="2:19" ht="15" x14ac:dyDescent="0.25">
      <c r="B262" s="188"/>
      <c r="C262" s="324" t="s">
        <v>1009</v>
      </c>
      <c r="D262" s="298" t="s">
        <v>1781</v>
      </c>
      <c r="E262" s="189"/>
      <c r="F262" s="189"/>
      <c r="G262" s="189"/>
      <c r="H262" s="292"/>
      <c r="I262" s="292"/>
      <c r="J262" s="292"/>
      <c r="K262" s="521"/>
      <c r="L262" s="522"/>
      <c r="M262" s="523"/>
      <c r="N262" s="189"/>
      <c r="O262" s="521"/>
      <c r="P262" s="522"/>
      <c r="Q262" s="523"/>
      <c r="R262" s="276"/>
      <c r="S262" s="293"/>
    </row>
    <row r="263" spans="2:19" x14ac:dyDescent="0.2">
      <c r="B263" s="188"/>
      <c r="C263" s="324"/>
      <c r="D263" s="341" t="s">
        <v>1780</v>
      </c>
      <c r="E263" s="189"/>
      <c r="F263" s="189"/>
      <c r="G263" s="189"/>
      <c r="H263" s="292"/>
      <c r="I263" s="292"/>
      <c r="J263" s="292"/>
      <c r="K263" s="515"/>
      <c r="L263" s="516"/>
      <c r="M263" s="517"/>
      <c r="N263" s="189"/>
      <c r="O263" s="515"/>
      <c r="P263" s="516"/>
      <c r="Q263" s="517"/>
      <c r="R263" s="292"/>
      <c r="S263" s="191"/>
    </row>
    <row r="264" spans="2:19" ht="15" x14ac:dyDescent="0.25">
      <c r="B264" s="188"/>
      <c r="C264" s="324" t="s">
        <v>1011</v>
      </c>
      <c r="D264" s="298" t="s">
        <v>808</v>
      </c>
      <c r="E264" s="189"/>
      <c r="F264" s="189"/>
      <c r="G264" s="189"/>
      <c r="H264" s="292"/>
      <c r="I264" s="292"/>
      <c r="J264" s="292"/>
      <c r="K264" s="506"/>
      <c r="L264" s="507"/>
      <c r="M264" s="508"/>
      <c r="N264" s="189"/>
      <c r="O264" s="506"/>
      <c r="P264" s="507"/>
      <c r="Q264" s="508"/>
      <c r="R264" s="276"/>
      <c r="S264" s="293"/>
    </row>
    <row r="265" spans="2:19" ht="15" thickBot="1" x14ac:dyDescent="0.25">
      <c r="B265" s="188"/>
      <c r="C265" s="317"/>
      <c r="D265" s="298"/>
      <c r="E265" s="189"/>
      <c r="F265" s="189"/>
      <c r="G265" s="189"/>
      <c r="H265" s="292"/>
      <c r="I265" s="292"/>
      <c r="J265" s="292"/>
      <c r="K265" s="292"/>
      <c r="L265" s="189"/>
      <c r="M265" s="292"/>
      <c r="N265" s="189"/>
      <c r="O265" s="292"/>
      <c r="P265" s="292"/>
      <c r="Q265" s="189"/>
      <c r="R265" s="329"/>
      <c r="S265" s="191"/>
    </row>
    <row r="266" spans="2:19" s="306" customFormat="1" ht="16.5" thickTop="1" thickBot="1" x14ac:dyDescent="0.3">
      <c r="B266" s="301"/>
      <c r="C266" s="302">
        <v>9.1999999999999993</v>
      </c>
      <c r="D266" s="322" t="s">
        <v>1013</v>
      </c>
      <c r="E266" s="305"/>
      <c r="F266" s="305"/>
      <c r="G266" s="305"/>
      <c r="H266" s="412" t="str">
        <f>IF((SUM(K267:M268))&lt;&gt;K266,(SUM(K267:M268)),"")</f>
        <v/>
      </c>
      <c r="I266" s="497"/>
      <c r="J266" s="498"/>
      <c r="K266" s="518">
        <f>SUM(K267:M268)</f>
        <v>0</v>
      </c>
      <c r="L266" s="519"/>
      <c r="M266" s="520"/>
      <c r="N266" s="305"/>
      <c r="O266" s="518">
        <f>SUM(O267:Q268)</f>
        <v>0</v>
      </c>
      <c r="P266" s="519"/>
      <c r="Q266" s="520"/>
      <c r="R266" s="533" t="str">
        <f>IF((SUM(O267:O268))&lt;&gt;O266,(SUM(O267:O268)),"")</f>
        <v/>
      </c>
      <c r="S266" s="528"/>
    </row>
    <row r="267" spans="2:19" ht="15.75" thickTop="1" x14ac:dyDescent="0.25">
      <c r="B267" s="188"/>
      <c r="C267" s="316" t="s">
        <v>824</v>
      </c>
      <c r="D267" s="298" t="s">
        <v>1014</v>
      </c>
      <c r="E267" s="189"/>
      <c r="F267" s="189"/>
      <c r="G267" s="189"/>
      <c r="H267" s="292"/>
      <c r="I267" s="292"/>
      <c r="J267" s="292"/>
      <c r="K267" s="506"/>
      <c r="L267" s="507"/>
      <c r="M267" s="508"/>
      <c r="N267" s="189"/>
      <c r="O267" s="506"/>
      <c r="P267" s="507"/>
      <c r="Q267" s="508"/>
      <c r="R267" s="276"/>
      <c r="S267" s="293"/>
    </row>
    <row r="268" spans="2:19" ht="15" x14ac:dyDescent="0.25">
      <c r="B268" s="188"/>
      <c r="C268" s="316" t="s">
        <v>824</v>
      </c>
      <c r="D268" s="298" t="s">
        <v>1015</v>
      </c>
      <c r="E268" s="189"/>
      <c r="F268" s="189"/>
      <c r="G268" s="189"/>
      <c r="H268" s="292"/>
      <c r="I268" s="292"/>
      <c r="J268" s="292"/>
      <c r="K268" s="515"/>
      <c r="L268" s="516"/>
      <c r="M268" s="517"/>
      <c r="N268" s="189"/>
      <c r="O268" s="515"/>
      <c r="P268" s="516"/>
      <c r="Q268" s="517"/>
      <c r="R268" s="276"/>
      <c r="S268" s="293"/>
    </row>
    <row r="269" spans="2:19" ht="15" thickBot="1" x14ac:dyDescent="0.25">
      <c r="B269" s="188"/>
      <c r="C269" s="317"/>
      <c r="D269" s="298"/>
      <c r="E269" s="189"/>
      <c r="F269" s="189"/>
      <c r="G269" s="189"/>
      <c r="H269" s="292"/>
      <c r="I269" s="292"/>
      <c r="J269" s="292"/>
      <c r="K269" s="292"/>
      <c r="L269" s="189"/>
      <c r="M269" s="292"/>
      <c r="N269" s="189"/>
      <c r="O269" s="292"/>
      <c r="P269" s="292"/>
      <c r="Q269" s="189"/>
      <c r="R269" s="292"/>
      <c r="S269" s="191"/>
    </row>
    <row r="270" spans="2:19" s="306" customFormat="1" ht="16.5" thickTop="1" thickBot="1" x14ac:dyDescent="0.3">
      <c r="B270" s="301"/>
      <c r="C270" s="302">
        <v>9.3000000000000007</v>
      </c>
      <c r="D270" s="322" t="s">
        <v>1022</v>
      </c>
      <c r="E270" s="305"/>
      <c r="F270" s="305"/>
      <c r="G270" s="305"/>
      <c r="H270" s="412" t="str">
        <f>IF((K255-K266)&lt;&gt;K270,(K255-K266),"")</f>
        <v/>
      </c>
      <c r="I270" s="497"/>
      <c r="J270" s="498"/>
      <c r="K270" s="530">
        <f>K255-K266</f>
        <v>0</v>
      </c>
      <c r="L270" s="531"/>
      <c r="M270" s="532"/>
      <c r="N270" s="287"/>
      <c r="O270" s="530">
        <f>O255-O266</f>
        <v>0</v>
      </c>
      <c r="P270" s="531"/>
      <c r="Q270" s="532"/>
      <c r="R270" s="533" t="str">
        <f>IF((O255-O266)&lt;&gt;O270,(O255-O266),"")</f>
        <v/>
      </c>
      <c r="S270" s="534"/>
    </row>
    <row r="271" spans="2:19" ht="15.75" thickTop="1" thickBot="1" x14ac:dyDescent="0.25">
      <c r="B271" s="217"/>
      <c r="C271" s="206"/>
      <c r="D271" s="206"/>
      <c r="E271" s="206"/>
      <c r="F271" s="206"/>
      <c r="G271" s="206"/>
      <c r="H271" s="206"/>
      <c r="I271" s="206"/>
      <c r="J271" s="206"/>
      <c r="K271" s="206"/>
      <c r="L271" s="206"/>
      <c r="M271" s="206"/>
      <c r="N271" s="206"/>
      <c r="O271" s="206"/>
      <c r="P271" s="206"/>
      <c r="Q271" s="206"/>
      <c r="R271" s="206"/>
      <c r="S271" s="207"/>
    </row>
    <row r="272" spans="2:19" ht="15.75" thickTop="1" thickBot="1" x14ac:dyDescent="0.25">
      <c r="B272" s="208"/>
      <c r="C272" s="208"/>
      <c r="D272" s="208"/>
      <c r="E272" s="208"/>
      <c r="F272" s="208"/>
      <c r="G272" s="208"/>
      <c r="H272" s="208"/>
      <c r="I272" s="208"/>
      <c r="J272" s="208"/>
      <c r="K272" s="208"/>
      <c r="L272" s="208"/>
      <c r="M272" s="208"/>
      <c r="N272" s="208"/>
      <c r="O272" s="208"/>
      <c r="P272" s="208"/>
      <c r="Q272" s="208"/>
      <c r="R272" s="208"/>
      <c r="S272" s="208"/>
    </row>
    <row r="273" spans="2:19" ht="15" thickTop="1" x14ac:dyDescent="0.2">
      <c r="B273" s="186"/>
      <c r="C273" s="187"/>
      <c r="D273" s="187"/>
      <c r="E273" s="187"/>
      <c r="F273" s="187"/>
      <c r="G273" s="187"/>
      <c r="H273" s="187"/>
      <c r="I273" s="187"/>
      <c r="J273" s="187"/>
      <c r="K273" s="187"/>
      <c r="L273" s="187"/>
      <c r="M273" s="187"/>
      <c r="N273" s="187"/>
      <c r="O273" s="187"/>
      <c r="P273" s="187"/>
      <c r="Q273" s="187"/>
      <c r="R273" s="187"/>
      <c r="S273" s="209"/>
    </row>
    <row r="274" spans="2:19" ht="15.75" x14ac:dyDescent="0.25">
      <c r="B274" s="188"/>
      <c r="C274" s="210" t="s">
        <v>1021</v>
      </c>
      <c r="D274" s="289"/>
      <c r="E274" s="189"/>
      <c r="F274" s="189"/>
      <c r="G274" s="189"/>
      <c r="H274" s="189"/>
      <c r="I274" s="189"/>
      <c r="J274" s="189"/>
      <c r="K274" s="189"/>
      <c r="L274" s="189"/>
      <c r="M274" s="189"/>
      <c r="N274" s="189"/>
      <c r="O274" s="189"/>
      <c r="P274" s="189"/>
      <c r="Q274" s="189"/>
      <c r="R274" s="189"/>
      <c r="S274" s="191"/>
    </row>
    <row r="275" spans="2:19" ht="15.75" x14ac:dyDescent="0.25">
      <c r="B275" s="188"/>
      <c r="C275" s="210"/>
      <c r="D275" s="289"/>
      <c r="E275" s="189"/>
      <c r="F275" s="189"/>
      <c r="G275" s="189"/>
      <c r="H275" s="189"/>
      <c r="I275" s="189"/>
      <c r="J275" s="189"/>
      <c r="K275" s="428" t="s">
        <v>1526</v>
      </c>
      <c r="L275" s="428"/>
      <c r="M275" s="428"/>
      <c r="N275" s="290"/>
      <c r="O275" s="428" t="s">
        <v>1527</v>
      </c>
      <c r="P275" s="428"/>
      <c r="Q275" s="428"/>
      <c r="R275" s="189"/>
      <c r="S275" s="191"/>
    </row>
    <row r="276" spans="2:19" x14ac:dyDescent="0.2">
      <c r="B276" s="188"/>
      <c r="C276" s="317">
        <v>10.1</v>
      </c>
      <c r="D276" s="298" t="s">
        <v>840</v>
      </c>
      <c r="E276" s="255"/>
      <c r="F276" s="189"/>
      <c r="G276" s="189"/>
      <c r="H276" s="189"/>
      <c r="I276" s="189"/>
      <c r="J276" s="292"/>
      <c r="K276" s="372"/>
      <c r="L276" s="373"/>
      <c r="M276" s="374"/>
      <c r="N276" s="292"/>
      <c r="O276" s="372"/>
      <c r="P276" s="373"/>
      <c r="Q276" s="374"/>
      <c r="R276" s="189"/>
      <c r="S276" s="191"/>
    </row>
    <row r="277" spans="2:19" ht="15.75" x14ac:dyDescent="0.25">
      <c r="B277" s="188"/>
      <c r="C277" s="314"/>
      <c r="D277" s="315" t="s">
        <v>841</v>
      </c>
      <c r="E277" s="189"/>
      <c r="F277" s="189"/>
      <c r="G277" s="189"/>
      <c r="H277" s="189"/>
      <c r="I277" s="189"/>
      <c r="J277" s="189"/>
      <c r="K277" s="189"/>
      <c r="L277" s="189"/>
      <c r="M277" s="189"/>
      <c r="N277" s="189"/>
      <c r="O277" s="292"/>
      <c r="P277" s="292"/>
      <c r="Q277" s="292"/>
      <c r="R277" s="189"/>
      <c r="S277" s="191"/>
    </row>
    <row r="278" spans="2:19" x14ac:dyDescent="0.2">
      <c r="B278" s="188"/>
      <c r="C278" s="317">
        <v>10.199999999999999</v>
      </c>
      <c r="D278" s="298" t="s">
        <v>1062</v>
      </c>
      <c r="E278" s="189"/>
      <c r="F278" s="189"/>
      <c r="G278" s="189"/>
      <c r="H278" s="189"/>
      <c r="I278" s="189"/>
      <c r="J278" s="189"/>
      <c r="K278" s="226" t="s">
        <v>946</v>
      </c>
      <c r="L278" s="212"/>
      <c r="M278" s="226" t="s">
        <v>947</v>
      </c>
      <c r="N278" s="212"/>
      <c r="O278" s="226" t="s">
        <v>948</v>
      </c>
      <c r="P278" s="226"/>
      <c r="Q278" s="212" t="s">
        <v>994</v>
      </c>
      <c r="R278" s="292"/>
      <c r="S278" s="191"/>
    </row>
    <row r="279" spans="2:19" ht="15.75" x14ac:dyDescent="0.25">
      <c r="B279" s="188"/>
      <c r="C279" s="210"/>
      <c r="D279" s="298" t="s">
        <v>1699</v>
      </c>
      <c r="E279" s="189"/>
      <c r="F279" s="189"/>
      <c r="G279" s="189"/>
      <c r="H279" s="189"/>
      <c r="I279" s="189"/>
      <c r="J279" s="189"/>
      <c r="K279" s="330"/>
      <c r="L279" s="189"/>
      <c r="M279" s="330"/>
      <c r="N279" s="292"/>
      <c r="O279" s="330"/>
      <c r="P279" s="292"/>
      <c r="Q279" s="331"/>
      <c r="R279" s="189"/>
      <c r="S279" s="191"/>
    </row>
    <row r="280" spans="2:19" ht="15" thickBot="1" x14ac:dyDescent="0.25">
      <c r="B280" s="217"/>
      <c r="C280" s="206"/>
      <c r="D280" s="206"/>
      <c r="E280" s="206"/>
      <c r="F280" s="206"/>
      <c r="G280" s="206"/>
      <c r="H280" s="206"/>
      <c r="I280" s="206"/>
      <c r="J280" s="206"/>
      <c r="K280" s="206"/>
      <c r="L280" s="206"/>
      <c r="M280" s="206"/>
      <c r="N280" s="206"/>
      <c r="O280" s="206"/>
      <c r="P280" s="206"/>
      <c r="Q280" s="206"/>
      <c r="R280" s="206"/>
      <c r="S280" s="207"/>
    </row>
    <row r="281" spans="2:19" ht="15.75" thickTop="1" thickBot="1" x14ac:dyDescent="0.25">
      <c r="B281" s="208"/>
      <c r="C281" s="208"/>
      <c r="D281" s="208"/>
      <c r="E281" s="208"/>
      <c r="F281" s="208"/>
      <c r="G281" s="208"/>
      <c r="H281" s="208"/>
      <c r="I281" s="208"/>
      <c r="J281" s="208"/>
      <c r="K281" s="208"/>
      <c r="L281" s="208"/>
      <c r="M281" s="208"/>
      <c r="N281" s="208"/>
      <c r="O281" s="208"/>
      <c r="P281" s="208"/>
      <c r="Q281" s="208"/>
      <c r="R281" s="208"/>
      <c r="S281" s="208"/>
    </row>
    <row r="282" spans="2:19" ht="15" thickTop="1" x14ac:dyDescent="0.2">
      <c r="B282" s="186"/>
      <c r="C282" s="187"/>
      <c r="D282" s="187"/>
      <c r="E282" s="187"/>
      <c r="F282" s="187"/>
      <c r="G282" s="187"/>
      <c r="H282" s="187"/>
      <c r="I282" s="187"/>
      <c r="J282" s="187"/>
      <c r="K282" s="187"/>
      <c r="L282" s="187"/>
      <c r="M282" s="187"/>
      <c r="N282" s="187"/>
      <c r="O282" s="187"/>
      <c r="P282" s="187"/>
      <c r="Q282" s="187"/>
      <c r="R282" s="187"/>
      <c r="S282" s="209"/>
    </row>
    <row r="283" spans="2:19" ht="15.75" x14ac:dyDescent="0.25">
      <c r="B283" s="188"/>
      <c r="C283" s="210" t="s">
        <v>1036</v>
      </c>
      <c r="D283" s="298"/>
      <c r="E283" s="189"/>
      <c r="F283" s="189"/>
      <c r="G283" s="189"/>
      <c r="H283" s="189"/>
      <c r="I283" s="189" t="str">
        <f>IF(ISTEXT(O43), O43, "")</f>
        <v/>
      </c>
      <c r="J283" s="189"/>
      <c r="K283" s="292"/>
      <c r="L283" s="189"/>
      <c r="M283" s="292"/>
      <c r="N283" s="189"/>
      <c r="O283" s="292"/>
      <c r="P283" s="292"/>
      <c r="Q283" s="189"/>
      <c r="R283" s="292"/>
      <c r="S283" s="191"/>
    </row>
    <row r="284" spans="2:19" ht="15.75" thickBot="1" x14ac:dyDescent="0.3">
      <c r="B284" s="188"/>
      <c r="C284" s="200"/>
      <c r="D284" s="298"/>
      <c r="E284" s="189"/>
      <c r="F284" s="189"/>
      <c r="G284" s="189"/>
      <c r="H284" s="189"/>
      <c r="I284" s="189"/>
      <c r="J284" s="189"/>
      <c r="K284" s="428" t="s">
        <v>1526</v>
      </c>
      <c r="L284" s="428"/>
      <c r="M284" s="428"/>
      <c r="N284" s="290"/>
      <c r="O284" s="428" t="s">
        <v>1527</v>
      </c>
      <c r="P284" s="428"/>
      <c r="Q284" s="428"/>
      <c r="R284" s="292"/>
      <c r="S284" s="191"/>
    </row>
    <row r="285" spans="2:19" s="306" customFormat="1" ht="15.75" thickBot="1" x14ac:dyDescent="0.3">
      <c r="B285" s="301"/>
      <c r="C285" s="302">
        <v>11.1</v>
      </c>
      <c r="D285" s="277" t="s">
        <v>1037</v>
      </c>
      <c r="E285" s="305"/>
      <c r="F285" s="305"/>
      <c r="G285" s="305"/>
      <c r="H285" s="305"/>
      <c r="I285" s="412" t="str">
        <f>IF((SUM(K287:K291,K293))&lt;&gt;K285,(SUM(K287:K291,K293)),"")</f>
        <v/>
      </c>
      <c r="J285" s="426"/>
      <c r="K285" s="435">
        <f>K199</f>
        <v>0</v>
      </c>
      <c r="L285" s="436"/>
      <c r="M285" s="437"/>
      <c r="N285" s="287"/>
      <c r="O285" s="435">
        <f>O199</f>
        <v>0</v>
      </c>
      <c r="P285" s="436"/>
      <c r="Q285" s="437"/>
      <c r="R285" s="412" t="str">
        <f>IF((SUM(O287:O291,O293))&lt;&gt;O285,(SUM(O287:O291,O293)),"")</f>
        <v/>
      </c>
      <c r="S285" s="426"/>
    </row>
    <row r="286" spans="2:19" ht="15" x14ac:dyDescent="0.25">
      <c r="B286" s="188"/>
      <c r="C286" s="317"/>
      <c r="D286" s="298"/>
      <c r="E286" s="189"/>
      <c r="F286" s="189"/>
      <c r="G286" s="189"/>
      <c r="H286" s="189"/>
      <c r="I286" s="189"/>
      <c r="J286" s="189"/>
      <c r="K286" s="377"/>
      <c r="L286" s="365"/>
      <c r="M286" s="365"/>
      <c r="N286" s="292"/>
      <c r="O286" s="377"/>
      <c r="P286" s="365"/>
      <c r="Q286" s="365"/>
      <c r="R286" s="292"/>
      <c r="S286" s="191"/>
    </row>
    <row r="287" spans="2:19" ht="15" x14ac:dyDescent="0.25">
      <c r="B287" s="188"/>
      <c r="C287" s="316" t="s">
        <v>825</v>
      </c>
      <c r="D287" s="298" t="s">
        <v>12</v>
      </c>
      <c r="E287" s="189"/>
      <c r="F287" s="189"/>
      <c r="G287" s="189"/>
      <c r="H287" s="189"/>
      <c r="I287" s="189"/>
      <c r="J287" s="189"/>
      <c r="K287" s="372"/>
      <c r="L287" s="373"/>
      <c r="M287" s="374"/>
      <c r="N287" s="276"/>
      <c r="O287" s="372"/>
      <c r="P287" s="373"/>
      <c r="Q287" s="374"/>
      <c r="R287" s="292"/>
      <c r="S287" s="191"/>
    </row>
    <row r="288" spans="2:19" ht="15" x14ac:dyDescent="0.25">
      <c r="B288" s="188"/>
      <c r="C288" s="316" t="s">
        <v>826</v>
      </c>
      <c r="D288" s="298" t="s">
        <v>1775</v>
      </c>
      <c r="E288" s="189"/>
      <c r="F288" s="189"/>
      <c r="G288" s="189"/>
      <c r="H288" s="189"/>
      <c r="I288" s="189"/>
      <c r="J288" s="189"/>
      <c r="K288" s="372"/>
      <c r="L288" s="373"/>
      <c r="M288" s="374"/>
      <c r="N288" s="276"/>
      <c r="O288" s="372"/>
      <c r="P288" s="373"/>
      <c r="Q288" s="374"/>
      <c r="R288" s="292"/>
      <c r="S288" s="191"/>
    </row>
    <row r="289" spans="2:19" ht="15" x14ac:dyDescent="0.25">
      <c r="B289" s="188"/>
      <c r="C289" s="316" t="s">
        <v>827</v>
      </c>
      <c r="D289" s="298" t="s">
        <v>1041</v>
      </c>
      <c r="E289" s="189"/>
      <c r="F289" s="189"/>
      <c r="G289" s="189"/>
      <c r="H289" s="189"/>
      <c r="I289" s="189"/>
      <c r="J289" s="189"/>
      <c r="K289" s="372"/>
      <c r="L289" s="373"/>
      <c r="M289" s="374"/>
      <c r="N289" s="276"/>
      <c r="O289" s="372"/>
      <c r="P289" s="373"/>
      <c r="Q289" s="374"/>
      <c r="R289" s="292"/>
      <c r="S289" s="191"/>
    </row>
    <row r="290" spans="2:19" ht="15" x14ac:dyDescent="0.25">
      <c r="B290" s="188"/>
      <c r="C290" s="316" t="s">
        <v>1038</v>
      </c>
      <c r="D290" s="298" t="s">
        <v>1042</v>
      </c>
      <c r="E290" s="189"/>
      <c r="F290" s="189"/>
      <c r="G290" s="189"/>
      <c r="H290" s="189"/>
      <c r="I290" s="189"/>
      <c r="J290" s="189"/>
      <c r="K290" s="372"/>
      <c r="L290" s="373"/>
      <c r="M290" s="374"/>
      <c r="N290" s="276"/>
      <c r="O290" s="372"/>
      <c r="P290" s="373"/>
      <c r="Q290" s="374"/>
      <c r="R290" s="292"/>
      <c r="S290" s="191"/>
    </row>
    <row r="291" spans="2:19" x14ac:dyDescent="0.2">
      <c r="B291" s="188"/>
      <c r="C291" s="316" t="s">
        <v>1039</v>
      </c>
      <c r="D291" s="298" t="s">
        <v>1043</v>
      </c>
      <c r="E291" s="189"/>
      <c r="F291" s="189"/>
      <c r="G291" s="189"/>
      <c r="H291" s="189"/>
      <c r="I291" s="189"/>
      <c r="J291" s="189"/>
      <c r="K291" s="372"/>
      <c r="L291" s="373"/>
      <c r="M291" s="374"/>
      <c r="N291" s="189"/>
      <c r="O291" s="372"/>
      <c r="P291" s="373"/>
      <c r="Q291" s="374"/>
      <c r="R291" s="329"/>
      <c r="S291" s="191"/>
    </row>
    <row r="292" spans="2:19" ht="15" x14ac:dyDescent="0.25">
      <c r="B292" s="188"/>
      <c r="C292" s="316" t="s">
        <v>1040</v>
      </c>
      <c r="D292" s="298" t="s">
        <v>1044</v>
      </c>
      <c r="E292" s="189"/>
      <c r="F292" s="189"/>
      <c r="G292" s="189"/>
      <c r="H292" s="189"/>
      <c r="I292" s="189"/>
      <c r="J292" s="189"/>
      <c r="K292" s="381"/>
      <c r="L292" s="363"/>
      <c r="M292" s="363"/>
      <c r="N292" s="189"/>
      <c r="O292" s="381"/>
      <c r="P292" s="363"/>
      <c r="Q292" s="363"/>
      <c r="R292" s="292"/>
      <c r="S292" s="191"/>
    </row>
    <row r="293" spans="2:19" ht="15" x14ac:dyDescent="0.25">
      <c r="B293" s="188"/>
      <c r="C293" s="200"/>
      <c r="D293" s="432"/>
      <c r="E293" s="433"/>
      <c r="F293" s="433"/>
      <c r="G293" s="433"/>
      <c r="H293" s="433"/>
      <c r="I293" s="434"/>
      <c r="J293" s="189"/>
      <c r="K293" s="372"/>
      <c r="L293" s="373"/>
      <c r="M293" s="374"/>
      <c r="N293" s="189"/>
      <c r="O293" s="372"/>
      <c r="P293" s="373"/>
      <c r="Q293" s="374"/>
      <c r="R293" s="292"/>
      <c r="S293" s="191"/>
    </row>
    <row r="294" spans="2:19" ht="15.75" thickBot="1" x14ac:dyDescent="0.3">
      <c r="B294" s="217"/>
      <c r="C294" s="206"/>
      <c r="D294" s="206"/>
      <c r="E294" s="206"/>
      <c r="F294" s="206"/>
      <c r="G294" s="206"/>
      <c r="H294" s="206"/>
      <c r="I294" s="206"/>
      <c r="J294" s="206"/>
      <c r="K294" s="367"/>
      <c r="L294" s="368"/>
      <c r="M294" s="368"/>
      <c r="N294" s="206"/>
      <c r="O294" s="367"/>
      <c r="P294" s="368"/>
      <c r="Q294" s="368"/>
      <c r="R294" s="206"/>
      <c r="S294" s="207"/>
    </row>
    <row r="295" spans="2:19" ht="15.75" thickTop="1" thickBot="1" x14ac:dyDescent="0.25">
      <c r="B295" s="208"/>
      <c r="C295" s="208"/>
      <c r="D295" s="208"/>
      <c r="E295" s="208"/>
      <c r="F295" s="208"/>
      <c r="G295" s="208"/>
      <c r="H295" s="208"/>
      <c r="I295" s="208"/>
      <c r="J295" s="208"/>
      <c r="K295" s="208"/>
      <c r="L295" s="208"/>
      <c r="M295" s="208"/>
      <c r="N295" s="208"/>
      <c r="O295" s="208"/>
      <c r="P295" s="208"/>
      <c r="Q295" s="208"/>
      <c r="R295" s="208"/>
      <c r="S295" s="208"/>
    </row>
    <row r="296" spans="2:19" ht="15" thickTop="1" x14ac:dyDescent="0.2">
      <c r="B296" s="186"/>
      <c r="C296" s="187"/>
      <c r="D296" s="187"/>
      <c r="E296" s="187"/>
      <c r="F296" s="187"/>
      <c r="G296" s="187"/>
      <c r="H296" s="187"/>
      <c r="I296" s="187"/>
      <c r="J296" s="187"/>
      <c r="K296" s="187"/>
      <c r="L296" s="187"/>
      <c r="M296" s="187"/>
      <c r="N296" s="187"/>
      <c r="O296" s="187"/>
      <c r="P296" s="187"/>
      <c r="Q296" s="187"/>
      <c r="R296" s="187"/>
      <c r="S296" s="209"/>
    </row>
    <row r="297" spans="2:19" ht="15.75" x14ac:dyDescent="0.25">
      <c r="B297" s="188"/>
      <c r="C297" s="210" t="s">
        <v>1045</v>
      </c>
      <c r="D297" s="289"/>
      <c r="E297" s="189"/>
      <c r="F297" s="189"/>
      <c r="G297" s="189"/>
      <c r="H297" s="189"/>
      <c r="I297" s="189"/>
      <c r="J297" s="189"/>
      <c r="K297" s="189"/>
      <c r="L297" s="189"/>
      <c r="M297" s="189"/>
      <c r="N297" s="189"/>
      <c r="O297" s="189"/>
      <c r="P297" s="189"/>
      <c r="Q297" s="189"/>
      <c r="R297" s="189"/>
      <c r="S297" s="191"/>
    </row>
    <row r="298" spans="2:19" ht="15.75" x14ac:dyDescent="0.25">
      <c r="B298" s="188"/>
      <c r="C298" s="210"/>
      <c r="D298" s="289"/>
      <c r="E298" s="189"/>
      <c r="F298" s="189"/>
      <c r="G298" s="189"/>
      <c r="H298" s="189"/>
      <c r="I298" s="189"/>
      <c r="J298" s="189"/>
      <c r="K298" s="428" t="s">
        <v>1526</v>
      </c>
      <c r="L298" s="428"/>
      <c r="M298" s="428"/>
      <c r="N298" s="290"/>
      <c r="O298" s="428" t="s">
        <v>1527</v>
      </c>
      <c r="P298" s="428"/>
      <c r="Q298" s="428"/>
      <c r="R298" s="189"/>
      <c r="S298" s="191"/>
    </row>
    <row r="299" spans="2:19" x14ac:dyDescent="0.2">
      <c r="B299" s="188"/>
      <c r="C299" s="317">
        <v>12.1</v>
      </c>
      <c r="D299" s="298" t="s">
        <v>820</v>
      </c>
      <c r="E299" s="255"/>
      <c r="F299" s="189"/>
      <c r="G299" s="189"/>
      <c r="H299" s="189"/>
      <c r="I299" s="189"/>
      <c r="J299" s="292"/>
      <c r="K299" s="372"/>
      <c r="L299" s="373"/>
      <c r="M299" s="374"/>
      <c r="N299" s="292"/>
      <c r="O299" s="372"/>
      <c r="P299" s="373"/>
      <c r="Q299" s="374"/>
      <c r="R299" s="189"/>
      <c r="S299" s="191"/>
    </row>
    <row r="300" spans="2:19" x14ac:dyDescent="0.2">
      <c r="B300" s="188"/>
      <c r="C300" s="317">
        <v>12.2</v>
      </c>
      <c r="D300" s="298" t="s">
        <v>821</v>
      </c>
      <c r="E300" s="255"/>
      <c r="F300" s="189"/>
      <c r="G300" s="189"/>
      <c r="H300" s="189"/>
      <c r="I300" s="189"/>
      <c r="J300" s="292"/>
      <c r="K300" s="372"/>
      <c r="L300" s="373"/>
      <c r="M300" s="374"/>
      <c r="N300" s="292"/>
      <c r="O300" s="492"/>
      <c r="P300" s="493"/>
      <c r="Q300" s="529"/>
      <c r="R300" s="189"/>
      <c r="S300" s="191"/>
    </row>
    <row r="301" spans="2:19" ht="15.75" thickBot="1" x14ac:dyDescent="0.3">
      <c r="B301" s="217"/>
      <c r="C301" s="206"/>
      <c r="D301" s="206"/>
      <c r="E301" s="206"/>
      <c r="F301" s="206"/>
      <c r="G301" s="206"/>
      <c r="H301" s="206"/>
      <c r="I301" s="206"/>
      <c r="J301" s="206"/>
      <c r="K301" s="367"/>
      <c r="L301" s="368"/>
      <c r="M301" s="368"/>
      <c r="N301" s="206"/>
      <c r="O301" s="367"/>
      <c r="P301" s="368"/>
      <c r="Q301" s="368"/>
      <c r="R301" s="206"/>
      <c r="S301" s="207"/>
    </row>
    <row r="302" spans="2:19" ht="15.75" thickTop="1" thickBot="1" x14ac:dyDescent="0.25">
      <c r="B302" s="208"/>
      <c r="C302" s="208"/>
      <c r="D302" s="208"/>
      <c r="E302" s="208"/>
      <c r="F302" s="208"/>
      <c r="G302" s="208"/>
      <c r="H302" s="208"/>
      <c r="I302" s="208"/>
      <c r="J302" s="208"/>
      <c r="K302" s="208"/>
      <c r="L302" s="208"/>
      <c r="M302" s="208"/>
      <c r="N302" s="208"/>
      <c r="O302" s="208"/>
      <c r="P302" s="208"/>
      <c r="Q302" s="208"/>
      <c r="R302" s="208"/>
      <c r="S302" s="208"/>
    </row>
    <row r="303" spans="2:19" ht="15" thickTop="1" x14ac:dyDescent="0.2">
      <c r="B303" s="186"/>
      <c r="C303" s="187"/>
      <c r="D303" s="187"/>
      <c r="E303" s="187"/>
      <c r="F303" s="187"/>
      <c r="G303" s="187"/>
      <c r="H303" s="187"/>
      <c r="I303" s="187"/>
      <c r="J303" s="187"/>
      <c r="K303" s="187"/>
      <c r="L303" s="187"/>
      <c r="M303" s="187"/>
      <c r="N303" s="187"/>
      <c r="O303" s="187"/>
      <c r="P303" s="187"/>
      <c r="Q303" s="187"/>
      <c r="R303" s="187"/>
      <c r="S303" s="209"/>
    </row>
    <row r="304" spans="2:19" ht="15.75" x14ac:dyDescent="0.25">
      <c r="B304" s="188"/>
      <c r="C304" s="210" t="s">
        <v>1050</v>
      </c>
      <c r="D304" s="289"/>
      <c r="E304" s="189"/>
      <c r="F304" s="189"/>
      <c r="G304" s="189"/>
      <c r="H304" s="189" t="str">
        <f>IF(ISTEXT(O43), O43, "")</f>
        <v/>
      </c>
      <c r="I304" s="189"/>
      <c r="J304" s="189"/>
      <c r="K304" s="189"/>
      <c r="L304" s="189"/>
      <c r="M304" s="189"/>
      <c r="N304" s="189"/>
      <c r="O304" s="189"/>
      <c r="P304" s="189"/>
      <c r="Q304" s="189"/>
      <c r="R304" s="189"/>
      <c r="S304" s="191"/>
    </row>
    <row r="305" spans="2:19" ht="16.5" thickBot="1" x14ac:dyDescent="0.3">
      <c r="B305" s="188"/>
      <c r="C305" s="210"/>
      <c r="D305" s="289"/>
      <c r="E305" s="189"/>
      <c r="F305" s="189"/>
      <c r="G305" s="189"/>
      <c r="H305" s="189"/>
      <c r="I305" s="189"/>
      <c r="J305" s="189"/>
      <c r="K305" s="428" t="s">
        <v>1526</v>
      </c>
      <c r="L305" s="428"/>
      <c r="M305" s="428"/>
      <c r="N305" s="290"/>
      <c r="O305" s="428" t="s">
        <v>1527</v>
      </c>
      <c r="P305" s="428"/>
      <c r="Q305" s="428"/>
      <c r="R305" s="189"/>
      <c r="S305" s="191"/>
    </row>
    <row r="306" spans="2:19" s="306" customFormat="1" ht="15.75" thickBot="1" x14ac:dyDescent="0.3">
      <c r="B306" s="301"/>
      <c r="C306" s="302">
        <v>13.1</v>
      </c>
      <c r="D306" s="277" t="s">
        <v>45</v>
      </c>
      <c r="E306" s="311"/>
      <c r="F306" s="305"/>
      <c r="G306" s="305"/>
      <c r="H306" s="305"/>
      <c r="I306" s="412" t="str">
        <f>IF((SUM(K308:K310,K312))&lt;&gt;K306,(SUM(K308:K310,K312)),"")</f>
        <v/>
      </c>
      <c r="J306" s="426"/>
      <c r="K306" s="435">
        <f>SUM(K308:M310,K312)</f>
        <v>0</v>
      </c>
      <c r="L306" s="436"/>
      <c r="M306" s="437"/>
      <c r="N306" s="287"/>
      <c r="O306" s="435">
        <f>SUM(O308:Q310,O312)</f>
        <v>0</v>
      </c>
      <c r="P306" s="436"/>
      <c r="Q306" s="437"/>
      <c r="R306" s="472" t="str">
        <f>IF((SUM(O308:O310,O312))&lt;&gt;O306,(SUM(O308:O310,O312)),"")</f>
        <v/>
      </c>
      <c r="S306" s="528"/>
    </row>
    <row r="307" spans="2:19" x14ac:dyDescent="0.2">
      <c r="B307" s="188"/>
      <c r="C307" s="312"/>
      <c r="D307" s="315" t="s">
        <v>40</v>
      </c>
      <c r="E307" s="289"/>
      <c r="F307" s="189"/>
      <c r="G307" s="189"/>
      <c r="H307" s="189"/>
      <c r="I307" s="189"/>
      <c r="J307" s="292"/>
      <c r="K307" s="292"/>
      <c r="L307" s="292"/>
      <c r="M307" s="292"/>
      <c r="N307" s="189"/>
      <c r="O307" s="292"/>
      <c r="P307" s="292"/>
      <c r="Q307" s="292"/>
      <c r="R307" s="189"/>
      <c r="S307" s="191"/>
    </row>
    <row r="308" spans="2:19" x14ac:dyDescent="0.2">
      <c r="B308" s="188"/>
      <c r="C308" s="316" t="s">
        <v>1046</v>
      </c>
      <c r="D308" s="298" t="s">
        <v>46</v>
      </c>
      <c r="E308" s="189"/>
      <c r="F308" s="189"/>
      <c r="G308" s="189"/>
      <c r="H308" s="189"/>
      <c r="I308" s="189"/>
      <c r="J308" s="189"/>
      <c r="K308" s="372"/>
      <c r="L308" s="373"/>
      <c r="M308" s="374"/>
      <c r="N308" s="189"/>
      <c r="O308" s="372"/>
      <c r="P308" s="373"/>
      <c r="Q308" s="374"/>
      <c r="R308" s="189"/>
      <c r="S308" s="191"/>
    </row>
    <row r="309" spans="2:19" x14ac:dyDescent="0.2">
      <c r="B309" s="188"/>
      <c r="C309" s="316" t="s">
        <v>1047</v>
      </c>
      <c r="D309" s="298" t="s">
        <v>11</v>
      </c>
      <c r="E309" s="189"/>
      <c r="F309" s="189"/>
      <c r="G309" s="189"/>
      <c r="H309" s="189"/>
      <c r="I309" s="189"/>
      <c r="J309" s="189"/>
      <c r="K309" s="372"/>
      <c r="L309" s="373"/>
      <c r="M309" s="374"/>
      <c r="N309" s="189"/>
      <c r="O309" s="372"/>
      <c r="P309" s="373"/>
      <c r="Q309" s="374"/>
      <c r="R309" s="189"/>
      <c r="S309" s="191"/>
    </row>
    <row r="310" spans="2:19" x14ac:dyDescent="0.2">
      <c r="B310" s="188"/>
      <c r="C310" s="316" t="s">
        <v>1048</v>
      </c>
      <c r="D310" s="298" t="s">
        <v>47</v>
      </c>
      <c r="E310" s="189"/>
      <c r="F310" s="189"/>
      <c r="G310" s="189"/>
      <c r="H310" s="189"/>
      <c r="I310" s="189"/>
      <c r="J310" s="189"/>
      <c r="K310" s="372"/>
      <c r="L310" s="373"/>
      <c r="M310" s="374"/>
      <c r="N310" s="189"/>
      <c r="O310" s="372"/>
      <c r="P310" s="373"/>
      <c r="Q310" s="374"/>
      <c r="R310" s="189"/>
      <c r="S310" s="191"/>
    </row>
    <row r="311" spans="2:19" x14ac:dyDescent="0.2">
      <c r="B311" s="188"/>
      <c r="C311" s="316" t="s">
        <v>1049</v>
      </c>
      <c r="D311" s="298" t="s">
        <v>48</v>
      </c>
      <c r="E311" s="189"/>
      <c r="F311" s="189"/>
      <c r="G311" s="189"/>
      <c r="H311" s="189"/>
      <c r="I311" s="189"/>
      <c r="J311" s="189"/>
      <c r="K311" s="189"/>
      <c r="L311" s="189"/>
      <c r="M311" s="189"/>
      <c r="N311" s="189"/>
      <c r="O311" s="292"/>
      <c r="P311" s="292"/>
      <c r="Q311" s="292"/>
      <c r="R311" s="189"/>
      <c r="S311" s="191"/>
    </row>
    <row r="312" spans="2:19" ht="15.75" x14ac:dyDescent="0.25">
      <c r="B312" s="188"/>
      <c r="C312" s="314"/>
      <c r="D312" s="526"/>
      <c r="E312" s="527"/>
      <c r="F312" s="527"/>
      <c r="G312" s="527"/>
      <c r="H312" s="469"/>
      <c r="I312" s="189"/>
      <c r="J312" s="189"/>
      <c r="K312" s="372"/>
      <c r="L312" s="373"/>
      <c r="M312" s="374"/>
      <c r="N312" s="189"/>
      <c r="O312" s="372"/>
      <c r="P312" s="373"/>
      <c r="Q312" s="374"/>
      <c r="R312" s="189"/>
      <c r="S312" s="191"/>
    </row>
    <row r="313" spans="2:19" ht="15.75" x14ac:dyDescent="0.25">
      <c r="B313" s="188"/>
      <c r="C313" s="314"/>
      <c r="D313" s="289"/>
      <c r="E313" s="189"/>
      <c r="F313" s="189"/>
      <c r="G313" s="189"/>
      <c r="H313" s="189"/>
      <c r="I313" s="189"/>
      <c r="J313" s="189"/>
      <c r="K313" s="189"/>
      <c r="L313" s="189"/>
      <c r="M313" s="189"/>
      <c r="N313" s="189"/>
      <c r="O313" s="292"/>
      <c r="P313" s="292"/>
      <c r="Q313" s="292"/>
      <c r="R313" s="337"/>
      <c r="S313" s="191"/>
    </row>
    <row r="314" spans="2:19" x14ac:dyDescent="0.2">
      <c r="B314" s="188"/>
      <c r="C314" s="317">
        <v>13.2</v>
      </c>
      <c r="D314" s="318" t="s">
        <v>810</v>
      </c>
      <c r="E314" s="189"/>
      <c r="F314" s="189"/>
      <c r="G314" s="189"/>
      <c r="H314" s="189"/>
      <c r="I314" s="189"/>
      <c r="J314" s="189"/>
      <c r="K314" s="189"/>
      <c r="L314" s="189"/>
      <c r="M314" s="189"/>
      <c r="N314" s="189"/>
      <c r="O314" s="292"/>
      <c r="P314" s="292"/>
      <c r="Q314" s="292"/>
      <c r="R314" s="189"/>
      <c r="S314" s="191"/>
    </row>
    <row r="315" spans="2:19" ht="15.75" x14ac:dyDescent="0.25">
      <c r="B315" s="188"/>
      <c r="C315" s="210"/>
      <c r="D315" s="289"/>
      <c r="E315" s="189"/>
      <c r="F315" s="189"/>
      <c r="G315" s="189"/>
      <c r="H315" s="189"/>
      <c r="I315" s="189"/>
      <c r="J315" s="189"/>
      <c r="K315" s="189"/>
      <c r="L315" s="189"/>
      <c r="M315" s="189"/>
      <c r="N315" s="189"/>
      <c r="O315" s="292"/>
      <c r="P315" s="292"/>
      <c r="Q315" s="292"/>
      <c r="R315" s="189"/>
      <c r="S315" s="191"/>
    </row>
    <row r="316" spans="2:19" ht="15.75" x14ac:dyDescent="0.25">
      <c r="B316" s="188"/>
      <c r="C316" s="210"/>
      <c r="D316" s="484"/>
      <c r="E316" s="485"/>
      <c r="F316" s="485"/>
      <c r="G316" s="485"/>
      <c r="H316" s="485"/>
      <c r="I316" s="485"/>
      <c r="J316" s="485"/>
      <c r="K316" s="485"/>
      <c r="L316" s="485"/>
      <c r="M316" s="485"/>
      <c r="N316" s="486"/>
      <c r="O316" s="486"/>
      <c r="P316" s="486"/>
      <c r="Q316" s="487"/>
      <c r="R316" s="189"/>
      <c r="S316" s="191"/>
    </row>
    <row r="317" spans="2:19" ht="15.75" x14ac:dyDescent="0.25">
      <c r="B317" s="188"/>
      <c r="C317" s="210"/>
      <c r="D317" s="488"/>
      <c r="E317" s="489"/>
      <c r="F317" s="489"/>
      <c r="G317" s="489"/>
      <c r="H317" s="489"/>
      <c r="I317" s="489"/>
      <c r="J317" s="489"/>
      <c r="K317" s="489"/>
      <c r="L317" s="489"/>
      <c r="M317" s="489"/>
      <c r="N317" s="490"/>
      <c r="O317" s="490"/>
      <c r="P317" s="490"/>
      <c r="Q317" s="491"/>
      <c r="R317" s="189"/>
      <c r="S317" s="191"/>
    </row>
    <row r="318" spans="2:19" ht="15.75" x14ac:dyDescent="0.25">
      <c r="B318" s="188"/>
      <c r="C318" s="210"/>
      <c r="D318" s="492"/>
      <c r="E318" s="493"/>
      <c r="F318" s="493"/>
      <c r="G318" s="493"/>
      <c r="H318" s="493"/>
      <c r="I318" s="493"/>
      <c r="J318" s="493"/>
      <c r="K318" s="493"/>
      <c r="L318" s="493"/>
      <c r="M318" s="493"/>
      <c r="N318" s="494"/>
      <c r="O318" s="494"/>
      <c r="P318" s="494"/>
      <c r="Q318" s="495"/>
      <c r="R318" s="189"/>
      <c r="S318" s="191"/>
    </row>
    <row r="319" spans="2:19" ht="15" thickBot="1" x14ac:dyDescent="0.25">
      <c r="B319" s="217"/>
      <c r="C319" s="206"/>
      <c r="D319" s="206"/>
      <c r="E319" s="206"/>
      <c r="F319" s="206"/>
      <c r="G319" s="206"/>
      <c r="H319" s="206"/>
      <c r="I319" s="206"/>
      <c r="J319" s="206"/>
      <c r="K319" s="206"/>
      <c r="L319" s="206"/>
      <c r="M319" s="206"/>
      <c r="N319" s="206"/>
      <c r="O319" s="206"/>
      <c r="P319" s="206"/>
      <c r="Q319" s="206"/>
      <c r="R319" s="206"/>
      <c r="S319" s="207"/>
    </row>
    <row r="320" spans="2:19" ht="15.75" thickTop="1" thickBot="1" x14ac:dyDescent="0.25"/>
    <row r="321" spans="2:19" ht="15" thickTop="1" x14ac:dyDescent="0.2">
      <c r="B321" s="186"/>
      <c r="C321" s="187"/>
      <c r="D321" s="187"/>
      <c r="E321" s="187"/>
      <c r="F321" s="187"/>
      <c r="G321" s="187"/>
      <c r="H321" s="187"/>
      <c r="I321" s="187"/>
      <c r="J321" s="187"/>
      <c r="K321" s="187"/>
      <c r="L321" s="187"/>
      <c r="M321" s="187"/>
      <c r="N321" s="187"/>
      <c r="O321" s="187"/>
      <c r="P321" s="187"/>
      <c r="Q321" s="187"/>
      <c r="R321" s="187"/>
      <c r="S321" s="209"/>
    </row>
    <row r="322" spans="2:19" ht="15.75" x14ac:dyDescent="0.25">
      <c r="B322" s="188"/>
      <c r="C322" s="210" t="s">
        <v>1063</v>
      </c>
      <c r="D322" s="289"/>
      <c r="E322" s="189"/>
      <c r="F322" s="189"/>
      <c r="G322" s="189"/>
      <c r="H322" s="189"/>
      <c r="I322" s="189"/>
      <c r="J322" s="189"/>
      <c r="K322" s="189"/>
      <c r="L322" s="189"/>
      <c r="M322" s="189"/>
      <c r="N322" s="189"/>
      <c r="O322" s="189"/>
      <c r="P322" s="189"/>
      <c r="Q322" s="189"/>
      <c r="R322" s="189"/>
      <c r="S322" s="191"/>
    </row>
    <row r="323" spans="2:19" ht="15.75" x14ac:dyDescent="0.25">
      <c r="B323" s="188"/>
      <c r="C323" s="210"/>
      <c r="D323" s="289"/>
      <c r="E323" s="189"/>
      <c r="F323" s="189"/>
      <c r="G323" s="189"/>
      <c r="H323" s="189"/>
      <c r="I323" s="189"/>
      <c r="J323" s="189"/>
      <c r="K323" s="428" t="s">
        <v>1526</v>
      </c>
      <c r="L323" s="428"/>
      <c r="M323" s="428"/>
      <c r="N323" s="290"/>
      <c r="O323" s="428" t="s">
        <v>1527</v>
      </c>
      <c r="P323" s="428"/>
      <c r="Q323" s="428"/>
      <c r="R323" s="189"/>
      <c r="S323" s="191"/>
    </row>
    <row r="324" spans="2:19" s="325" customFormat="1" x14ac:dyDescent="0.2">
      <c r="B324" s="188"/>
      <c r="C324" s="317">
        <v>14.1</v>
      </c>
      <c r="D324" s="298" t="s">
        <v>1881</v>
      </c>
      <c r="E324" s="189"/>
      <c r="F324" s="189"/>
      <c r="G324" s="189"/>
      <c r="H324" s="189"/>
      <c r="I324" s="189"/>
      <c r="J324" s="189"/>
      <c r="K324" s="535"/>
      <c r="L324" s="536"/>
      <c r="M324" s="537"/>
      <c r="N324" s="189"/>
      <c r="O324" s="535"/>
      <c r="P324" s="536"/>
      <c r="Q324" s="537"/>
      <c r="R324" s="189"/>
      <c r="S324" s="191"/>
    </row>
    <row r="325" spans="2:19" s="325" customFormat="1" x14ac:dyDescent="0.2">
      <c r="B325" s="188"/>
      <c r="C325" s="317">
        <v>14.2</v>
      </c>
      <c r="D325" s="298" t="s">
        <v>1073</v>
      </c>
      <c r="E325" s="189"/>
      <c r="F325" s="189"/>
      <c r="G325" s="189"/>
      <c r="H325" s="189"/>
      <c r="I325" s="189"/>
      <c r="J325" s="189"/>
      <c r="K325" s="535"/>
      <c r="L325" s="536"/>
      <c r="M325" s="537"/>
      <c r="N325" s="189"/>
      <c r="O325" s="535"/>
      <c r="P325" s="536"/>
      <c r="Q325" s="537"/>
      <c r="R325" s="189"/>
      <c r="S325" s="191"/>
    </row>
    <row r="326" spans="2:19" ht="15" thickBot="1" x14ac:dyDescent="0.25">
      <c r="B326" s="217"/>
      <c r="C326" s="206"/>
      <c r="D326" s="206"/>
      <c r="E326" s="206"/>
      <c r="F326" s="206"/>
      <c r="G326" s="206"/>
      <c r="H326" s="206"/>
      <c r="I326" s="206"/>
      <c r="J326" s="206"/>
      <c r="K326" s="206"/>
      <c r="L326" s="206"/>
      <c r="M326" s="206"/>
      <c r="N326" s="206"/>
      <c r="O326" s="206"/>
      <c r="P326" s="206"/>
      <c r="Q326" s="206"/>
      <c r="R326" s="206"/>
      <c r="S326" s="207"/>
    </row>
    <row r="327" spans="2:19" s="325" customFormat="1" ht="15" thickTop="1" x14ac:dyDescent="0.2">
      <c r="B327" s="257"/>
      <c r="C327" s="257"/>
      <c r="D327" s="257"/>
      <c r="E327" s="257"/>
      <c r="F327" s="257"/>
      <c r="G327" s="257"/>
      <c r="H327" s="257"/>
      <c r="I327" s="257"/>
      <c r="J327" s="257"/>
      <c r="K327" s="257"/>
    </row>
    <row r="328" spans="2:19" s="325" customFormat="1" x14ac:dyDescent="0.2">
      <c r="B328" s="257"/>
      <c r="C328" s="257"/>
      <c r="D328" s="257"/>
      <c r="E328" s="257"/>
      <c r="F328" s="257"/>
      <c r="G328" s="257"/>
      <c r="H328" s="257"/>
      <c r="I328" s="257"/>
      <c r="J328" s="257"/>
      <c r="K328" s="257"/>
    </row>
    <row r="329" spans="2:19" s="325" customFormat="1" x14ac:dyDescent="0.2">
      <c r="B329" s="257"/>
      <c r="C329" s="257"/>
      <c r="D329" s="257"/>
      <c r="E329" s="257"/>
      <c r="F329" s="257"/>
      <c r="G329" s="257"/>
      <c r="H329" s="257"/>
      <c r="I329" s="257"/>
      <c r="J329" s="257"/>
      <c r="K329" s="257"/>
    </row>
    <row r="330" spans="2:19" s="325" customFormat="1" x14ac:dyDescent="0.2">
      <c r="B330" s="257"/>
      <c r="C330" s="257"/>
      <c r="D330" s="257"/>
      <c r="E330" s="257"/>
      <c r="F330" s="257"/>
      <c r="G330" s="257"/>
      <c r="H330" s="257"/>
      <c r="I330" s="257"/>
      <c r="J330" s="257"/>
      <c r="K330" s="257"/>
    </row>
    <row r="331" spans="2:19" s="325" customFormat="1" x14ac:dyDescent="0.2">
      <c r="B331" s="257"/>
      <c r="C331" s="257"/>
      <c r="D331" s="257"/>
      <c r="E331" s="257"/>
      <c r="F331" s="257"/>
      <c r="G331" s="257"/>
      <c r="H331" s="257"/>
      <c r="I331" s="257"/>
      <c r="J331" s="257"/>
      <c r="K331" s="257"/>
    </row>
    <row r="332" spans="2:19" s="325" customFormat="1" x14ac:dyDescent="0.2">
      <c r="B332" s="257"/>
      <c r="C332" s="257"/>
      <c r="D332" s="257"/>
      <c r="E332" s="257"/>
      <c r="F332" s="257"/>
      <c r="G332" s="257"/>
      <c r="H332" s="257"/>
      <c r="I332" s="257"/>
      <c r="J332" s="257"/>
      <c r="K332" s="257"/>
    </row>
    <row r="333" spans="2:19" s="325" customFormat="1" x14ac:dyDescent="0.2">
      <c r="B333" s="257"/>
      <c r="C333" s="257"/>
      <c r="D333" s="257"/>
      <c r="E333" s="257"/>
      <c r="F333" s="257"/>
      <c r="G333" s="257"/>
      <c r="H333" s="257"/>
      <c r="I333" s="257"/>
      <c r="J333" s="257"/>
      <c r="K333" s="257"/>
    </row>
    <row r="334" spans="2:19" s="325" customFormat="1" x14ac:dyDescent="0.2">
      <c r="B334" s="257"/>
      <c r="C334" s="257"/>
      <c r="D334" s="257"/>
      <c r="E334" s="257"/>
      <c r="F334" s="257"/>
      <c r="G334" s="257"/>
      <c r="H334" s="257"/>
      <c r="I334" s="257"/>
      <c r="J334" s="257"/>
      <c r="K334" s="257"/>
    </row>
    <row r="335" spans="2:19" s="325" customFormat="1" x14ac:dyDescent="0.2"/>
    <row r="336" spans="2:19" s="325" customFormat="1" x14ac:dyDescent="0.2"/>
    <row r="337" s="325" customFormat="1" x14ac:dyDescent="0.2"/>
    <row r="338" s="325" customFormat="1" x14ac:dyDescent="0.2"/>
    <row r="339" s="325" customFormat="1" x14ac:dyDescent="0.2"/>
    <row r="340" s="325" customFormat="1" x14ac:dyDescent="0.2"/>
    <row r="341" s="325" customFormat="1" x14ac:dyDescent="0.2"/>
    <row r="342" s="325" customFormat="1" x14ac:dyDescent="0.2"/>
    <row r="343" s="325" customFormat="1" x14ac:dyDescent="0.2"/>
    <row r="344" s="325" customFormat="1" x14ac:dyDescent="0.2"/>
    <row r="345" s="325" customFormat="1" x14ac:dyDescent="0.2"/>
    <row r="346" s="325" customFormat="1" x14ac:dyDescent="0.2"/>
    <row r="347" s="325" customFormat="1" x14ac:dyDescent="0.2"/>
    <row r="348" s="325" customFormat="1" x14ac:dyDescent="0.2"/>
    <row r="349" s="325" customFormat="1" x14ac:dyDescent="0.2"/>
    <row r="350" s="325" customFormat="1" x14ac:dyDescent="0.2"/>
    <row r="351" s="325" customFormat="1" x14ac:dyDescent="0.2"/>
    <row r="352" s="325" customFormat="1" x14ac:dyDescent="0.2"/>
    <row r="353" spans="1:1" s="325" customFormat="1" x14ac:dyDescent="0.2"/>
    <row r="354" spans="1:1" s="325" customFormat="1" x14ac:dyDescent="0.2"/>
    <row r="355" spans="1:1" s="325" customFormat="1" x14ac:dyDescent="0.2"/>
    <row r="356" spans="1:1" s="325" customFormat="1" x14ac:dyDescent="0.2"/>
    <row r="357" spans="1:1" s="325" customFormat="1" x14ac:dyDescent="0.2"/>
    <row r="358" spans="1:1" s="325" customFormat="1" x14ac:dyDescent="0.2"/>
    <row r="359" spans="1:1" s="325" customFormat="1" x14ac:dyDescent="0.2"/>
    <row r="360" spans="1:1" s="325" customFormat="1" x14ac:dyDescent="0.2"/>
    <row r="361" spans="1:1" s="325" customFormat="1" x14ac:dyDescent="0.2"/>
    <row r="362" spans="1:1" s="325" customFormat="1" x14ac:dyDescent="0.2"/>
    <row r="363" spans="1:1" s="325" customFormat="1" x14ac:dyDescent="0.2"/>
    <row r="364" spans="1:1" s="325" customFormat="1" x14ac:dyDescent="0.2"/>
    <row r="365" spans="1:1" s="325" customFormat="1" x14ac:dyDescent="0.2"/>
    <row r="366" spans="1:1" s="325" customFormat="1" x14ac:dyDescent="0.2"/>
    <row r="367" spans="1:1" s="325" customFormat="1" x14ac:dyDescent="0.2"/>
    <row r="368" spans="1:1" s="325" customFormat="1" x14ac:dyDescent="0.2">
      <c r="A368" s="325" t="s">
        <v>842</v>
      </c>
    </row>
    <row r="369" spans="1:1" s="325" customFormat="1" x14ac:dyDescent="0.2">
      <c r="A369" s="325" t="s">
        <v>843</v>
      </c>
    </row>
    <row r="370" spans="1:1" s="325" customFormat="1" x14ac:dyDescent="0.2">
      <c r="A370" s="325" t="s">
        <v>844</v>
      </c>
    </row>
    <row r="371" spans="1:1" s="325" customFormat="1" x14ac:dyDescent="0.2">
      <c r="A371" s="325" t="s">
        <v>845</v>
      </c>
    </row>
    <row r="372" spans="1:1" s="325" customFormat="1" x14ac:dyDescent="0.2">
      <c r="A372" s="325" t="s">
        <v>846</v>
      </c>
    </row>
    <row r="373" spans="1:1" s="325" customFormat="1" x14ac:dyDescent="0.2"/>
    <row r="374" spans="1:1" s="325" customFormat="1" x14ac:dyDescent="0.2"/>
    <row r="375" spans="1:1" s="325" customFormat="1" x14ac:dyDescent="0.2"/>
    <row r="376" spans="1:1" s="325" customFormat="1" x14ac:dyDescent="0.2"/>
    <row r="377" spans="1:1" s="325" customFormat="1" x14ac:dyDescent="0.2"/>
    <row r="378" spans="1:1" s="325" customFormat="1" x14ac:dyDescent="0.2"/>
    <row r="379" spans="1:1" s="325" customFormat="1" x14ac:dyDescent="0.2"/>
    <row r="380" spans="1:1" s="325" customFormat="1" x14ac:dyDescent="0.2"/>
    <row r="381" spans="1:1" s="325" customFormat="1" x14ac:dyDescent="0.2"/>
    <row r="382" spans="1:1" s="325" customFormat="1" x14ac:dyDescent="0.2"/>
    <row r="383" spans="1:1" s="325" customFormat="1" x14ac:dyDescent="0.2"/>
    <row r="384" spans="1:1" s="325" customFormat="1" x14ac:dyDescent="0.2"/>
    <row r="385" s="325" customFormat="1" x14ac:dyDescent="0.2"/>
    <row r="386" s="325" customFormat="1" x14ac:dyDescent="0.2"/>
    <row r="387" s="325" customFormat="1" x14ac:dyDescent="0.2"/>
    <row r="388" s="325" customFormat="1" x14ac:dyDescent="0.2"/>
    <row r="389" s="325" customFormat="1" x14ac:dyDescent="0.2"/>
    <row r="390" s="325" customFormat="1" x14ac:dyDescent="0.2"/>
    <row r="391" s="325" customFormat="1" x14ac:dyDescent="0.2"/>
    <row r="392" s="325" customFormat="1" x14ac:dyDescent="0.2"/>
    <row r="393" s="325" customFormat="1" x14ac:dyDescent="0.2"/>
    <row r="394" s="325" customFormat="1" x14ac:dyDescent="0.2"/>
    <row r="395" s="325" customFormat="1" x14ac:dyDescent="0.2"/>
    <row r="396" s="325" customFormat="1" x14ac:dyDescent="0.2"/>
    <row r="397" s="325" customFormat="1" x14ac:dyDescent="0.2"/>
    <row r="398" s="325" customFormat="1" x14ac:dyDescent="0.2"/>
    <row r="399" s="325" customFormat="1" x14ac:dyDescent="0.2"/>
    <row r="400" s="325" customFormat="1" x14ac:dyDescent="0.2"/>
    <row r="401" s="325" customFormat="1" x14ac:dyDescent="0.2"/>
    <row r="402" s="325" customFormat="1" x14ac:dyDescent="0.2"/>
    <row r="403" s="325" customFormat="1" x14ac:dyDescent="0.2"/>
    <row r="404" s="325" customFormat="1" x14ac:dyDescent="0.2"/>
    <row r="405" s="325" customFormat="1" x14ac:dyDescent="0.2"/>
    <row r="406" s="325" customFormat="1" x14ac:dyDescent="0.2"/>
    <row r="407" s="325" customFormat="1" x14ac:dyDescent="0.2"/>
    <row r="408" s="325" customFormat="1" x14ac:dyDescent="0.2"/>
    <row r="409" s="325" customFormat="1" x14ac:dyDescent="0.2"/>
    <row r="410" s="325" customFormat="1" x14ac:dyDescent="0.2"/>
    <row r="411" s="325" customFormat="1" x14ac:dyDescent="0.2"/>
    <row r="412" s="325" customFormat="1" x14ac:dyDescent="0.2"/>
    <row r="413" s="325" customFormat="1" x14ac:dyDescent="0.2"/>
    <row r="414" s="325" customFormat="1" x14ac:dyDescent="0.2"/>
    <row r="415" s="325" customFormat="1" x14ac:dyDescent="0.2"/>
    <row r="416" s="325" customFormat="1" x14ac:dyDescent="0.2"/>
    <row r="417" s="325" customFormat="1" x14ac:dyDescent="0.2"/>
    <row r="418" s="325" customFormat="1" x14ac:dyDescent="0.2"/>
    <row r="419" s="325" customFormat="1" x14ac:dyDescent="0.2"/>
    <row r="420" s="325" customFormat="1" x14ac:dyDescent="0.2"/>
    <row r="421" s="325" customFormat="1" x14ac:dyDescent="0.2"/>
    <row r="422" s="325" customFormat="1" x14ac:dyDescent="0.2"/>
    <row r="423" s="325" customFormat="1" x14ac:dyDescent="0.2"/>
    <row r="424" s="325" customFormat="1" x14ac:dyDescent="0.2"/>
    <row r="425" s="325" customFormat="1" x14ac:dyDescent="0.2"/>
    <row r="426" s="325" customFormat="1" x14ac:dyDescent="0.2"/>
    <row r="427" s="325" customFormat="1" x14ac:dyDescent="0.2"/>
    <row r="428" s="325" customFormat="1" x14ac:dyDescent="0.2"/>
    <row r="429" s="325" customFormat="1" x14ac:dyDescent="0.2"/>
    <row r="430" s="325" customFormat="1" x14ac:dyDescent="0.2"/>
    <row r="431" s="325" customFormat="1" x14ac:dyDescent="0.2"/>
    <row r="432" s="325" customFormat="1" x14ac:dyDescent="0.2"/>
    <row r="433" s="325" customFormat="1" x14ac:dyDescent="0.2"/>
    <row r="434" s="325" customFormat="1" x14ac:dyDescent="0.2"/>
    <row r="435" s="325" customFormat="1" x14ac:dyDescent="0.2"/>
    <row r="436" s="325" customFormat="1" x14ac:dyDescent="0.2"/>
    <row r="437" s="325" customFormat="1" x14ac:dyDescent="0.2"/>
    <row r="438" s="325" customFormat="1" x14ac:dyDescent="0.2"/>
    <row r="439" s="325" customFormat="1" x14ac:dyDescent="0.2"/>
    <row r="440" s="325" customFormat="1" x14ac:dyDescent="0.2"/>
    <row r="441" s="325" customFormat="1" x14ac:dyDescent="0.2"/>
    <row r="442" s="325" customFormat="1" x14ac:dyDescent="0.2"/>
    <row r="443" s="325" customFormat="1" x14ac:dyDescent="0.2"/>
    <row r="444" s="325" customFormat="1" x14ac:dyDescent="0.2"/>
    <row r="445" s="325" customFormat="1" x14ac:dyDescent="0.2"/>
    <row r="446" s="325" customFormat="1" x14ac:dyDescent="0.2"/>
    <row r="447" s="325" customFormat="1" x14ac:dyDescent="0.2"/>
    <row r="448" s="325" customFormat="1" x14ac:dyDescent="0.2"/>
    <row r="449" s="325" customFormat="1" x14ac:dyDescent="0.2"/>
    <row r="450" s="325" customFormat="1" x14ac:dyDescent="0.2"/>
    <row r="451" s="325" customFormat="1" x14ac:dyDescent="0.2"/>
    <row r="452" s="325" customFormat="1" x14ac:dyDescent="0.2"/>
    <row r="453" s="325" customFormat="1" x14ac:dyDescent="0.2"/>
    <row r="454" s="325" customFormat="1" x14ac:dyDescent="0.2"/>
    <row r="455" s="325" customFormat="1" x14ac:dyDescent="0.2"/>
    <row r="456" s="325" customFormat="1" x14ac:dyDescent="0.2"/>
    <row r="457" s="325" customFormat="1" x14ac:dyDescent="0.2"/>
    <row r="458" s="325" customFormat="1" x14ac:dyDescent="0.2"/>
    <row r="459" s="325" customFormat="1" x14ac:dyDescent="0.2"/>
    <row r="460" s="325" customFormat="1" x14ac:dyDescent="0.2"/>
    <row r="461" s="325" customFormat="1" x14ac:dyDescent="0.2"/>
    <row r="462" s="325" customFormat="1" x14ac:dyDescent="0.2"/>
    <row r="463" s="325" customFormat="1" x14ac:dyDescent="0.2"/>
    <row r="464" s="325" customFormat="1" x14ac:dyDescent="0.2"/>
    <row r="465" s="325" customFormat="1" x14ac:dyDescent="0.2"/>
    <row r="466" s="325" customFormat="1" x14ac:dyDescent="0.2"/>
    <row r="467" s="325" customFormat="1" x14ac:dyDescent="0.2"/>
    <row r="468" s="325" customFormat="1" x14ac:dyDescent="0.2"/>
    <row r="469" s="325" customFormat="1" x14ac:dyDescent="0.2"/>
    <row r="470" s="325" customFormat="1" x14ac:dyDescent="0.2"/>
    <row r="471" s="325" customFormat="1" x14ac:dyDescent="0.2"/>
    <row r="472" s="325" customFormat="1" x14ac:dyDescent="0.2"/>
    <row r="473" s="325" customFormat="1" x14ac:dyDescent="0.2"/>
    <row r="474" s="325" customFormat="1" x14ac:dyDescent="0.2"/>
    <row r="475" s="325" customFormat="1" x14ac:dyDescent="0.2"/>
    <row r="476" s="325" customFormat="1" x14ac:dyDescent="0.2"/>
    <row r="477" s="325" customFormat="1" x14ac:dyDescent="0.2"/>
    <row r="478" s="325" customFormat="1" x14ac:dyDescent="0.2"/>
    <row r="479" s="325" customFormat="1" x14ac:dyDescent="0.2"/>
    <row r="480" s="325" customFormat="1" x14ac:dyDescent="0.2"/>
    <row r="481" spans="1:2" s="325" customFormat="1" x14ac:dyDescent="0.2"/>
    <row r="482" spans="1:2" s="325" customFormat="1" x14ac:dyDescent="0.2"/>
    <row r="483" spans="1:2" s="325" customFormat="1" x14ac:dyDescent="0.2"/>
    <row r="484" spans="1:2" s="325" customFormat="1" x14ac:dyDescent="0.2"/>
    <row r="485" spans="1:2" s="325" customFormat="1" x14ac:dyDescent="0.2"/>
    <row r="486" spans="1:2" s="325" customFormat="1" x14ac:dyDescent="0.2"/>
    <row r="487" spans="1:2" s="325" customFormat="1" x14ac:dyDescent="0.2"/>
    <row r="488" spans="1:2" s="325" customFormat="1" x14ac:dyDescent="0.2"/>
    <row r="489" spans="1:2" s="325" customFormat="1" x14ac:dyDescent="0.2"/>
    <row r="490" spans="1:2" s="257" customFormat="1" x14ac:dyDescent="0.2">
      <c r="A490" s="325" t="s">
        <v>77</v>
      </c>
      <c r="B490" s="325"/>
    </row>
    <row r="491" spans="1:2" s="257" customFormat="1" x14ac:dyDescent="0.2">
      <c r="A491" s="325" t="s">
        <v>78</v>
      </c>
      <c r="B491" s="325"/>
    </row>
    <row r="492" spans="1:2" s="257" customFormat="1" x14ac:dyDescent="0.2">
      <c r="A492" s="325" t="s">
        <v>79</v>
      </c>
      <c r="B492" s="325"/>
    </row>
    <row r="493" spans="1:2" s="257" customFormat="1" x14ac:dyDescent="0.2">
      <c r="A493" s="325" t="s">
        <v>80</v>
      </c>
      <c r="B493" s="325"/>
    </row>
    <row r="494" spans="1:2" s="257" customFormat="1" x14ac:dyDescent="0.2">
      <c r="A494" s="325" t="s">
        <v>1750</v>
      </c>
      <c r="B494" s="325"/>
    </row>
    <row r="495" spans="1:2" s="257" customFormat="1" x14ac:dyDescent="0.2">
      <c r="A495" s="325" t="s">
        <v>1751</v>
      </c>
      <c r="B495" s="325"/>
    </row>
    <row r="496" spans="1:2" s="257" customFormat="1" x14ac:dyDescent="0.2">
      <c r="A496" s="325"/>
      <c r="B496" s="325"/>
    </row>
    <row r="497" spans="1:4" s="257" customFormat="1" x14ac:dyDescent="0.2">
      <c r="A497" s="325"/>
      <c r="B497" s="325"/>
    </row>
    <row r="498" spans="1:4" s="257" customFormat="1" x14ac:dyDescent="0.2"/>
    <row r="499" spans="1:4" s="257" customFormat="1" x14ac:dyDescent="0.2"/>
    <row r="500" spans="1:4" s="257" customFormat="1" x14ac:dyDescent="0.2"/>
    <row r="501" spans="1:4" s="325" customFormat="1" ht="15" x14ac:dyDescent="0.25">
      <c r="A501" s="326" t="s">
        <v>84</v>
      </c>
      <c r="B501" s="326" t="s">
        <v>85</v>
      </c>
      <c r="C501" s="326" t="s">
        <v>86</v>
      </c>
      <c r="D501" s="326" t="s">
        <v>86</v>
      </c>
    </row>
    <row r="502" spans="1:4" s="325" customFormat="1" x14ac:dyDescent="0.2">
      <c r="A502" s="325" t="s">
        <v>87</v>
      </c>
      <c r="B502" s="325" t="s">
        <v>88</v>
      </c>
      <c r="C502" s="325" t="s">
        <v>89</v>
      </c>
      <c r="D502" s="325" t="s">
        <v>614</v>
      </c>
    </row>
    <row r="503" spans="1:4" s="325" customFormat="1" x14ac:dyDescent="0.2">
      <c r="A503" s="325" t="s">
        <v>90</v>
      </c>
      <c r="B503" s="325" t="s">
        <v>91</v>
      </c>
      <c r="C503" s="325" t="s">
        <v>92</v>
      </c>
      <c r="D503" s="325" t="s">
        <v>615</v>
      </c>
    </row>
    <row r="504" spans="1:4" s="325" customFormat="1" x14ac:dyDescent="0.2">
      <c r="A504" s="325" t="s">
        <v>93</v>
      </c>
      <c r="B504" s="325" t="s">
        <v>94</v>
      </c>
      <c r="C504" s="325" t="s">
        <v>95</v>
      </c>
      <c r="D504" s="325" t="s">
        <v>616</v>
      </c>
    </row>
    <row r="505" spans="1:4" s="325" customFormat="1" x14ac:dyDescent="0.2">
      <c r="A505" s="325" t="s">
        <v>96</v>
      </c>
      <c r="B505" s="325" t="s">
        <v>97</v>
      </c>
      <c r="C505" s="325" t="s">
        <v>98</v>
      </c>
      <c r="D505" s="325" t="s">
        <v>617</v>
      </c>
    </row>
    <row r="506" spans="1:4" s="325" customFormat="1" x14ac:dyDescent="0.2">
      <c r="A506" s="325" t="s">
        <v>99</v>
      </c>
      <c r="B506" s="325" t="s">
        <v>100</v>
      </c>
      <c r="C506" s="325" t="s">
        <v>101</v>
      </c>
      <c r="D506" s="325" t="s">
        <v>618</v>
      </c>
    </row>
    <row r="507" spans="1:4" s="325" customFormat="1" x14ac:dyDescent="0.2">
      <c r="A507" s="325" t="s">
        <v>102</v>
      </c>
      <c r="B507" s="325" t="s">
        <v>103</v>
      </c>
      <c r="C507" s="325" t="s">
        <v>104</v>
      </c>
      <c r="D507" s="325" t="s">
        <v>619</v>
      </c>
    </row>
    <row r="508" spans="1:4" s="325" customFormat="1" x14ac:dyDescent="0.2">
      <c r="A508" s="325" t="s">
        <v>105</v>
      </c>
      <c r="B508" s="325" t="s">
        <v>106</v>
      </c>
      <c r="C508" s="325" t="s">
        <v>107</v>
      </c>
      <c r="D508" s="325" t="s">
        <v>620</v>
      </c>
    </row>
    <row r="509" spans="1:4" s="325" customFormat="1" x14ac:dyDescent="0.2">
      <c r="A509" s="325" t="s">
        <v>108</v>
      </c>
      <c r="B509" s="325" t="s">
        <v>106</v>
      </c>
      <c r="C509" s="325" t="s">
        <v>107</v>
      </c>
      <c r="D509" s="325" t="s">
        <v>620</v>
      </c>
    </row>
    <row r="510" spans="1:4" s="325" customFormat="1" x14ac:dyDescent="0.2">
      <c r="A510" s="325" t="s">
        <v>109</v>
      </c>
      <c r="B510" s="325" t="s">
        <v>110</v>
      </c>
      <c r="C510" s="325" t="s">
        <v>111</v>
      </c>
      <c r="D510" s="325" t="s">
        <v>621</v>
      </c>
    </row>
    <row r="511" spans="1:4" s="325" customFormat="1" x14ac:dyDescent="0.2">
      <c r="A511" s="325" t="s">
        <v>112</v>
      </c>
      <c r="B511" s="325" t="s">
        <v>113</v>
      </c>
      <c r="C511" s="325" t="s">
        <v>114</v>
      </c>
      <c r="D511" s="325" t="s">
        <v>622</v>
      </c>
    </row>
    <row r="512" spans="1:4" s="325" customFormat="1" x14ac:dyDescent="0.2">
      <c r="A512" s="325" t="s">
        <v>115</v>
      </c>
      <c r="B512" s="325" t="s">
        <v>116</v>
      </c>
      <c r="C512" s="325" t="s">
        <v>117</v>
      </c>
      <c r="D512" s="325" t="s">
        <v>623</v>
      </c>
    </row>
    <row r="513" spans="1:4" s="325" customFormat="1" x14ac:dyDescent="0.2">
      <c r="A513" s="325" t="s">
        <v>118</v>
      </c>
      <c r="B513" s="325" t="s">
        <v>119</v>
      </c>
      <c r="C513" s="325" t="s">
        <v>120</v>
      </c>
      <c r="D513" s="325" t="s">
        <v>624</v>
      </c>
    </row>
    <row r="514" spans="1:4" s="325" customFormat="1" x14ac:dyDescent="0.2">
      <c r="A514" s="325" t="s">
        <v>121</v>
      </c>
      <c r="B514" s="325" t="s">
        <v>100</v>
      </c>
      <c r="C514" s="325" t="s">
        <v>101</v>
      </c>
      <c r="D514" s="325" t="s">
        <v>618</v>
      </c>
    </row>
    <row r="515" spans="1:4" s="325" customFormat="1" x14ac:dyDescent="0.2">
      <c r="A515" s="325" t="s">
        <v>122</v>
      </c>
      <c r="B515" s="325" t="s">
        <v>123</v>
      </c>
      <c r="C515" s="325" t="s">
        <v>124</v>
      </c>
      <c r="D515" s="325" t="s">
        <v>625</v>
      </c>
    </row>
    <row r="516" spans="1:4" s="325" customFormat="1" x14ac:dyDescent="0.2">
      <c r="A516" s="325" t="s">
        <v>125</v>
      </c>
      <c r="B516" s="325" t="s">
        <v>126</v>
      </c>
      <c r="C516" s="325" t="s">
        <v>127</v>
      </c>
      <c r="D516" s="325" t="s">
        <v>626</v>
      </c>
    </row>
    <row r="517" spans="1:4" s="325" customFormat="1" x14ac:dyDescent="0.2">
      <c r="A517" s="325" t="s">
        <v>128</v>
      </c>
      <c r="B517" s="325" t="s">
        <v>129</v>
      </c>
      <c r="C517" s="325" t="s">
        <v>130</v>
      </c>
      <c r="D517" s="325" t="s">
        <v>627</v>
      </c>
    </row>
    <row r="518" spans="1:4" s="325" customFormat="1" x14ac:dyDescent="0.2">
      <c r="A518" s="325" t="s">
        <v>131</v>
      </c>
      <c r="B518" s="325" t="s">
        <v>132</v>
      </c>
      <c r="C518" s="325" t="s">
        <v>133</v>
      </c>
      <c r="D518" s="325" t="s">
        <v>628</v>
      </c>
    </row>
    <row r="519" spans="1:4" s="325" customFormat="1" x14ac:dyDescent="0.2">
      <c r="A519" s="325" t="s">
        <v>134</v>
      </c>
      <c r="B519" s="325" t="s">
        <v>135</v>
      </c>
      <c r="C519" s="325" t="s">
        <v>136</v>
      </c>
      <c r="D519" s="325" t="s">
        <v>629</v>
      </c>
    </row>
    <row r="520" spans="1:4" s="325" customFormat="1" x14ac:dyDescent="0.2">
      <c r="A520" s="325" t="s">
        <v>137</v>
      </c>
      <c r="B520" s="325" t="s">
        <v>138</v>
      </c>
      <c r="C520" s="325" t="s">
        <v>139</v>
      </c>
      <c r="D520" s="325" t="s">
        <v>630</v>
      </c>
    </row>
    <row r="521" spans="1:4" s="325" customFormat="1" x14ac:dyDescent="0.2">
      <c r="A521" s="325" t="s">
        <v>140</v>
      </c>
      <c r="B521" s="325" t="s">
        <v>100</v>
      </c>
      <c r="C521" s="325" t="s">
        <v>101</v>
      </c>
      <c r="D521" s="325" t="s">
        <v>618</v>
      </c>
    </row>
    <row r="522" spans="1:4" s="325" customFormat="1" x14ac:dyDescent="0.2">
      <c r="A522" s="325" t="s">
        <v>141</v>
      </c>
      <c r="B522" s="325" t="s">
        <v>142</v>
      </c>
      <c r="C522" s="325" t="s">
        <v>143</v>
      </c>
      <c r="D522" s="325" t="s">
        <v>631</v>
      </c>
    </row>
    <row r="523" spans="1:4" s="325" customFormat="1" x14ac:dyDescent="0.2">
      <c r="A523" s="325" t="s">
        <v>144</v>
      </c>
      <c r="B523" s="325" t="s">
        <v>145</v>
      </c>
      <c r="C523" s="325" t="s">
        <v>146</v>
      </c>
      <c r="D523" s="325" t="s">
        <v>632</v>
      </c>
    </row>
    <row r="524" spans="1:4" s="325" customFormat="1" x14ac:dyDescent="0.2">
      <c r="A524" s="325" t="s">
        <v>147</v>
      </c>
      <c r="B524" s="325" t="s">
        <v>148</v>
      </c>
      <c r="C524" s="325" t="s">
        <v>149</v>
      </c>
      <c r="D524" s="325" t="s">
        <v>633</v>
      </c>
    </row>
    <row r="525" spans="1:4" s="325" customFormat="1" x14ac:dyDescent="0.2">
      <c r="A525" s="325" t="s">
        <v>150</v>
      </c>
      <c r="B525" s="325" t="s">
        <v>151</v>
      </c>
      <c r="C525" s="325" t="s">
        <v>152</v>
      </c>
      <c r="D525" s="325" t="s">
        <v>634</v>
      </c>
    </row>
    <row r="526" spans="1:4" s="325" customFormat="1" x14ac:dyDescent="0.2">
      <c r="A526" s="325" t="s">
        <v>153</v>
      </c>
      <c r="B526" s="325" t="s">
        <v>154</v>
      </c>
      <c r="C526" s="325" t="s">
        <v>155</v>
      </c>
      <c r="D526" s="325" t="s">
        <v>635</v>
      </c>
    </row>
    <row r="527" spans="1:4" s="325" customFormat="1" x14ac:dyDescent="0.2">
      <c r="A527" s="325" t="s">
        <v>156</v>
      </c>
      <c r="B527" s="325" t="s">
        <v>157</v>
      </c>
      <c r="C527" s="325" t="s">
        <v>158</v>
      </c>
      <c r="D527" s="325" t="s">
        <v>636</v>
      </c>
    </row>
    <row r="528" spans="1:4" s="325" customFormat="1" x14ac:dyDescent="0.2">
      <c r="A528" s="325" t="s">
        <v>159</v>
      </c>
      <c r="B528" s="325" t="s">
        <v>160</v>
      </c>
      <c r="C528" s="325" t="s">
        <v>161</v>
      </c>
      <c r="D528" s="325" t="s">
        <v>637</v>
      </c>
    </row>
    <row r="529" spans="1:4" s="325" customFormat="1" x14ac:dyDescent="0.2">
      <c r="A529" s="325" t="s">
        <v>162</v>
      </c>
      <c r="B529" s="325" t="s">
        <v>163</v>
      </c>
      <c r="C529" s="325" t="s">
        <v>164</v>
      </c>
      <c r="D529" s="325" t="s">
        <v>638</v>
      </c>
    </row>
    <row r="530" spans="1:4" s="325" customFormat="1" x14ac:dyDescent="0.2">
      <c r="A530" s="325" t="s">
        <v>165</v>
      </c>
      <c r="B530" s="325" t="s">
        <v>166</v>
      </c>
      <c r="C530" s="325" t="s">
        <v>167</v>
      </c>
      <c r="D530" s="325" t="s">
        <v>639</v>
      </c>
    </row>
    <row r="531" spans="1:4" s="325" customFormat="1" x14ac:dyDescent="0.2">
      <c r="A531" s="325" t="s">
        <v>168</v>
      </c>
      <c r="B531" s="325" t="s">
        <v>169</v>
      </c>
      <c r="C531" s="325" t="s">
        <v>170</v>
      </c>
      <c r="D531" s="325" t="s">
        <v>640</v>
      </c>
    </row>
    <row r="532" spans="1:4" s="325" customFormat="1" x14ac:dyDescent="0.2">
      <c r="A532" s="325" t="s">
        <v>171</v>
      </c>
      <c r="B532" s="325" t="s">
        <v>145</v>
      </c>
      <c r="C532" s="325" t="s">
        <v>146</v>
      </c>
      <c r="D532" s="325" t="s">
        <v>632</v>
      </c>
    </row>
    <row r="533" spans="1:4" s="325" customFormat="1" x14ac:dyDescent="0.2">
      <c r="A533" s="325" t="s">
        <v>172</v>
      </c>
      <c r="B533" s="325" t="s">
        <v>173</v>
      </c>
      <c r="C533" s="325" t="s">
        <v>174</v>
      </c>
      <c r="D533" s="325" t="s">
        <v>641</v>
      </c>
    </row>
    <row r="534" spans="1:4" s="325" customFormat="1" x14ac:dyDescent="0.2">
      <c r="A534" s="325" t="s">
        <v>175</v>
      </c>
      <c r="B534" s="325" t="s">
        <v>176</v>
      </c>
      <c r="C534" s="325" t="s">
        <v>177</v>
      </c>
      <c r="D534" s="325" t="s">
        <v>642</v>
      </c>
    </row>
    <row r="535" spans="1:4" s="325" customFormat="1" x14ac:dyDescent="0.2">
      <c r="A535" s="325" t="s">
        <v>178</v>
      </c>
      <c r="B535" s="325" t="s">
        <v>145</v>
      </c>
      <c r="C535" s="325" t="s">
        <v>179</v>
      </c>
      <c r="D535" s="325" t="s">
        <v>643</v>
      </c>
    </row>
    <row r="536" spans="1:4" s="325" customFormat="1" x14ac:dyDescent="0.2">
      <c r="A536" s="325" t="s">
        <v>180</v>
      </c>
      <c r="B536" s="325" t="s">
        <v>181</v>
      </c>
      <c r="C536" s="325" t="s">
        <v>182</v>
      </c>
      <c r="D536" s="325" t="s">
        <v>644</v>
      </c>
    </row>
    <row r="537" spans="1:4" s="325" customFormat="1" x14ac:dyDescent="0.2">
      <c r="A537" s="325" t="s">
        <v>183</v>
      </c>
      <c r="B537" s="325" t="s">
        <v>100</v>
      </c>
      <c r="C537" s="325" t="s">
        <v>101</v>
      </c>
      <c r="D537" s="325" t="s">
        <v>618</v>
      </c>
    </row>
    <row r="538" spans="1:4" s="325" customFormat="1" x14ac:dyDescent="0.2">
      <c r="A538" s="325" t="s">
        <v>184</v>
      </c>
      <c r="B538" s="325" t="s">
        <v>185</v>
      </c>
      <c r="C538" s="325" t="s">
        <v>186</v>
      </c>
      <c r="D538" s="325" t="s">
        <v>645</v>
      </c>
    </row>
    <row r="539" spans="1:4" s="325" customFormat="1" x14ac:dyDescent="0.2">
      <c r="A539" s="325" t="s">
        <v>187</v>
      </c>
      <c r="B539" s="325" t="s">
        <v>188</v>
      </c>
      <c r="C539" s="325" t="s">
        <v>189</v>
      </c>
      <c r="D539" s="325" t="s">
        <v>646</v>
      </c>
    </row>
    <row r="540" spans="1:4" s="325" customFormat="1" x14ac:dyDescent="0.2">
      <c r="A540" s="325" t="s">
        <v>190</v>
      </c>
      <c r="B540" s="325" t="s">
        <v>145</v>
      </c>
      <c r="C540" s="325" t="s">
        <v>179</v>
      </c>
      <c r="D540" s="325" t="s">
        <v>643</v>
      </c>
    </row>
    <row r="541" spans="1:4" s="325" customFormat="1" x14ac:dyDescent="0.2">
      <c r="A541" s="325" t="s">
        <v>191</v>
      </c>
      <c r="B541" s="325" t="s">
        <v>145</v>
      </c>
      <c r="C541" s="325" t="s">
        <v>179</v>
      </c>
      <c r="D541" s="325" t="s">
        <v>643</v>
      </c>
    </row>
    <row r="542" spans="1:4" s="325" customFormat="1" x14ac:dyDescent="0.2">
      <c r="A542" s="325" t="s">
        <v>192</v>
      </c>
      <c r="B542" s="325" t="s">
        <v>193</v>
      </c>
      <c r="C542" s="325" t="s">
        <v>194</v>
      </c>
      <c r="D542" s="325" t="s">
        <v>647</v>
      </c>
    </row>
    <row r="543" spans="1:4" s="325" customFormat="1" x14ac:dyDescent="0.2">
      <c r="A543" s="325" t="s">
        <v>195</v>
      </c>
      <c r="B543" s="325" t="s">
        <v>196</v>
      </c>
      <c r="C543" s="325" t="s">
        <v>197</v>
      </c>
      <c r="D543" s="325" t="s">
        <v>648</v>
      </c>
    </row>
    <row r="544" spans="1:4" s="325" customFormat="1" x14ac:dyDescent="0.2">
      <c r="A544" s="325" t="s">
        <v>198</v>
      </c>
      <c r="B544" s="325" t="s">
        <v>199</v>
      </c>
      <c r="C544" s="325" t="s">
        <v>200</v>
      </c>
      <c r="D544" s="325" t="s">
        <v>649</v>
      </c>
    </row>
    <row r="545" spans="1:4" s="325" customFormat="1" x14ac:dyDescent="0.2">
      <c r="A545" s="325" t="s">
        <v>201</v>
      </c>
      <c r="B545" s="325" t="s">
        <v>202</v>
      </c>
      <c r="C545" s="325" t="s">
        <v>203</v>
      </c>
      <c r="D545" s="325" t="s">
        <v>650</v>
      </c>
    </row>
    <row r="546" spans="1:4" s="325" customFormat="1" x14ac:dyDescent="0.2">
      <c r="A546" s="325" t="s">
        <v>204</v>
      </c>
      <c r="B546" s="325" t="s">
        <v>145</v>
      </c>
      <c r="C546" s="325" t="s">
        <v>179</v>
      </c>
      <c r="D546" s="325" t="s">
        <v>643</v>
      </c>
    </row>
    <row r="547" spans="1:4" s="325" customFormat="1" x14ac:dyDescent="0.2">
      <c r="A547" s="325" t="s">
        <v>205</v>
      </c>
      <c r="B547" s="325" t="s">
        <v>206</v>
      </c>
      <c r="C547" s="325" t="s">
        <v>207</v>
      </c>
      <c r="D547" s="325" t="s">
        <v>651</v>
      </c>
    </row>
    <row r="548" spans="1:4" s="325" customFormat="1" x14ac:dyDescent="0.2">
      <c r="A548" s="325" t="s">
        <v>208</v>
      </c>
      <c r="B548" s="325" t="s">
        <v>209</v>
      </c>
      <c r="C548" s="325" t="s">
        <v>210</v>
      </c>
      <c r="D548" s="325" t="s">
        <v>652</v>
      </c>
    </row>
    <row r="549" spans="1:4" s="325" customFormat="1" x14ac:dyDescent="0.2">
      <c r="A549" s="325" t="s">
        <v>211</v>
      </c>
      <c r="B549" s="325" t="s">
        <v>212</v>
      </c>
      <c r="C549" s="325" t="s">
        <v>213</v>
      </c>
      <c r="D549" s="325" t="s">
        <v>653</v>
      </c>
    </row>
    <row r="550" spans="1:4" s="325" customFormat="1" x14ac:dyDescent="0.2">
      <c r="A550" s="325" t="s">
        <v>214</v>
      </c>
      <c r="B550" s="325" t="s">
        <v>145</v>
      </c>
      <c r="C550" s="325" t="s">
        <v>146</v>
      </c>
      <c r="D550" s="325" t="s">
        <v>632</v>
      </c>
    </row>
    <row r="551" spans="1:4" s="325" customFormat="1" x14ac:dyDescent="0.2">
      <c r="A551" s="325" t="s">
        <v>215</v>
      </c>
      <c r="B551" s="325" t="s">
        <v>216</v>
      </c>
      <c r="C551" s="325" t="s">
        <v>217</v>
      </c>
      <c r="D551" s="325" t="s">
        <v>654</v>
      </c>
    </row>
    <row r="552" spans="1:4" s="325" customFormat="1" x14ac:dyDescent="0.2">
      <c r="A552" s="325" t="s">
        <v>218</v>
      </c>
      <c r="B552" s="325" t="s">
        <v>219</v>
      </c>
      <c r="C552" s="325" t="s">
        <v>220</v>
      </c>
      <c r="D552" s="325" t="s">
        <v>655</v>
      </c>
    </row>
    <row r="553" spans="1:4" s="325" customFormat="1" x14ac:dyDescent="0.2">
      <c r="A553" s="325" t="s">
        <v>221</v>
      </c>
      <c r="B553" s="325" t="s">
        <v>100</v>
      </c>
      <c r="C553" s="325" t="s">
        <v>101</v>
      </c>
      <c r="D553" s="325" t="s">
        <v>618</v>
      </c>
    </row>
    <row r="554" spans="1:4" s="325" customFormat="1" x14ac:dyDescent="0.2">
      <c r="A554" s="325" t="s">
        <v>222</v>
      </c>
      <c r="B554" s="325" t="s">
        <v>223</v>
      </c>
      <c r="C554" s="325" t="s">
        <v>224</v>
      </c>
      <c r="D554" s="325" t="s">
        <v>656</v>
      </c>
    </row>
    <row r="555" spans="1:4" s="325" customFormat="1" x14ac:dyDescent="0.2">
      <c r="A555" s="325" t="s">
        <v>225</v>
      </c>
      <c r="B555" s="325" t="s">
        <v>226</v>
      </c>
      <c r="C555" s="325" t="s">
        <v>227</v>
      </c>
      <c r="D555" s="325" t="s">
        <v>657</v>
      </c>
    </row>
    <row r="556" spans="1:4" s="325" customFormat="1" x14ac:dyDescent="0.2">
      <c r="A556" s="325" t="s">
        <v>228</v>
      </c>
      <c r="B556" s="325" t="s">
        <v>229</v>
      </c>
      <c r="C556" s="325" t="s">
        <v>230</v>
      </c>
      <c r="D556" s="325" t="s">
        <v>658</v>
      </c>
    </row>
    <row r="557" spans="1:4" s="325" customFormat="1" x14ac:dyDescent="0.2">
      <c r="A557" s="325" t="s">
        <v>231</v>
      </c>
      <c r="B557" s="325" t="s">
        <v>232</v>
      </c>
      <c r="C557" s="325" t="s">
        <v>233</v>
      </c>
      <c r="D557" s="325" t="s">
        <v>659</v>
      </c>
    </row>
    <row r="558" spans="1:4" s="325" customFormat="1" x14ac:dyDescent="0.2">
      <c r="A558" s="325" t="s">
        <v>234</v>
      </c>
      <c r="B558" s="325" t="s">
        <v>106</v>
      </c>
      <c r="C558" s="325" t="s">
        <v>107</v>
      </c>
      <c r="D558" s="325" t="s">
        <v>620</v>
      </c>
    </row>
    <row r="559" spans="1:4" s="325" customFormat="1" x14ac:dyDescent="0.2">
      <c r="A559" s="325" t="s">
        <v>235</v>
      </c>
      <c r="B559" s="325" t="s">
        <v>236</v>
      </c>
      <c r="C559" s="325" t="s">
        <v>237</v>
      </c>
      <c r="D559" s="325" t="s">
        <v>660</v>
      </c>
    </row>
    <row r="560" spans="1:4" s="325" customFormat="1" x14ac:dyDescent="0.2">
      <c r="A560" s="325" t="s">
        <v>238</v>
      </c>
      <c r="B560" s="325" t="s">
        <v>97</v>
      </c>
      <c r="C560" s="325" t="s">
        <v>98</v>
      </c>
      <c r="D560" s="325" t="s">
        <v>617</v>
      </c>
    </row>
    <row r="561" spans="1:4" s="325" customFormat="1" x14ac:dyDescent="0.2">
      <c r="A561" s="325" t="s">
        <v>239</v>
      </c>
      <c r="B561" s="325" t="s">
        <v>97</v>
      </c>
      <c r="C561" s="325" t="s">
        <v>98</v>
      </c>
      <c r="D561" s="325" t="s">
        <v>617</v>
      </c>
    </row>
    <row r="562" spans="1:4" s="325" customFormat="1" x14ac:dyDescent="0.2">
      <c r="A562" s="325" t="s">
        <v>240</v>
      </c>
      <c r="B562" s="325" t="s">
        <v>241</v>
      </c>
      <c r="C562" s="325" t="s">
        <v>242</v>
      </c>
      <c r="D562" s="325" t="s">
        <v>661</v>
      </c>
    </row>
    <row r="563" spans="1:4" s="325" customFormat="1" x14ac:dyDescent="0.2">
      <c r="A563" s="325" t="s">
        <v>243</v>
      </c>
      <c r="B563" s="325" t="s">
        <v>244</v>
      </c>
      <c r="C563" s="325" t="s">
        <v>245</v>
      </c>
      <c r="D563" s="325" t="s">
        <v>662</v>
      </c>
    </row>
    <row r="564" spans="1:4" s="325" customFormat="1" x14ac:dyDescent="0.2">
      <c r="A564" s="325" t="s">
        <v>246</v>
      </c>
      <c r="B564" s="325" t="s">
        <v>145</v>
      </c>
      <c r="C564" s="325" t="s">
        <v>179</v>
      </c>
      <c r="D564" s="325" t="s">
        <v>643</v>
      </c>
    </row>
    <row r="565" spans="1:4" s="325" customFormat="1" x14ac:dyDescent="0.2">
      <c r="A565" s="325" t="s">
        <v>247</v>
      </c>
      <c r="B565" s="325" t="s">
        <v>248</v>
      </c>
      <c r="C565" s="325" t="s">
        <v>249</v>
      </c>
      <c r="D565" s="325" t="s">
        <v>663</v>
      </c>
    </row>
    <row r="566" spans="1:4" s="325" customFormat="1" x14ac:dyDescent="0.2">
      <c r="A566" s="325" t="s">
        <v>250</v>
      </c>
      <c r="B566" s="325" t="s">
        <v>100</v>
      </c>
      <c r="C566" s="325" t="s">
        <v>101</v>
      </c>
      <c r="D566" s="325" t="s">
        <v>618</v>
      </c>
    </row>
    <row r="567" spans="1:4" s="325" customFormat="1" x14ac:dyDescent="0.2">
      <c r="A567" s="325" t="s">
        <v>251</v>
      </c>
      <c r="B567" s="325" t="s">
        <v>252</v>
      </c>
      <c r="C567" s="325" t="s">
        <v>253</v>
      </c>
      <c r="D567" s="325" t="s">
        <v>664</v>
      </c>
    </row>
    <row r="568" spans="1:4" s="325" customFormat="1" x14ac:dyDescent="0.2">
      <c r="A568" s="325" t="s">
        <v>254</v>
      </c>
      <c r="B568" s="325" t="s">
        <v>255</v>
      </c>
      <c r="C568" s="325" t="s">
        <v>256</v>
      </c>
      <c r="D568" s="325" t="s">
        <v>665</v>
      </c>
    </row>
    <row r="569" spans="1:4" s="325" customFormat="1" x14ac:dyDescent="0.2">
      <c r="A569" s="325" t="s">
        <v>257</v>
      </c>
      <c r="B569" s="325" t="s">
        <v>100</v>
      </c>
      <c r="C569" s="325" t="s">
        <v>101</v>
      </c>
      <c r="D569" s="325" t="s">
        <v>618</v>
      </c>
    </row>
    <row r="570" spans="1:4" s="325" customFormat="1" x14ac:dyDescent="0.2">
      <c r="A570" s="325" t="s">
        <v>258</v>
      </c>
      <c r="B570" s="325" t="s">
        <v>100</v>
      </c>
      <c r="C570" s="325" t="s">
        <v>101</v>
      </c>
      <c r="D570" s="325" t="s">
        <v>618</v>
      </c>
    </row>
    <row r="571" spans="1:4" s="325" customFormat="1" x14ac:dyDescent="0.2">
      <c r="A571" s="325" t="s">
        <v>259</v>
      </c>
      <c r="B571" s="325" t="s">
        <v>100</v>
      </c>
      <c r="C571" s="325" t="s">
        <v>101</v>
      </c>
      <c r="D571" s="325" t="s">
        <v>618</v>
      </c>
    </row>
    <row r="572" spans="1:4" s="325" customFormat="1" x14ac:dyDescent="0.2">
      <c r="A572" s="325" t="s">
        <v>260</v>
      </c>
      <c r="B572" s="325" t="s">
        <v>261</v>
      </c>
      <c r="C572" s="325" t="s">
        <v>262</v>
      </c>
      <c r="D572" s="325" t="s">
        <v>666</v>
      </c>
    </row>
    <row r="573" spans="1:4" s="325" customFormat="1" x14ac:dyDescent="0.2">
      <c r="A573" s="325" t="s">
        <v>263</v>
      </c>
      <c r="B573" s="325" t="s">
        <v>145</v>
      </c>
      <c r="C573" s="325" t="s">
        <v>179</v>
      </c>
      <c r="D573" s="325" t="s">
        <v>643</v>
      </c>
    </row>
    <row r="574" spans="1:4" s="325" customFormat="1" x14ac:dyDescent="0.2">
      <c r="A574" s="325" t="s">
        <v>264</v>
      </c>
      <c r="B574" s="325" t="s">
        <v>265</v>
      </c>
      <c r="C574" s="325" t="s">
        <v>266</v>
      </c>
      <c r="D574" s="325" t="s">
        <v>667</v>
      </c>
    </row>
    <row r="575" spans="1:4" s="325" customFormat="1" x14ac:dyDescent="0.2">
      <c r="A575" s="325" t="s">
        <v>267</v>
      </c>
      <c r="B575" s="325" t="s">
        <v>268</v>
      </c>
      <c r="C575" s="325" t="s">
        <v>269</v>
      </c>
      <c r="D575" s="325" t="s">
        <v>668</v>
      </c>
    </row>
    <row r="576" spans="1:4" s="325" customFormat="1" x14ac:dyDescent="0.2">
      <c r="A576" s="325" t="s">
        <v>270</v>
      </c>
      <c r="B576" s="325" t="s">
        <v>100</v>
      </c>
      <c r="C576" s="325" t="s">
        <v>101</v>
      </c>
      <c r="D576" s="325" t="s">
        <v>618</v>
      </c>
    </row>
    <row r="577" spans="1:4" s="325" customFormat="1" x14ac:dyDescent="0.2">
      <c r="A577" s="325" t="s">
        <v>271</v>
      </c>
      <c r="B577" s="325" t="s">
        <v>272</v>
      </c>
      <c r="C577" s="325" t="s">
        <v>273</v>
      </c>
      <c r="D577" s="325" t="s">
        <v>669</v>
      </c>
    </row>
    <row r="578" spans="1:4" s="325" customFormat="1" x14ac:dyDescent="0.2">
      <c r="A578" s="325" t="s">
        <v>274</v>
      </c>
      <c r="B578" s="325" t="s">
        <v>100</v>
      </c>
      <c r="C578" s="325" t="s">
        <v>101</v>
      </c>
      <c r="D578" s="325" t="s">
        <v>618</v>
      </c>
    </row>
    <row r="579" spans="1:4" s="325" customFormat="1" x14ac:dyDescent="0.2">
      <c r="A579" s="325" t="s">
        <v>275</v>
      </c>
      <c r="B579" s="325" t="s">
        <v>229</v>
      </c>
      <c r="C579" s="325" t="s">
        <v>230</v>
      </c>
      <c r="D579" s="325" t="s">
        <v>658</v>
      </c>
    </row>
    <row r="580" spans="1:4" s="325" customFormat="1" x14ac:dyDescent="0.2">
      <c r="A580" s="325" t="s">
        <v>276</v>
      </c>
      <c r="B580" s="325" t="s">
        <v>106</v>
      </c>
      <c r="C580" s="325" t="s">
        <v>107</v>
      </c>
      <c r="D580" s="325" t="s">
        <v>620</v>
      </c>
    </row>
    <row r="581" spans="1:4" s="325" customFormat="1" x14ac:dyDescent="0.2">
      <c r="A581" s="325" t="s">
        <v>277</v>
      </c>
      <c r="B581" s="325" t="s">
        <v>100</v>
      </c>
      <c r="C581" s="325" t="s">
        <v>101</v>
      </c>
      <c r="D581" s="325" t="s">
        <v>618</v>
      </c>
    </row>
    <row r="582" spans="1:4" s="325" customFormat="1" x14ac:dyDescent="0.2">
      <c r="A582" s="325" t="s">
        <v>278</v>
      </c>
      <c r="B582" s="325" t="s">
        <v>97</v>
      </c>
      <c r="C582" s="325" t="s">
        <v>98</v>
      </c>
      <c r="D582" s="325" t="s">
        <v>617</v>
      </c>
    </row>
    <row r="583" spans="1:4" s="325" customFormat="1" x14ac:dyDescent="0.2">
      <c r="A583" s="325" t="s">
        <v>279</v>
      </c>
      <c r="B583" s="325" t="s">
        <v>280</v>
      </c>
      <c r="C583" s="325" t="s">
        <v>281</v>
      </c>
      <c r="D583" s="325" t="s">
        <v>670</v>
      </c>
    </row>
    <row r="584" spans="1:4" s="325" customFormat="1" x14ac:dyDescent="0.2">
      <c r="A584" s="325" t="s">
        <v>282</v>
      </c>
      <c r="B584" s="325" t="s">
        <v>283</v>
      </c>
      <c r="C584" s="325" t="s">
        <v>284</v>
      </c>
      <c r="D584" s="325" t="s">
        <v>671</v>
      </c>
    </row>
    <row r="585" spans="1:4" s="325" customFormat="1" x14ac:dyDescent="0.2">
      <c r="A585" s="325" t="s">
        <v>285</v>
      </c>
      <c r="B585" s="325" t="s">
        <v>145</v>
      </c>
      <c r="C585" s="325" t="s">
        <v>146</v>
      </c>
      <c r="D585" s="325" t="s">
        <v>632</v>
      </c>
    </row>
    <row r="586" spans="1:4" s="325" customFormat="1" x14ac:dyDescent="0.2">
      <c r="A586" s="325" t="s">
        <v>286</v>
      </c>
      <c r="B586" s="325" t="s">
        <v>287</v>
      </c>
      <c r="C586" s="325" t="s">
        <v>288</v>
      </c>
      <c r="D586" s="325" t="s">
        <v>672</v>
      </c>
    </row>
    <row r="587" spans="1:4" s="325" customFormat="1" x14ac:dyDescent="0.2">
      <c r="A587" s="325" t="s">
        <v>289</v>
      </c>
      <c r="B587" s="325" t="s">
        <v>290</v>
      </c>
      <c r="C587" s="325" t="s">
        <v>291</v>
      </c>
      <c r="D587" s="325" t="s">
        <v>673</v>
      </c>
    </row>
    <row r="588" spans="1:4" s="325" customFormat="1" x14ac:dyDescent="0.2">
      <c r="A588" s="325" t="s">
        <v>292</v>
      </c>
      <c r="B588" s="325" t="s">
        <v>293</v>
      </c>
      <c r="C588" s="325" t="s">
        <v>294</v>
      </c>
      <c r="D588" s="325" t="s">
        <v>674</v>
      </c>
    </row>
    <row r="589" spans="1:4" s="325" customFormat="1" x14ac:dyDescent="0.2">
      <c r="A589" s="325" t="s">
        <v>295</v>
      </c>
      <c r="B589" s="325" t="s">
        <v>296</v>
      </c>
      <c r="C589" s="325" t="s">
        <v>297</v>
      </c>
      <c r="D589" s="325" t="s">
        <v>675</v>
      </c>
    </row>
    <row r="590" spans="1:4" s="325" customFormat="1" x14ac:dyDescent="0.2">
      <c r="A590" s="325" t="s">
        <v>298</v>
      </c>
      <c r="B590" s="325" t="s">
        <v>299</v>
      </c>
      <c r="C590" s="325" t="s">
        <v>300</v>
      </c>
      <c r="D590" s="325" t="s">
        <v>676</v>
      </c>
    </row>
    <row r="591" spans="1:4" s="325" customFormat="1" x14ac:dyDescent="0.2">
      <c r="A591" s="325" t="s">
        <v>301</v>
      </c>
      <c r="B591" s="325" t="s">
        <v>302</v>
      </c>
      <c r="C591" s="325" t="s">
        <v>303</v>
      </c>
      <c r="D591" s="325" t="s">
        <v>677</v>
      </c>
    </row>
    <row r="592" spans="1:4" s="325" customFormat="1" x14ac:dyDescent="0.2">
      <c r="A592" s="325" t="s">
        <v>304</v>
      </c>
      <c r="B592" s="325" t="s">
        <v>305</v>
      </c>
      <c r="C592" s="325" t="s">
        <v>306</v>
      </c>
      <c r="D592" s="325" t="s">
        <v>678</v>
      </c>
    </row>
    <row r="593" spans="1:4" s="325" customFormat="1" x14ac:dyDescent="0.2">
      <c r="A593" s="325" t="s">
        <v>307</v>
      </c>
      <c r="B593" s="325" t="s">
        <v>308</v>
      </c>
      <c r="C593" s="325" t="s">
        <v>309</v>
      </c>
      <c r="D593" s="325" t="s">
        <v>679</v>
      </c>
    </row>
    <row r="594" spans="1:4" s="325" customFormat="1" x14ac:dyDescent="0.2">
      <c r="A594" s="325" t="s">
        <v>310</v>
      </c>
      <c r="B594" s="325" t="s">
        <v>311</v>
      </c>
      <c r="C594" s="325" t="s">
        <v>312</v>
      </c>
      <c r="D594" s="325" t="s">
        <v>680</v>
      </c>
    </row>
    <row r="595" spans="1:4" s="325" customFormat="1" x14ac:dyDescent="0.2">
      <c r="A595" s="325" t="s">
        <v>313</v>
      </c>
      <c r="B595" s="325" t="s">
        <v>314</v>
      </c>
      <c r="C595" s="325" t="s">
        <v>315</v>
      </c>
      <c r="D595" s="325" t="s">
        <v>681</v>
      </c>
    </row>
    <row r="596" spans="1:4" s="325" customFormat="1" x14ac:dyDescent="0.2">
      <c r="A596" s="325" t="s">
        <v>316</v>
      </c>
      <c r="B596" s="325" t="s">
        <v>100</v>
      </c>
      <c r="C596" s="325" t="s">
        <v>101</v>
      </c>
      <c r="D596" s="325" t="s">
        <v>618</v>
      </c>
    </row>
    <row r="597" spans="1:4" s="325" customFormat="1" x14ac:dyDescent="0.2">
      <c r="A597" s="325" t="s">
        <v>317</v>
      </c>
      <c r="B597" s="325" t="s">
        <v>318</v>
      </c>
      <c r="C597" s="325" t="s">
        <v>319</v>
      </c>
      <c r="D597" s="325" t="s">
        <v>682</v>
      </c>
    </row>
    <row r="598" spans="1:4" s="325" customFormat="1" x14ac:dyDescent="0.2">
      <c r="A598" s="325" t="s">
        <v>320</v>
      </c>
      <c r="B598" s="325" t="s">
        <v>100</v>
      </c>
      <c r="C598" s="325" t="s">
        <v>101</v>
      </c>
      <c r="D598" s="325" t="s">
        <v>618</v>
      </c>
    </row>
    <row r="599" spans="1:4" s="325" customFormat="1" x14ac:dyDescent="0.2">
      <c r="A599" s="325" t="s">
        <v>321</v>
      </c>
      <c r="B599" s="325" t="s">
        <v>322</v>
      </c>
      <c r="C599" s="325" t="s">
        <v>323</v>
      </c>
      <c r="D599" s="325" t="s">
        <v>683</v>
      </c>
    </row>
    <row r="600" spans="1:4" s="325" customFormat="1" x14ac:dyDescent="0.2">
      <c r="A600" s="325" t="s">
        <v>324</v>
      </c>
      <c r="B600" s="325" t="s">
        <v>325</v>
      </c>
      <c r="C600" s="325" t="s">
        <v>326</v>
      </c>
      <c r="D600" s="325" t="s">
        <v>684</v>
      </c>
    </row>
    <row r="601" spans="1:4" s="325" customFormat="1" x14ac:dyDescent="0.2">
      <c r="A601" s="325" t="s">
        <v>327</v>
      </c>
      <c r="B601" s="325" t="s">
        <v>328</v>
      </c>
      <c r="C601" s="325" t="s">
        <v>329</v>
      </c>
      <c r="D601" s="325" t="s">
        <v>685</v>
      </c>
    </row>
    <row r="602" spans="1:4" s="325" customFormat="1" x14ac:dyDescent="0.2">
      <c r="A602" s="325" t="s">
        <v>330</v>
      </c>
      <c r="B602" s="325" t="s">
        <v>331</v>
      </c>
      <c r="C602" s="325" t="s">
        <v>332</v>
      </c>
      <c r="D602" s="325" t="s">
        <v>686</v>
      </c>
    </row>
    <row r="603" spans="1:4" s="325" customFormat="1" x14ac:dyDescent="0.2">
      <c r="A603" s="325" t="s">
        <v>333</v>
      </c>
      <c r="B603" s="325" t="s">
        <v>334</v>
      </c>
      <c r="C603" s="325" t="s">
        <v>335</v>
      </c>
      <c r="D603" s="325" t="s">
        <v>687</v>
      </c>
    </row>
    <row r="604" spans="1:4" s="325" customFormat="1" x14ac:dyDescent="0.2">
      <c r="A604" s="325" t="s">
        <v>336</v>
      </c>
      <c r="B604" s="325" t="s">
        <v>119</v>
      </c>
      <c r="C604" s="325" t="s">
        <v>120</v>
      </c>
      <c r="D604" s="325" t="s">
        <v>624</v>
      </c>
    </row>
    <row r="605" spans="1:4" s="325" customFormat="1" x14ac:dyDescent="0.2">
      <c r="A605" s="325" t="s">
        <v>337</v>
      </c>
      <c r="B605" s="325" t="s">
        <v>338</v>
      </c>
      <c r="C605" s="325" t="s">
        <v>339</v>
      </c>
      <c r="D605" s="325" t="s">
        <v>688</v>
      </c>
    </row>
    <row r="606" spans="1:4" s="325" customFormat="1" x14ac:dyDescent="0.2">
      <c r="A606" s="325" t="s">
        <v>340</v>
      </c>
      <c r="B606" s="325" t="s">
        <v>341</v>
      </c>
      <c r="C606" s="325" t="s">
        <v>342</v>
      </c>
      <c r="D606" s="325" t="s">
        <v>689</v>
      </c>
    </row>
    <row r="607" spans="1:4" s="325" customFormat="1" x14ac:dyDescent="0.2">
      <c r="A607" s="325" t="s">
        <v>343</v>
      </c>
      <c r="B607" s="325" t="s">
        <v>344</v>
      </c>
      <c r="C607" s="325" t="s">
        <v>345</v>
      </c>
      <c r="D607" s="325" t="s">
        <v>690</v>
      </c>
    </row>
    <row r="608" spans="1:4" s="325" customFormat="1" x14ac:dyDescent="0.2">
      <c r="A608" s="325" t="s">
        <v>346</v>
      </c>
      <c r="B608" s="325" t="s">
        <v>347</v>
      </c>
      <c r="C608" s="325" t="s">
        <v>348</v>
      </c>
      <c r="D608" s="325" t="s">
        <v>691</v>
      </c>
    </row>
    <row r="609" spans="1:4" s="325" customFormat="1" x14ac:dyDescent="0.2">
      <c r="A609" s="325" t="s">
        <v>349</v>
      </c>
      <c r="B609" s="325" t="s">
        <v>350</v>
      </c>
      <c r="C609" s="325" t="s">
        <v>351</v>
      </c>
      <c r="D609" s="325" t="s">
        <v>692</v>
      </c>
    </row>
    <row r="610" spans="1:4" s="325" customFormat="1" x14ac:dyDescent="0.2">
      <c r="A610" s="325" t="s">
        <v>352</v>
      </c>
      <c r="B610" s="325" t="s">
        <v>353</v>
      </c>
      <c r="C610" s="325" t="s">
        <v>354</v>
      </c>
      <c r="D610" s="325" t="s">
        <v>693</v>
      </c>
    </row>
    <row r="611" spans="1:4" s="325" customFormat="1" x14ac:dyDescent="0.2">
      <c r="A611" s="325" t="s">
        <v>355</v>
      </c>
      <c r="B611" s="325" t="s">
        <v>356</v>
      </c>
      <c r="C611" s="325" t="s">
        <v>357</v>
      </c>
      <c r="D611" s="325" t="s">
        <v>694</v>
      </c>
    </row>
    <row r="612" spans="1:4" s="325" customFormat="1" x14ac:dyDescent="0.2">
      <c r="A612" s="325" t="s">
        <v>358</v>
      </c>
      <c r="B612" s="325" t="s">
        <v>359</v>
      </c>
      <c r="C612" s="325" t="s">
        <v>360</v>
      </c>
      <c r="D612" s="325" t="s">
        <v>695</v>
      </c>
    </row>
    <row r="613" spans="1:4" s="325" customFormat="1" x14ac:dyDescent="0.2">
      <c r="A613" s="325" t="s">
        <v>361</v>
      </c>
      <c r="B613" s="325" t="s">
        <v>362</v>
      </c>
      <c r="C613" s="325" t="s">
        <v>363</v>
      </c>
      <c r="D613" s="325" t="s">
        <v>696</v>
      </c>
    </row>
    <row r="614" spans="1:4" s="325" customFormat="1" x14ac:dyDescent="0.2">
      <c r="A614" s="325" t="s">
        <v>364</v>
      </c>
      <c r="B614" s="325" t="s">
        <v>365</v>
      </c>
      <c r="C614" s="325" t="s">
        <v>366</v>
      </c>
      <c r="D614" s="325" t="s">
        <v>697</v>
      </c>
    </row>
    <row r="615" spans="1:4" s="325" customFormat="1" x14ac:dyDescent="0.2">
      <c r="A615" s="325" t="s">
        <v>367</v>
      </c>
      <c r="B615" s="325" t="s">
        <v>100</v>
      </c>
      <c r="C615" s="325" t="s">
        <v>101</v>
      </c>
      <c r="D615" s="325" t="s">
        <v>618</v>
      </c>
    </row>
    <row r="616" spans="1:4" s="325" customFormat="1" x14ac:dyDescent="0.2">
      <c r="A616" s="325" t="s">
        <v>368</v>
      </c>
      <c r="B616" s="325" t="s">
        <v>369</v>
      </c>
      <c r="C616" s="325" t="s">
        <v>370</v>
      </c>
      <c r="D616" s="325" t="s">
        <v>698</v>
      </c>
    </row>
    <row r="617" spans="1:4" s="325" customFormat="1" x14ac:dyDescent="0.2">
      <c r="A617" s="325" t="s">
        <v>371</v>
      </c>
      <c r="B617" s="325" t="s">
        <v>372</v>
      </c>
      <c r="C617" s="325" t="s">
        <v>373</v>
      </c>
      <c r="D617" s="325" t="s">
        <v>699</v>
      </c>
    </row>
    <row r="618" spans="1:4" s="325" customFormat="1" x14ac:dyDescent="0.2">
      <c r="A618" s="325" t="s">
        <v>374</v>
      </c>
      <c r="B618" s="325" t="s">
        <v>375</v>
      </c>
      <c r="C618" s="325" t="s">
        <v>376</v>
      </c>
      <c r="D618" s="325" t="s">
        <v>700</v>
      </c>
    </row>
    <row r="619" spans="1:4" s="325" customFormat="1" x14ac:dyDescent="0.2">
      <c r="A619" s="325" t="s">
        <v>377</v>
      </c>
      <c r="B619" s="325" t="s">
        <v>378</v>
      </c>
      <c r="C619" s="325" t="s">
        <v>379</v>
      </c>
      <c r="D619" s="325" t="s">
        <v>701</v>
      </c>
    </row>
    <row r="620" spans="1:4" s="325" customFormat="1" x14ac:dyDescent="0.2">
      <c r="A620" s="325" t="s">
        <v>380</v>
      </c>
      <c r="B620" s="325" t="s">
        <v>381</v>
      </c>
      <c r="C620" s="325" t="s">
        <v>382</v>
      </c>
      <c r="D620" s="325" t="s">
        <v>702</v>
      </c>
    </row>
    <row r="621" spans="1:4" s="325" customFormat="1" x14ac:dyDescent="0.2">
      <c r="A621" s="325" t="s">
        <v>383</v>
      </c>
      <c r="B621" s="325" t="s">
        <v>145</v>
      </c>
      <c r="C621" s="325" t="s">
        <v>146</v>
      </c>
      <c r="D621" s="325" t="s">
        <v>632</v>
      </c>
    </row>
    <row r="622" spans="1:4" s="325" customFormat="1" x14ac:dyDescent="0.2">
      <c r="A622" s="325" t="s">
        <v>384</v>
      </c>
      <c r="B622" s="325" t="s">
        <v>100</v>
      </c>
      <c r="C622" s="325" t="s">
        <v>101</v>
      </c>
      <c r="D622" s="325" t="s">
        <v>618</v>
      </c>
    </row>
    <row r="623" spans="1:4" s="325" customFormat="1" x14ac:dyDescent="0.2">
      <c r="A623" s="325" t="s">
        <v>385</v>
      </c>
      <c r="B623" s="325" t="s">
        <v>97</v>
      </c>
      <c r="C623" s="325" t="s">
        <v>98</v>
      </c>
      <c r="D623" s="325" t="s">
        <v>617</v>
      </c>
    </row>
    <row r="624" spans="1:4" s="325" customFormat="1" x14ac:dyDescent="0.2">
      <c r="A624" s="325" t="s">
        <v>386</v>
      </c>
      <c r="B624" s="325" t="s">
        <v>100</v>
      </c>
      <c r="C624" s="325" t="s">
        <v>101</v>
      </c>
      <c r="D624" s="325" t="s">
        <v>618</v>
      </c>
    </row>
    <row r="625" spans="1:4" s="325" customFormat="1" x14ac:dyDescent="0.2">
      <c r="A625" s="325" t="s">
        <v>387</v>
      </c>
      <c r="B625" s="325" t="s">
        <v>388</v>
      </c>
      <c r="C625" s="325" t="s">
        <v>389</v>
      </c>
      <c r="D625" s="325" t="s">
        <v>703</v>
      </c>
    </row>
    <row r="626" spans="1:4" s="325" customFormat="1" x14ac:dyDescent="0.2">
      <c r="A626" s="325" t="s">
        <v>390</v>
      </c>
      <c r="B626" s="325" t="s">
        <v>391</v>
      </c>
      <c r="C626" s="325" t="s">
        <v>392</v>
      </c>
      <c r="D626" s="325" t="s">
        <v>704</v>
      </c>
    </row>
    <row r="627" spans="1:4" s="325" customFormat="1" x14ac:dyDescent="0.2">
      <c r="A627" s="325" t="s">
        <v>393</v>
      </c>
      <c r="B627" s="325" t="s">
        <v>394</v>
      </c>
      <c r="C627" s="325" t="s">
        <v>395</v>
      </c>
      <c r="D627" s="325" t="s">
        <v>705</v>
      </c>
    </row>
    <row r="628" spans="1:4" s="325" customFormat="1" x14ac:dyDescent="0.2">
      <c r="A628" s="325" t="s">
        <v>396</v>
      </c>
      <c r="B628" s="325" t="s">
        <v>97</v>
      </c>
      <c r="C628" s="325" t="s">
        <v>98</v>
      </c>
      <c r="D628" s="325" t="s">
        <v>617</v>
      </c>
    </row>
    <row r="629" spans="1:4" s="325" customFormat="1" x14ac:dyDescent="0.2">
      <c r="A629" s="325" t="s">
        <v>397</v>
      </c>
      <c r="B629" s="325" t="s">
        <v>100</v>
      </c>
      <c r="C629" s="325" t="s">
        <v>101</v>
      </c>
      <c r="D629" s="325" t="s">
        <v>618</v>
      </c>
    </row>
    <row r="630" spans="1:4" s="325" customFormat="1" x14ac:dyDescent="0.2">
      <c r="A630" s="325" t="s">
        <v>398</v>
      </c>
      <c r="B630" s="325" t="s">
        <v>399</v>
      </c>
      <c r="C630" s="325" t="s">
        <v>400</v>
      </c>
      <c r="D630" s="325" t="s">
        <v>706</v>
      </c>
    </row>
    <row r="631" spans="1:4" s="325" customFormat="1" x14ac:dyDescent="0.2">
      <c r="A631" s="325" t="s">
        <v>401</v>
      </c>
      <c r="B631" s="325" t="s">
        <v>100</v>
      </c>
      <c r="C631" s="325" t="s">
        <v>101</v>
      </c>
      <c r="D631" s="325" t="s">
        <v>618</v>
      </c>
    </row>
    <row r="632" spans="1:4" s="325" customFormat="1" x14ac:dyDescent="0.2">
      <c r="A632" s="325" t="s">
        <v>402</v>
      </c>
      <c r="B632" s="325" t="s">
        <v>106</v>
      </c>
      <c r="C632" s="325" t="s">
        <v>107</v>
      </c>
      <c r="D632" s="325" t="s">
        <v>620</v>
      </c>
    </row>
    <row r="633" spans="1:4" s="325" customFormat="1" x14ac:dyDescent="0.2">
      <c r="A633" s="325" t="s">
        <v>403</v>
      </c>
      <c r="B633" s="325" t="s">
        <v>404</v>
      </c>
      <c r="C633" s="325" t="s">
        <v>405</v>
      </c>
      <c r="D633" s="325" t="s">
        <v>707</v>
      </c>
    </row>
    <row r="634" spans="1:4" s="325" customFormat="1" x14ac:dyDescent="0.2">
      <c r="A634" s="325" t="s">
        <v>406</v>
      </c>
      <c r="B634" s="325" t="s">
        <v>407</v>
      </c>
      <c r="C634" s="325" t="s">
        <v>408</v>
      </c>
      <c r="D634" s="325" t="s">
        <v>708</v>
      </c>
    </row>
    <row r="635" spans="1:4" s="325" customFormat="1" x14ac:dyDescent="0.2">
      <c r="A635" s="325" t="s">
        <v>409</v>
      </c>
      <c r="B635" s="325" t="s">
        <v>410</v>
      </c>
      <c r="C635" s="325" t="s">
        <v>411</v>
      </c>
      <c r="D635" s="325" t="s">
        <v>709</v>
      </c>
    </row>
    <row r="636" spans="1:4" s="325" customFormat="1" x14ac:dyDescent="0.2">
      <c r="A636" s="325" t="s">
        <v>412</v>
      </c>
      <c r="B636" s="325" t="s">
        <v>413</v>
      </c>
      <c r="C636" s="325" t="s">
        <v>414</v>
      </c>
      <c r="D636" s="325" t="s">
        <v>710</v>
      </c>
    </row>
    <row r="637" spans="1:4" s="325" customFormat="1" x14ac:dyDescent="0.2">
      <c r="A637" s="325" t="s">
        <v>415</v>
      </c>
      <c r="B637" s="325" t="s">
        <v>119</v>
      </c>
      <c r="C637" s="325" t="s">
        <v>120</v>
      </c>
      <c r="D637" s="325" t="s">
        <v>624</v>
      </c>
    </row>
    <row r="638" spans="1:4" s="325" customFormat="1" x14ac:dyDescent="0.2">
      <c r="A638" s="325" t="s">
        <v>416</v>
      </c>
      <c r="B638" s="325" t="s">
        <v>417</v>
      </c>
      <c r="C638" s="325" t="s">
        <v>418</v>
      </c>
      <c r="D638" s="325" t="s">
        <v>711</v>
      </c>
    </row>
    <row r="639" spans="1:4" s="325" customFormat="1" x14ac:dyDescent="0.2">
      <c r="A639" s="325" t="s">
        <v>419</v>
      </c>
      <c r="B639" s="325" t="s">
        <v>100</v>
      </c>
      <c r="C639" s="325" t="s">
        <v>101</v>
      </c>
      <c r="D639" s="325" t="s">
        <v>618</v>
      </c>
    </row>
    <row r="640" spans="1:4" s="325" customFormat="1" x14ac:dyDescent="0.2">
      <c r="A640" s="325" t="s">
        <v>420</v>
      </c>
      <c r="B640" s="325" t="s">
        <v>421</v>
      </c>
      <c r="C640" s="325" t="s">
        <v>422</v>
      </c>
      <c r="D640" s="325" t="s">
        <v>712</v>
      </c>
    </row>
    <row r="641" spans="1:4" s="325" customFormat="1" x14ac:dyDescent="0.2">
      <c r="A641" s="325" t="s">
        <v>423</v>
      </c>
      <c r="B641" s="325" t="s">
        <v>261</v>
      </c>
      <c r="C641" s="325" t="s">
        <v>262</v>
      </c>
      <c r="D641" s="325" t="s">
        <v>666</v>
      </c>
    </row>
    <row r="642" spans="1:4" s="325" customFormat="1" x14ac:dyDescent="0.2">
      <c r="A642" s="325" t="s">
        <v>424</v>
      </c>
      <c r="B642" s="325" t="s">
        <v>209</v>
      </c>
      <c r="C642" s="325" t="s">
        <v>210</v>
      </c>
      <c r="D642" s="325" t="s">
        <v>652</v>
      </c>
    </row>
    <row r="643" spans="1:4" s="325" customFormat="1" x14ac:dyDescent="0.2">
      <c r="A643" s="325" t="s">
        <v>425</v>
      </c>
      <c r="B643" s="325" t="s">
        <v>426</v>
      </c>
      <c r="C643" s="325" t="s">
        <v>427</v>
      </c>
      <c r="D643" s="325" t="s">
        <v>713</v>
      </c>
    </row>
    <row r="644" spans="1:4" s="325" customFormat="1" x14ac:dyDescent="0.2">
      <c r="A644" s="325" t="s">
        <v>428</v>
      </c>
      <c r="B644" s="325" t="s">
        <v>145</v>
      </c>
      <c r="C644" s="325" t="s">
        <v>146</v>
      </c>
      <c r="D644" s="325" t="s">
        <v>632</v>
      </c>
    </row>
    <row r="645" spans="1:4" s="325" customFormat="1" x14ac:dyDescent="0.2">
      <c r="A645" s="325" t="s">
        <v>429</v>
      </c>
      <c r="B645" s="325" t="s">
        <v>430</v>
      </c>
      <c r="C645" s="325" t="s">
        <v>431</v>
      </c>
      <c r="D645" s="325" t="s">
        <v>714</v>
      </c>
    </row>
    <row r="646" spans="1:4" s="325" customFormat="1" x14ac:dyDescent="0.2">
      <c r="A646" s="325" t="s">
        <v>432</v>
      </c>
      <c r="B646" s="325" t="s">
        <v>209</v>
      </c>
      <c r="C646" s="325" t="s">
        <v>210</v>
      </c>
      <c r="D646" s="325" t="s">
        <v>652</v>
      </c>
    </row>
    <row r="647" spans="1:4" s="325" customFormat="1" x14ac:dyDescent="0.2">
      <c r="A647" s="325" t="s">
        <v>433</v>
      </c>
      <c r="B647" s="325" t="s">
        <v>97</v>
      </c>
      <c r="C647" s="325" t="s">
        <v>98</v>
      </c>
      <c r="D647" s="325" t="s">
        <v>617</v>
      </c>
    </row>
    <row r="648" spans="1:4" s="325" customFormat="1" x14ac:dyDescent="0.2">
      <c r="A648" s="325" t="s">
        <v>434</v>
      </c>
      <c r="B648" s="325" t="s">
        <v>435</v>
      </c>
      <c r="C648" s="325" t="s">
        <v>436</v>
      </c>
      <c r="D648" s="325" t="s">
        <v>715</v>
      </c>
    </row>
    <row r="649" spans="1:4" s="325" customFormat="1" x14ac:dyDescent="0.2">
      <c r="A649" s="325" t="s">
        <v>437</v>
      </c>
      <c r="B649" s="325" t="s">
        <v>438</v>
      </c>
      <c r="C649" s="325" t="s">
        <v>439</v>
      </c>
      <c r="D649" s="325" t="s">
        <v>716</v>
      </c>
    </row>
    <row r="650" spans="1:4" s="325" customFormat="1" x14ac:dyDescent="0.2">
      <c r="A650" s="325" t="s">
        <v>440</v>
      </c>
      <c r="B650" s="325" t="s">
        <v>441</v>
      </c>
      <c r="C650" s="325" t="s">
        <v>442</v>
      </c>
      <c r="D650" s="325" t="s">
        <v>717</v>
      </c>
    </row>
    <row r="651" spans="1:4" s="325" customFormat="1" x14ac:dyDescent="0.2">
      <c r="A651" s="325" t="s">
        <v>443</v>
      </c>
      <c r="B651" s="325" t="s">
        <v>97</v>
      </c>
      <c r="C651" s="325" t="s">
        <v>98</v>
      </c>
      <c r="D651" s="325" t="s">
        <v>617</v>
      </c>
    </row>
    <row r="652" spans="1:4" s="325" customFormat="1" x14ac:dyDescent="0.2">
      <c r="A652" s="325" t="s">
        <v>444</v>
      </c>
      <c r="B652" s="325" t="s">
        <v>445</v>
      </c>
      <c r="C652" s="325" t="s">
        <v>446</v>
      </c>
      <c r="D652" s="325" t="s">
        <v>718</v>
      </c>
    </row>
    <row r="653" spans="1:4" s="325" customFormat="1" x14ac:dyDescent="0.2">
      <c r="A653" s="325" t="s">
        <v>447</v>
      </c>
      <c r="B653" s="325" t="s">
        <v>448</v>
      </c>
      <c r="C653" s="325" t="s">
        <v>449</v>
      </c>
      <c r="D653" s="325" t="s">
        <v>719</v>
      </c>
    </row>
    <row r="654" spans="1:4" s="325" customFormat="1" x14ac:dyDescent="0.2">
      <c r="A654" s="325" t="s">
        <v>450</v>
      </c>
      <c r="B654" s="325" t="s">
        <v>451</v>
      </c>
      <c r="C654" s="325" t="s">
        <v>452</v>
      </c>
      <c r="D654" s="325" t="s">
        <v>720</v>
      </c>
    </row>
    <row r="655" spans="1:4" s="325" customFormat="1" x14ac:dyDescent="0.2">
      <c r="A655" s="325" t="s">
        <v>453</v>
      </c>
      <c r="B655" s="325" t="s">
        <v>454</v>
      </c>
      <c r="C655" s="325" t="s">
        <v>455</v>
      </c>
      <c r="D655" s="325" t="s">
        <v>721</v>
      </c>
    </row>
    <row r="656" spans="1:4" s="325" customFormat="1" x14ac:dyDescent="0.2">
      <c r="A656" s="325" t="s">
        <v>456</v>
      </c>
      <c r="B656" s="325" t="s">
        <v>457</v>
      </c>
      <c r="C656" s="325" t="s">
        <v>458</v>
      </c>
      <c r="D656" s="325" t="s">
        <v>722</v>
      </c>
    </row>
    <row r="657" spans="1:4" s="325" customFormat="1" x14ac:dyDescent="0.2">
      <c r="A657" s="325" t="s">
        <v>459</v>
      </c>
      <c r="B657" s="325" t="s">
        <v>460</v>
      </c>
      <c r="C657" s="325" t="s">
        <v>461</v>
      </c>
      <c r="D657" s="325" t="s">
        <v>723</v>
      </c>
    </row>
    <row r="658" spans="1:4" s="325" customFormat="1" x14ac:dyDescent="0.2">
      <c r="A658" s="325" t="s">
        <v>462</v>
      </c>
      <c r="B658" s="325" t="s">
        <v>100</v>
      </c>
      <c r="C658" s="325" t="s">
        <v>101</v>
      </c>
      <c r="D658" s="325" t="s">
        <v>618</v>
      </c>
    </row>
    <row r="659" spans="1:4" s="325" customFormat="1" x14ac:dyDescent="0.2">
      <c r="A659" s="325" t="s">
        <v>463</v>
      </c>
      <c r="B659" s="325" t="s">
        <v>97</v>
      </c>
      <c r="C659" s="325" t="s">
        <v>98</v>
      </c>
      <c r="D659" s="325" t="s">
        <v>617</v>
      </c>
    </row>
    <row r="660" spans="1:4" s="325" customFormat="1" x14ac:dyDescent="0.2">
      <c r="A660" s="325" t="s">
        <v>464</v>
      </c>
      <c r="B660" s="325" t="s">
        <v>465</v>
      </c>
      <c r="C660" s="325" t="s">
        <v>466</v>
      </c>
      <c r="D660" s="325" t="s">
        <v>724</v>
      </c>
    </row>
    <row r="661" spans="1:4" s="325" customFormat="1" x14ac:dyDescent="0.2">
      <c r="A661" s="325" t="s">
        <v>467</v>
      </c>
      <c r="B661" s="325" t="s">
        <v>468</v>
      </c>
      <c r="C661" s="325" t="s">
        <v>469</v>
      </c>
      <c r="D661" s="325" t="s">
        <v>725</v>
      </c>
    </row>
    <row r="662" spans="1:4" s="325" customFormat="1" x14ac:dyDescent="0.2">
      <c r="A662" s="325" t="s">
        <v>470</v>
      </c>
      <c r="B662" s="325" t="s">
        <v>471</v>
      </c>
      <c r="C662" s="325" t="s">
        <v>472</v>
      </c>
      <c r="D662" s="325" t="s">
        <v>726</v>
      </c>
    </row>
    <row r="663" spans="1:4" s="325" customFormat="1" x14ac:dyDescent="0.2">
      <c r="A663" s="325" t="s">
        <v>473</v>
      </c>
      <c r="B663" s="325" t="s">
        <v>474</v>
      </c>
      <c r="C663" s="325" t="s">
        <v>475</v>
      </c>
      <c r="D663" s="325" t="s">
        <v>727</v>
      </c>
    </row>
    <row r="664" spans="1:4" s="325" customFormat="1" x14ac:dyDescent="0.2">
      <c r="A664" s="325" t="s">
        <v>476</v>
      </c>
      <c r="B664" s="325" t="s">
        <v>100</v>
      </c>
      <c r="C664" s="325" t="s">
        <v>101</v>
      </c>
      <c r="D664" s="325" t="s">
        <v>618</v>
      </c>
    </row>
    <row r="665" spans="1:4" s="325" customFormat="1" x14ac:dyDescent="0.2">
      <c r="A665" s="325" t="s">
        <v>477</v>
      </c>
      <c r="B665" s="325" t="s">
        <v>478</v>
      </c>
      <c r="C665" s="325" t="s">
        <v>479</v>
      </c>
      <c r="D665" s="325" t="s">
        <v>728</v>
      </c>
    </row>
    <row r="666" spans="1:4" s="325" customFormat="1" x14ac:dyDescent="0.2">
      <c r="A666" s="325" t="s">
        <v>480</v>
      </c>
      <c r="B666" s="325" t="s">
        <v>481</v>
      </c>
      <c r="C666" s="325" t="s">
        <v>482</v>
      </c>
      <c r="D666" s="325" t="s">
        <v>729</v>
      </c>
    </row>
    <row r="667" spans="1:4" s="325" customFormat="1" x14ac:dyDescent="0.2">
      <c r="A667" s="325" t="s">
        <v>483</v>
      </c>
      <c r="B667" s="325" t="s">
        <v>484</v>
      </c>
      <c r="C667" s="325" t="s">
        <v>485</v>
      </c>
      <c r="D667" s="325" t="s">
        <v>730</v>
      </c>
    </row>
    <row r="668" spans="1:4" s="325" customFormat="1" x14ac:dyDescent="0.2">
      <c r="A668" s="325" t="s">
        <v>486</v>
      </c>
      <c r="B668" s="325" t="s">
        <v>487</v>
      </c>
      <c r="C668" s="325" t="s">
        <v>488</v>
      </c>
      <c r="D668" s="325" t="s">
        <v>731</v>
      </c>
    </row>
    <row r="669" spans="1:4" s="325" customFormat="1" x14ac:dyDescent="0.2">
      <c r="A669" s="325" t="s">
        <v>489</v>
      </c>
      <c r="B669" s="325" t="s">
        <v>106</v>
      </c>
      <c r="C669" s="325" t="s">
        <v>107</v>
      </c>
      <c r="D669" s="325" t="s">
        <v>620</v>
      </c>
    </row>
    <row r="670" spans="1:4" s="325" customFormat="1" x14ac:dyDescent="0.2">
      <c r="A670" s="325" t="s">
        <v>490</v>
      </c>
      <c r="B670" s="325" t="s">
        <v>106</v>
      </c>
      <c r="C670" s="325" t="s">
        <v>107</v>
      </c>
      <c r="D670" s="325" t="s">
        <v>620</v>
      </c>
    </row>
    <row r="671" spans="1:4" s="325" customFormat="1" x14ac:dyDescent="0.2">
      <c r="A671" s="325" t="s">
        <v>491</v>
      </c>
      <c r="B671" s="325" t="s">
        <v>492</v>
      </c>
      <c r="C671" s="325" t="s">
        <v>493</v>
      </c>
      <c r="D671" s="325" t="s">
        <v>732</v>
      </c>
    </row>
    <row r="672" spans="1:4" s="325" customFormat="1" x14ac:dyDescent="0.2">
      <c r="A672" s="325" t="s">
        <v>494</v>
      </c>
      <c r="B672" s="325" t="s">
        <v>100</v>
      </c>
      <c r="C672" s="325" t="s">
        <v>101</v>
      </c>
      <c r="D672" s="325" t="s">
        <v>618</v>
      </c>
    </row>
    <row r="673" spans="1:4" s="325" customFormat="1" x14ac:dyDescent="0.2">
      <c r="A673" s="325" t="s">
        <v>495</v>
      </c>
      <c r="B673" s="325" t="s">
        <v>496</v>
      </c>
      <c r="C673" s="325" t="s">
        <v>497</v>
      </c>
      <c r="D673" s="325" t="s">
        <v>733</v>
      </c>
    </row>
    <row r="674" spans="1:4" s="325" customFormat="1" x14ac:dyDescent="0.2">
      <c r="A674" s="325" t="s">
        <v>498</v>
      </c>
      <c r="B674" s="325" t="s">
        <v>499</v>
      </c>
      <c r="C674" s="325" t="s">
        <v>500</v>
      </c>
      <c r="D674" s="325" t="s">
        <v>734</v>
      </c>
    </row>
    <row r="675" spans="1:4" s="325" customFormat="1" x14ac:dyDescent="0.2">
      <c r="A675" s="325" t="s">
        <v>501</v>
      </c>
      <c r="B675" s="325" t="s">
        <v>145</v>
      </c>
      <c r="C675" s="325" t="s">
        <v>146</v>
      </c>
      <c r="D675" s="325" t="s">
        <v>632</v>
      </c>
    </row>
    <row r="676" spans="1:4" s="325" customFormat="1" x14ac:dyDescent="0.2">
      <c r="A676" s="325" t="s">
        <v>502</v>
      </c>
      <c r="B676" s="325" t="s">
        <v>503</v>
      </c>
      <c r="C676" s="325" t="s">
        <v>504</v>
      </c>
      <c r="D676" s="325" t="s">
        <v>735</v>
      </c>
    </row>
    <row r="677" spans="1:4" s="325" customFormat="1" x14ac:dyDescent="0.2">
      <c r="A677" s="325" t="s">
        <v>505</v>
      </c>
      <c r="B677" s="325" t="s">
        <v>506</v>
      </c>
      <c r="C677" s="325" t="s">
        <v>507</v>
      </c>
      <c r="D677" s="325" t="s">
        <v>736</v>
      </c>
    </row>
    <row r="678" spans="1:4" s="325" customFormat="1" x14ac:dyDescent="0.2">
      <c r="A678" s="325" t="s">
        <v>508</v>
      </c>
      <c r="B678" s="325" t="s">
        <v>509</v>
      </c>
      <c r="C678" s="325" t="s">
        <v>510</v>
      </c>
      <c r="D678" s="325" t="s">
        <v>737</v>
      </c>
    </row>
    <row r="679" spans="1:4" s="325" customFormat="1" x14ac:dyDescent="0.2">
      <c r="A679" s="325" t="s">
        <v>511</v>
      </c>
      <c r="B679" s="325" t="s">
        <v>512</v>
      </c>
      <c r="C679" s="325" t="s">
        <v>513</v>
      </c>
      <c r="D679" s="325" t="s">
        <v>738</v>
      </c>
    </row>
    <row r="680" spans="1:4" s="325" customFormat="1" x14ac:dyDescent="0.2">
      <c r="A680" s="325" t="s">
        <v>514</v>
      </c>
      <c r="B680" s="325" t="s">
        <v>100</v>
      </c>
      <c r="C680" s="325" t="s">
        <v>101</v>
      </c>
      <c r="D680" s="325" t="s">
        <v>618</v>
      </c>
    </row>
    <row r="681" spans="1:4" s="325" customFormat="1" x14ac:dyDescent="0.2">
      <c r="A681" s="325" t="s">
        <v>515</v>
      </c>
      <c r="B681" s="325" t="s">
        <v>100</v>
      </c>
      <c r="C681" s="325" t="s">
        <v>101</v>
      </c>
      <c r="D681" s="325" t="s">
        <v>618</v>
      </c>
    </row>
    <row r="682" spans="1:4" s="325" customFormat="1" x14ac:dyDescent="0.2">
      <c r="A682" s="325" t="s">
        <v>516</v>
      </c>
      <c r="B682" s="325" t="s">
        <v>517</v>
      </c>
      <c r="C682" s="325" t="s">
        <v>518</v>
      </c>
      <c r="D682" s="325" t="s">
        <v>739</v>
      </c>
    </row>
    <row r="683" spans="1:4" s="325" customFormat="1" x14ac:dyDescent="0.2">
      <c r="A683" s="325" t="s">
        <v>519</v>
      </c>
      <c r="B683" s="325" t="s">
        <v>520</v>
      </c>
      <c r="C683" s="325" t="s">
        <v>521</v>
      </c>
      <c r="D683" s="325" t="s">
        <v>740</v>
      </c>
    </row>
    <row r="684" spans="1:4" s="325" customFormat="1" x14ac:dyDescent="0.2">
      <c r="A684" s="325" t="s">
        <v>522</v>
      </c>
      <c r="B684" s="325" t="s">
        <v>523</v>
      </c>
      <c r="C684" s="325" t="s">
        <v>524</v>
      </c>
      <c r="D684" s="325" t="s">
        <v>741</v>
      </c>
    </row>
    <row r="685" spans="1:4" s="325" customFormat="1" x14ac:dyDescent="0.2">
      <c r="A685" s="325" t="s">
        <v>525</v>
      </c>
      <c r="B685" s="325" t="s">
        <v>526</v>
      </c>
      <c r="C685" s="325" t="s">
        <v>527</v>
      </c>
      <c r="D685" s="325" t="s">
        <v>742</v>
      </c>
    </row>
    <row r="686" spans="1:4" s="325" customFormat="1" x14ac:dyDescent="0.2">
      <c r="A686" s="325" t="s">
        <v>528</v>
      </c>
      <c r="B686" s="325" t="s">
        <v>100</v>
      </c>
      <c r="C686" s="325" t="s">
        <v>101</v>
      </c>
      <c r="D686" s="325" t="s">
        <v>618</v>
      </c>
    </row>
    <row r="687" spans="1:4" s="325" customFormat="1" x14ac:dyDescent="0.2">
      <c r="A687" s="325" t="s">
        <v>529</v>
      </c>
      <c r="B687" s="325" t="s">
        <v>530</v>
      </c>
      <c r="C687" s="325" t="s">
        <v>531</v>
      </c>
      <c r="D687" s="325" t="s">
        <v>743</v>
      </c>
    </row>
    <row r="688" spans="1:4" s="325" customFormat="1" x14ac:dyDescent="0.2">
      <c r="A688" s="325" t="s">
        <v>532</v>
      </c>
      <c r="B688" s="325" t="s">
        <v>106</v>
      </c>
      <c r="C688" s="325" t="s">
        <v>107</v>
      </c>
      <c r="D688" s="325" t="s">
        <v>620</v>
      </c>
    </row>
    <row r="689" spans="1:4" s="325" customFormat="1" x14ac:dyDescent="0.2">
      <c r="A689" s="325" t="s">
        <v>533</v>
      </c>
      <c r="B689" s="325" t="s">
        <v>534</v>
      </c>
      <c r="C689" s="325" t="s">
        <v>535</v>
      </c>
      <c r="D689" s="325" t="s">
        <v>744</v>
      </c>
    </row>
    <row r="690" spans="1:4" s="325" customFormat="1" x14ac:dyDescent="0.2">
      <c r="A690" s="325" t="s">
        <v>536</v>
      </c>
      <c r="B690" s="325" t="s">
        <v>537</v>
      </c>
      <c r="C690" s="325" t="s">
        <v>538</v>
      </c>
      <c r="D690" s="325" t="s">
        <v>745</v>
      </c>
    </row>
    <row r="691" spans="1:4" s="325" customFormat="1" x14ac:dyDescent="0.2">
      <c r="A691" s="325" t="s">
        <v>539</v>
      </c>
      <c r="B691" s="325" t="s">
        <v>540</v>
      </c>
      <c r="C691" s="325" t="s">
        <v>541</v>
      </c>
      <c r="D691" s="325" t="s">
        <v>746</v>
      </c>
    </row>
    <row r="692" spans="1:4" s="325" customFormat="1" x14ac:dyDescent="0.2">
      <c r="A692" s="325" t="s">
        <v>542</v>
      </c>
      <c r="B692" s="325" t="s">
        <v>543</v>
      </c>
      <c r="C692" s="325" t="s">
        <v>544</v>
      </c>
      <c r="D692" s="325" t="s">
        <v>747</v>
      </c>
    </row>
    <row r="693" spans="1:4" s="325" customFormat="1" x14ac:dyDescent="0.2">
      <c r="A693" s="325" t="s">
        <v>545</v>
      </c>
      <c r="B693" s="325" t="s">
        <v>362</v>
      </c>
      <c r="C693" s="325" t="s">
        <v>363</v>
      </c>
      <c r="D693" s="325" t="s">
        <v>696</v>
      </c>
    </row>
    <row r="694" spans="1:4" s="325" customFormat="1" x14ac:dyDescent="0.2">
      <c r="A694" s="325" t="s">
        <v>546</v>
      </c>
      <c r="B694" s="325" t="s">
        <v>547</v>
      </c>
      <c r="C694" s="325" t="s">
        <v>548</v>
      </c>
      <c r="D694" s="325" t="s">
        <v>748</v>
      </c>
    </row>
    <row r="695" spans="1:4" s="325" customFormat="1" x14ac:dyDescent="0.2">
      <c r="A695" s="325" t="s">
        <v>549</v>
      </c>
      <c r="B695" s="325" t="s">
        <v>550</v>
      </c>
      <c r="C695" s="325" t="s">
        <v>551</v>
      </c>
      <c r="D695" s="325" t="s">
        <v>749</v>
      </c>
    </row>
    <row r="696" spans="1:4" s="325" customFormat="1" x14ac:dyDescent="0.2">
      <c r="A696" s="325" t="s">
        <v>552</v>
      </c>
      <c r="B696" s="325" t="s">
        <v>553</v>
      </c>
      <c r="C696" s="325" t="s">
        <v>554</v>
      </c>
      <c r="D696" s="325" t="s">
        <v>750</v>
      </c>
    </row>
    <row r="697" spans="1:4" s="325" customFormat="1" x14ac:dyDescent="0.2">
      <c r="A697" s="325" t="s">
        <v>555</v>
      </c>
      <c r="B697" s="325" t="s">
        <v>556</v>
      </c>
      <c r="C697" s="325" t="s">
        <v>557</v>
      </c>
      <c r="D697" s="325" t="s">
        <v>751</v>
      </c>
    </row>
    <row r="698" spans="1:4" s="325" customFormat="1" x14ac:dyDescent="0.2">
      <c r="A698" s="325" t="s">
        <v>558</v>
      </c>
      <c r="B698" s="325" t="s">
        <v>559</v>
      </c>
      <c r="C698" s="325" t="s">
        <v>560</v>
      </c>
      <c r="D698" s="325" t="s">
        <v>752</v>
      </c>
    </row>
    <row r="699" spans="1:4" s="325" customFormat="1" x14ac:dyDescent="0.2">
      <c r="A699" s="325" t="s">
        <v>561</v>
      </c>
      <c r="B699" s="325" t="s">
        <v>145</v>
      </c>
      <c r="C699" s="325" t="s">
        <v>146</v>
      </c>
      <c r="D699" s="325" t="s">
        <v>632</v>
      </c>
    </row>
    <row r="700" spans="1:4" s="325" customFormat="1" x14ac:dyDescent="0.2">
      <c r="A700" s="325" t="s">
        <v>562</v>
      </c>
      <c r="B700" s="325" t="s">
        <v>209</v>
      </c>
      <c r="C700" s="325" t="s">
        <v>210</v>
      </c>
      <c r="D700" s="325" t="s">
        <v>652</v>
      </c>
    </row>
    <row r="701" spans="1:4" s="325" customFormat="1" x14ac:dyDescent="0.2">
      <c r="A701" s="325" t="s">
        <v>563</v>
      </c>
      <c r="B701" s="325" t="s">
        <v>564</v>
      </c>
      <c r="C701" s="325" t="s">
        <v>565</v>
      </c>
      <c r="D701" s="325" t="s">
        <v>753</v>
      </c>
    </row>
    <row r="702" spans="1:4" s="325" customFormat="1" x14ac:dyDescent="0.2">
      <c r="A702" s="325" t="s">
        <v>566</v>
      </c>
      <c r="B702" s="325" t="s">
        <v>567</v>
      </c>
      <c r="C702" s="325" t="s">
        <v>568</v>
      </c>
      <c r="D702" s="325" t="s">
        <v>754</v>
      </c>
    </row>
    <row r="703" spans="1:4" s="325" customFormat="1" x14ac:dyDescent="0.2">
      <c r="A703" s="325" t="s">
        <v>569</v>
      </c>
      <c r="B703" s="325" t="s">
        <v>570</v>
      </c>
      <c r="C703" s="325" t="s">
        <v>571</v>
      </c>
      <c r="D703" s="325" t="s">
        <v>755</v>
      </c>
    </row>
    <row r="704" spans="1:4" s="325" customFormat="1" x14ac:dyDescent="0.2">
      <c r="A704" s="325" t="s">
        <v>572</v>
      </c>
      <c r="B704" s="325" t="s">
        <v>573</v>
      </c>
      <c r="C704" s="325" t="s">
        <v>574</v>
      </c>
      <c r="D704" s="325" t="s">
        <v>756</v>
      </c>
    </row>
    <row r="705" spans="1:4" s="325" customFormat="1" x14ac:dyDescent="0.2">
      <c r="A705" s="325" t="s">
        <v>575</v>
      </c>
      <c r="B705" s="325" t="s">
        <v>576</v>
      </c>
      <c r="C705" s="325" t="s">
        <v>577</v>
      </c>
      <c r="D705" s="325" t="s">
        <v>757</v>
      </c>
    </row>
    <row r="706" spans="1:4" s="325" customFormat="1" x14ac:dyDescent="0.2">
      <c r="A706" s="325" t="s">
        <v>578</v>
      </c>
      <c r="B706" s="325" t="s">
        <v>97</v>
      </c>
      <c r="C706" s="325" t="s">
        <v>98</v>
      </c>
      <c r="D706" s="325" t="s">
        <v>617</v>
      </c>
    </row>
    <row r="707" spans="1:4" s="325" customFormat="1" x14ac:dyDescent="0.2">
      <c r="A707" s="325" t="s">
        <v>579</v>
      </c>
      <c r="B707" s="325" t="s">
        <v>119</v>
      </c>
      <c r="C707" s="325" t="s">
        <v>120</v>
      </c>
      <c r="D707" s="325" t="s">
        <v>624</v>
      </c>
    </row>
    <row r="708" spans="1:4" s="325" customFormat="1" x14ac:dyDescent="0.2">
      <c r="A708" s="325" t="s">
        <v>580</v>
      </c>
      <c r="B708" s="325" t="s">
        <v>581</v>
      </c>
      <c r="C708" s="325" t="s">
        <v>582</v>
      </c>
      <c r="D708" s="325" t="s">
        <v>758</v>
      </c>
    </row>
    <row r="709" spans="1:4" s="325" customFormat="1" x14ac:dyDescent="0.2">
      <c r="A709" s="325" t="s">
        <v>583</v>
      </c>
      <c r="B709" s="325" t="s">
        <v>584</v>
      </c>
      <c r="C709" s="325" t="s">
        <v>585</v>
      </c>
      <c r="D709" s="325" t="s">
        <v>759</v>
      </c>
    </row>
    <row r="710" spans="1:4" s="325" customFormat="1" x14ac:dyDescent="0.2">
      <c r="A710" s="325" t="s">
        <v>586</v>
      </c>
      <c r="B710" s="325" t="s">
        <v>587</v>
      </c>
      <c r="C710" s="325" t="s">
        <v>588</v>
      </c>
      <c r="D710" s="325" t="s">
        <v>760</v>
      </c>
    </row>
    <row r="711" spans="1:4" s="325" customFormat="1" x14ac:dyDescent="0.2">
      <c r="A711" s="325" t="s">
        <v>589</v>
      </c>
      <c r="B711" s="325" t="s">
        <v>590</v>
      </c>
      <c r="C711" s="325" t="s">
        <v>591</v>
      </c>
      <c r="D711" s="325" t="s">
        <v>761</v>
      </c>
    </row>
    <row r="712" spans="1:4" s="325" customFormat="1" x14ac:dyDescent="0.2">
      <c r="A712" s="325" t="s">
        <v>592</v>
      </c>
      <c r="B712" s="325" t="s">
        <v>97</v>
      </c>
      <c r="C712" s="325" t="s">
        <v>98</v>
      </c>
      <c r="D712" s="325" t="s">
        <v>617</v>
      </c>
    </row>
    <row r="713" spans="1:4" s="325" customFormat="1" x14ac:dyDescent="0.2">
      <c r="A713" s="325" t="s">
        <v>593</v>
      </c>
      <c r="B713" s="325" t="s">
        <v>594</v>
      </c>
      <c r="C713" s="325" t="s">
        <v>595</v>
      </c>
      <c r="D713" s="325" t="s">
        <v>762</v>
      </c>
    </row>
    <row r="714" spans="1:4" s="325" customFormat="1" x14ac:dyDescent="0.2">
      <c r="A714" s="325" t="s">
        <v>596</v>
      </c>
      <c r="B714" s="325" t="s">
        <v>597</v>
      </c>
      <c r="C714" s="325" t="s">
        <v>598</v>
      </c>
      <c r="D714" s="325" t="s">
        <v>763</v>
      </c>
    </row>
    <row r="715" spans="1:4" s="325" customFormat="1" x14ac:dyDescent="0.2">
      <c r="A715" s="325" t="s">
        <v>599</v>
      </c>
      <c r="B715" s="325" t="s">
        <v>600</v>
      </c>
      <c r="C715" s="325" t="s">
        <v>601</v>
      </c>
      <c r="D715" s="325" t="s">
        <v>764</v>
      </c>
    </row>
    <row r="716" spans="1:4" s="325" customFormat="1" x14ac:dyDescent="0.2">
      <c r="A716" s="325" t="s">
        <v>602</v>
      </c>
      <c r="B716" s="325" t="s">
        <v>603</v>
      </c>
      <c r="C716" s="325" t="s">
        <v>604</v>
      </c>
      <c r="D716" s="325" t="s">
        <v>765</v>
      </c>
    </row>
    <row r="717" spans="1:4" s="325" customFormat="1" x14ac:dyDescent="0.2">
      <c r="A717" s="325" t="s">
        <v>605</v>
      </c>
      <c r="B717" s="325" t="s">
        <v>606</v>
      </c>
      <c r="C717" s="325" t="s">
        <v>607</v>
      </c>
      <c r="D717" s="325" t="s">
        <v>766</v>
      </c>
    </row>
    <row r="718" spans="1:4" s="325" customFormat="1" x14ac:dyDescent="0.2">
      <c r="A718" s="325" t="s">
        <v>608</v>
      </c>
      <c r="B718" s="325" t="s">
        <v>97</v>
      </c>
      <c r="C718" s="325" t="s">
        <v>98</v>
      </c>
      <c r="D718" s="325" t="s">
        <v>617</v>
      </c>
    </row>
    <row r="719" spans="1:4" s="325" customFormat="1" x14ac:dyDescent="0.2">
      <c r="A719" s="325" t="s">
        <v>609</v>
      </c>
      <c r="B719" s="325" t="s">
        <v>97</v>
      </c>
      <c r="C719" s="325" t="s">
        <v>98</v>
      </c>
      <c r="D719" s="325" t="s">
        <v>617</v>
      </c>
    </row>
    <row r="720" spans="1:4" s="325" customFormat="1" x14ac:dyDescent="0.2">
      <c r="A720" s="325" t="s">
        <v>610</v>
      </c>
      <c r="B720" s="325" t="s">
        <v>261</v>
      </c>
      <c r="C720" s="325" t="s">
        <v>262</v>
      </c>
      <c r="D720" s="325" t="s">
        <v>666</v>
      </c>
    </row>
    <row r="721" spans="1:4" s="325" customFormat="1" x14ac:dyDescent="0.2">
      <c r="A721" s="325" t="s">
        <v>611</v>
      </c>
      <c r="B721" s="325" t="s">
        <v>612</v>
      </c>
      <c r="C721" s="325" t="s">
        <v>613</v>
      </c>
      <c r="D721" s="325" t="s">
        <v>767</v>
      </c>
    </row>
    <row r="722" spans="1:4" s="325" customFormat="1" x14ac:dyDescent="0.2"/>
    <row r="723" spans="1:4" s="325" customFormat="1" x14ac:dyDescent="0.2"/>
    <row r="724" spans="1:4" s="325" customFormat="1" x14ac:dyDescent="0.2"/>
    <row r="725" spans="1:4" s="325" customFormat="1" x14ac:dyDescent="0.2"/>
    <row r="726" spans="1:4" s="325" customFormat="1" x14ac:dyDescent="0.2"/>
    <row r="727" spans="1:4" s="325" customFormat="1" x14ac:dyDescent="0.2"/>
    <row r="728" spans="1:4" s="325" customFormat="1" x14ac:dyDescent="0.2"/>
    <row r="729" spans="1:4" s="325" customFormat="1" ht="15" x14ac:dyDescent="0.25">
      <c r="A729" s="326" t="s">
        <v>86</v>
      </c>
    </row>
    <row r="730" spans="1:4" s="325" customFormat="1" ht="15" x14ac:dyDescent="0.25">
      <c r="A730" s="247"/>
      <c r="B730" s="257"/>
    </row>
    <row r="731" spans="1:4" s="325" customFormat="1" x14ac:dyDescent="0.2">
      <c r="A731" s="327" t="s">
        <v>618</v>
      </c>
      <c r="B731" s="257"/>
      <c r="C731" s="325">
        <v>3463</v>
      </c>
    </row>
    <row r="732" spans="1:4" s="325" customFormat="1" x14ac:dyDescent="0.2">
      <c r="A732" s="327" t="s">
        <v>617</v>
      </c>
      <c r="B732" s="257"/>
    </row>
    <row r="733" spans="1:4" s="325" customFormat="1" x14ac:dyDescent="0.2">
      <c r="A733" s="327" t="s">
        <v>614</v>
      </c>
      <c r="B733" s="257"/>
    </row>
    <row r="734" spans="1:4" s="325" customFormat="1" x14ac:dyDescent="0.2">
      <c r="A734" s="327" t="s">
        <v>615</v>
      </c>
      <c r="B734" s="257"/>
    </row>
    <row r="735" spans="1:4" s="325" customFormat="1" x14ac:dyDescent="0.2">
      <c r="A735" s="327" t="s">
        <v>616</v>
      </c>
      <c r="B735" s="257"/>
    </row>
    <row r="736" spans="1:4" s="325" customFormat="1" x14ac:dyDescent="0.2">
      <c r="A736" s="327" t="s">
        <v>619</v>
      </c>
      <c r="B736" s="257"/>
    </row>
    <row r="737" spans="1:2" s="325" customFormat="1" x14ac:dyDescent="0.2">
      <c r="A737" s="327" t="s">
        <v>621</v>
      </c>
      <c r="B737" s="257"/>
    </row>
    <row r="738" spans="1:2" s="325" customFormat="1" x14ac:dyDescent="0.2">
      <c r="A738" s="327" t="s">
        <v>622</v>
      </c>
      <c r="B738" s="257"/>
    </row>
    <row r="739" spans="1:2" s="325" customFormat="1" x14ac:dyDescent="0.2">
      <c r="A739" s="327" t="s">
        <v>623</v>
      </c>
      <c r="B739" s="257"/>
    </row>
    <row r="740" spans="1:2" s="325" customFormat="1" x14ac:dyDescent="0.2">
      <c r="A740" s="327" t="s">
        <v>624</v>
      </c>
      <c r="B740" s="257"/>
    </row>
    <row r="741" spans="1:2" s="325" customFormat="1" x14ac:dyDescent="0.2">
      <c r="A741" s="327" t="s">
        <v>625</v>
      </c>
      <c r="B741" s="257"/>
    </row>
    <row r="742" spans="1:2" s="325" customFormat="1" x14ac:dyDescent="0.2">
      <c r="A742" s="327" t="s">
        <v>626</v>
      </c>
      <c r="B742" s="257"/>
    </row>
    <row r="743" spans="1:2" s="325" customFormat="1" x14ac:dyDescent="0.2">
      <c r="A743" s="327" t="s">
        <v>627</v>
      </c>
      <c r="B743" s="257"/>
    </row>
    <row r="744" spans="1:2" s="325" customFormat="1" x14ac:dyDescent="0.2">
      <c r="A744" s="327" t="s">
        <v>628</v>
      </c>
      <c r="B744" s="257"/>
    </row>
    <row r="745" spans="1:2" s="325" customFormat="1" x14ac:dyDescent="0.2">
      <c r="A745" s="327" t="s">
        <v>629</v>
      </c>
      <c r="B745" s="257"/>
    </row>
    <row r="746" spans="1:2" s="325" customFormat="1" x14ac:dyDescent="0.2">
      <c r="A746" s="327" t="s">
        <v>630</v>
      </c>
      <c r="B746" s="257"/>
    </row>
    <row r="747" spans="1:2" s="325" customFormat="1" x14ac:dyDescent="0.2">
      <c r="A747" s="327" t="s">
        <v>631</v>
      </c>
      <c r="B747" s="257"/>
    </row>
    <row r="748" spans="1:2" s="325" customFormat="1" x14ac:dyDescent="0.2">
      <c r="A748" s="327" t="s">
        <v>633</v>
      </c>
      <c r="B748" s="257"/>
    </row>
    <row r="749" spans="1:2" s="325" customFormat="1" x14ac:dyDescent="0.2">
      <c r="A749" s="327" t="s">
        <v>634</v>
      </c>
      <c r="B749" s="257"/>
    </row>
    <row r="750" spans="1:2" s="325" customFormat="1" x14ac:dyDescent="0.2">
      <c r="A750" s="327" t="s">
        <v>635</v>
      </c>
      <c r="B750" s="257"/>
    </row>
    <row r="751" spans="1:2" s="325" customFormat="1" x14ac:dyDescent="0.2">
      <c r="A751" s="327" t="s">
        <v>636</v>
      </c>
      <c r="B751" s="257"/>
    </row>
    <row r="752" spans="1:2" s="325" customFormat="1" x14ac:dyDescent="0.2">
      <c r="A752" s="327" t="s">
        <v>637</v>
      </c>
      <c r="B752" s="257"/>
    </row>
    <row r="753" spans="1:2" s="325" customFormat="1" x14ac:dyDescent="0.2">
      <c r="A753" s="327" t="s">
        <v>638</v>
      </c>
      <c r="B753" s="257"/>
    </row>
    <row r="754" spans="1:2" s="325" customFormat="1" x14ac:dyDescent="0.2">
      <c r="A754" s="327" t="s">
        <v>639</v>
      </c>
      <c r="B754" s="257"/>
    </row>
    <row r="755" spans="1:2" s="325" customFormat="1" x14ac:dyDescent="0.2">
      <c r="A755" s="327" t="s">
        <v>640</v>
      </c>
      <c r="B755" s="257"/>
    </row>
    <row r="756" spans="1:2" s="325" customFormat="1" x14ac:dyDescent="0.2">
      <c r="A756" s="327" t="s">
        <v>641</v>
      </c>
      <c r="B756" s="257"/>
    </row>
    <row r="757" spans="1:2" s="325" customFormat="1" x14ac:dyDescent="0.2">
      <c r="A757" s="327" t="s">
        <v>642</v>
      </c>
      <c r="B757" s="257"/>
    </row>
    <row r="758" spans="1:2" s="325" customFormat="1" x14ac:dyDescent="0.2">
      <c r="A758" s="327" t="s">
        <v>644</v>
      </c>
      <c r="B758" s="257"/>
    </row>
    <row r="759" spans="1:2" s="325" customFormat="1" x14ac:dyDescent="0.2">
      <c r="A759" s="327" t="s">
        <v>645</v>
      </c>
      <c r="B759" s="257"/>
    </row>
    <row r="760" spans="1:2" s="325" customFormat="1" x14ac:dyDescent="0.2">
      <c r="A760" s="327" t="s">
        <v>646</v>
      </c>
      <c r="B760" s="257"/>
    </row>
    <row r="761" spans="1:2" s="325" customFormat="1" x14ac:dyDescent="0.2">
      <c r="A761" s="327" t="s">
        <v>643</v>
      </c>
      <c r="B761" s="257"/>
    </row>
    <row r="762" spans="1:2" s="325" customFormat="1" x14ac:dyDescent="0.2">
      <c r="A762" s="327" t="s">
        <v>632</v>
      </c>
      <c r="B762" s="257"/>
    </row>
    <row r="763" spans="1:2" s="325" customFormat="1" x14ac:dyDescent="0.2">
      <c r="A763" s="327" t="s">
        <v>666</v>
      </c>
      <c r="B763" s="257"/>
    </row>
    <row r="764" spans="1:2" s="325" customFormat="1" x14ac:dyDescent="0.2">
      <c r="A764" s="327" t="s">
        <v>647</v>
      </c>
      <c r="B764" s="257"/>
    </row>
    <row r="765" spans="1:2" s="325" customFormat="1" x14ac:dyDescent="0.2">
      <c r="A765" s="327" t="s">
        <v>648</v>
      </c>
      <c r="B765" s="257"/>
    </row>
    <row r="766" spans="1:2" s="325" customFormat="1" x14ac:dyDescent="0.2">
      <c r="A766" s="327" t="s">
        <v>649</v>
      </c>
      <c r="B766" s="257"/>
    </row>
    <row r="767" spans="1:2" s="325" customFormat="1" x14ac:dyDescent="0.2">
      <c r="A767" s="327" t="s">
        <v>650</v>
      </c>
      <c r="B767" s="257"/>
    </row>
    <row r="768" spans="1:2" s="325" customFormat="1" x14ac:dyDescent="0.2">
      <c r="A768" s="327" t="s">
        <v>651</v>
      </c>
      <c r="B768" s="257"/>
    </row>
    <row r="769" spans="1:2" s="325" customFormat="1" x14ac:dyDescent="0.2">
      <c r="A769" s="327" t="s">
        <v>653</v>
      </c>
      <c r="B769" s="257"/>
    </row>
    <row r="770" spans="1:2" s="325" customFormat="1" x14ac:dyDescent="0.2">
      <c r="A770" s="327" t="s">
        <v>654</v>
      </c>
      <c r="B770" s="257"/>
    </row>
    <row r="771" spans="1:2" s="325" customFormat="1" x14ac:dyDescent="0.2">
      <c r="A771" s="327" t="s">
        <v>655</v>
      </c>
      <c r="B771" s="257"/>
    </row>
    <row r="772" spans="1:2" s="325" customFormat="1" x14ac:dyDescent="0.2">
      <c r="A772" s="327" t="s">
        <v>656</v>
      </c>
      <c r="B772" s="257"/>
    </row>
    <row r="773" spans="1:2" s="325" customFormat="1" x14ac:dyDescent="0.2">
      <c r="A773" s="327" t="s">
        <v>658</v>
      </c>
      <c r="B773" s="257"/>
    </row>
    <row r="774" spans="1:2" s="325" customFormat="1" x14ac:dyDescent="0.2">
      <c r="A774" s="327" t="s">
        <v>659</v>
      </c>
      <c r="B774" s="257"/>
    </row>
    <row r="775" spans="1:2" s="325" customFormat="1" x14ac:dyDescent="0.2">
      <c r="A775" s="327" t="s">
        <v>660</v>
      </c>
      <c r="B775" s="257"/>
    </row>
    <row r="776" spans="1:2" s="325" customFormat="1" x14ac:dyDescent="0.2">
      <c r="A776" s="327" t="s">
        <v>620</v>
      </c>
      <c r="B776" s="257"/>
    </row>
    <row r="777" spans="1:2" s="325" customFormat="1" x14ac:dyDescent="0.2">
      <c r="A777" s="327" t="s">
        <v>661</v>
      </c>
      <c r="B777" s="257"/>
    </row>
    <row r="778" spans="1:2" s="325" customFormat="1" x14ac:dyDescent="0.2">
      <c r="A778" s="327" t="s">
        <v>662</v>
      </c>
      <c r="B778" s="257"/>
    </row>
    <row r="779" spans="1:2" s="325" customFormat="1" x14ac:dyDescent="0.2">
      <c r="A779" s="327" t="s">
        <v>663</v>
      </c>
      <c r="B779" s="257"/>
    </row>
    <row r="780" spans="1:2" s="325" customFormat="1" x14ac:dyDescent="0.2">
      <c r="A780" s="327" t="s">
        <v>664</v>
      </c>
      <c r="B780" s="257"/>
    </row>
    <row r="781" spans="1:2" s="325" customFormat="1" x14ac:dyDescent="0.2">
      <c r="A781" s="327" t="s">
        <v>665</v>
      </c>
      <c r="B781" s="257"/>
    </row>
    <row r="782" spans="1:2" s="325" customFormat="1" x14ac:dyDescent="0.2">
      <c r="A782" s="327" t="s">
        <v>667</v>
      </c>
      <c r="B782" s="257"/>
    </row>
    <row r="783" spans="1:2" s="325" customFormat="1" x14ac:dyDescent="0.2">
      <c r="A783" s="327" t="s">
        <v>668</v>
      </c>
      <c r="B783" s="257"/>
    </row>
    <row r="784" spans="1:2" s="325" customFormat="1" x14ac:dyDescent="0.2">
      <c r="A784" s="327" t="s">
        <v>669</v>
      </c>
      <c r="B784" s="257"/>
    </row>
    <row r="785" spans="1:2" s="325" customFormat="1" x14ac:dyDescent="0.2">
      <c r="A785" s="327" t="s">
        <v>670</v>
      </c>
      <c r="B785" s="257"/>
    </row>
    <row r="786" spans="1:2" s="325" customFormat="1" x14ac:dyDescent="0.2">
      <c r="A786" s="327" t="s">
        <v>671</v>
      </c>
      <c r="B786" s="257"/>
    </row>
    <row r="787" spans="1:2" s="325" customFormat="1" x14ac:dyDescent="0.2">
      <c r="A787" s="327" t="s">
        <v>672</v>
      </c>
      <c r="B787" s="257"/>
    </row>
    <row r="788" spans="1:2" s="325" customFormat="1" x14ac:dyDescent="0.2">
      <c r="A788" s="327" t="s">
        <v>673</v>
      </c>
      <c r="B788" s="257"/>
    </row>
    <row r="789" spans="1:2" s="325" customFormat="1" x14ac:dyDescent="0.2">
      <c r="A789" s="327" t="s">
        <v>674</v>
      </c>
      <c r="B789" s="257"/>
    </row>
    <row r="790" spans="1:2" s="325" customFormat="1" x14ac:dyDescent="0.2">
      <c r="A790" s="327" t="s">
        <v>675</v>
      </c>
      <c r="B790" s="257"/>
    </row>
    <row r="791" spans="1:2" s="325" customFormat="1" x14ac:dyDescent="0.2">
      <c r="A791" s="327" t="s">
        <v>676</v>
      </c>
      <c r="B791" s="257"/>
    </row>
    <row r="792" spans="1:2" s="325" customFormat="1" x14ac:dyDescent="0.2">
      <c r="A792" s="327" t="s">
        <v>677</v>
      </c>
      <c r="B792" s="257"/>
    </row>
    <row r="793" spans="1:2" s="325" customFormat="1" x14ac:dyDescent="0.2">
      <c r="A793" s="327" t="s">
        <v>678</v>
      </c>
      <c r="B793" s="257"/>
    </row>
    <row r="794" spans="1:2" s="325" customFormat="1" x14ac:dyDescent="0.2">
      <c r="A794" s="327" t="s">
        <v>679</v>
      </c>
      <c r="B794" s="257"/>
    </row>
    <row r="795" spans="1:2" s="325" customFormat="1" x14ac:dyDescent="0.2">
      <c r="A795" s="327" t="s">
        <v>680</v>
      </c>
      <c r="B795" s="257"/>
    </row>
    <row r="796" spans="1:2" s="325" customFormat="1" x14ac:dyDescent="0.2">
      <c r="A796" s="327" t="s">
        <v>681</v>
      </c>
      <c r="B796" s="257"/>
    </row>
    <row r="797" spans="1:2" s="325" customFormat="1" x14ac:dyDescent="0.2">
      <c r="A797" s="327" t="s">
        <v>682</v>
      </c>
      <c r="B797" s="257"/>
    </row>
    <row r="798" spans="1:2" s="325" customFormat="1" x14ac:dyDescent="0.2">
      <c r="A798" s="327" t="s">
        <v>683</v>
      </c>
      <c r="B798" s="257"/>
    </row>
    <row r="799" spans="1:2" s="325" customFormat="1" x14ac:dyDescent="0.2">
      <c r="A799" s="327" t="s">
        <v>684</v>
      </c>
      <c r="B799" s="257"/>
    </row>
    <row r="800" spans="1:2" s="325" customFormat="1" x14ac:dyDescent="0.2">
      <c r="A800" s="327" t="s">
        <v>685</v>
      </c>
      <c r="B800" s="257"/>
    </row>
    <row r="801" spans="1:2" s="325" customFormat="1" x14ac:dyDescent="0.2">
      <c r="A801" s="327" t="s">
        <v>686</v>
      </c>
      <c r="B801" s="257"/>
    </row>
    <row r="802" spans="1:2" s="325" customFormat="1" x14ac:dyDescent="0.2">
      <c r="A802" s="327" t="s">
        <v>687</v>
      </c>
      <c r="B802" s="257"/>
    </row>
    <row r="803" spans="1:2" s="325" customFormat="1" x14ac:dyDescent="0.2">
      <c r="A803" s="327" t="s">
        <v>657</v>
      </c>
      <c r="B803" s="257"/>
    </row>
    <row r="804" spans="1:2" s="325" customFormat="1" x14ac:dyDescent="0.2">
      <c r="A804" s="327" t="s">
        <v>725</v>
      </c>
      <c r="B804" s="257"/>
    </row>
    <row r="805" spans="1:2" s="325" customFormat="1" x14ac:dyDescent="0.2">
      <c r="A805" s="327" t="s">
        <v>688</v>
      </c>
      <c r="B805" s="257"/>
    </row>
    <row r="806" spans="1:2" s="325" customFormat="1" x14ac:dyDescent="0.2">
      <c r="A806" s="327" t="s">
        <v>689</v>
      </c>
      <c r="B806" s="257"/>
    </row>
    <row r="807" spans="1:2" s="325" customFormat="1" x14ac:dyDescent="0.2">
      <c r="A807" s="327" t="s">
        <v>690</v>
      </c>
      <c r="B807" s="257"/>
    </row>
    <row r="808" spans="1:2" s="325" customFormat="1" x14ac:dyDescent="0.2">
      <c r="A808" s="327" t="s">
        <v>691</v>
      </c>
      <c r="B808" s="257"/>
    </row>
    <row r="809" spans="1:2" s="325" customFormat="1" x14ac:dyDescent="0.2">
      <c r="A809" s="327" t="s">
        <v>692</v>
      </c>
      <c r="B809" s="257"/>
    </row>
    <row r="810" spans="1:2" s="325" customFormat="1" x14ac:dyDescent="0.2">
      <c r="A810" s="327" t="s">
        <v>693</v>
      </c>
      <c r="B810" s="257"/>
    </row>
    <row r="811" spans="1:2" s="325" customFormat="1" x14ac:dyDescent="0.2">
      <c r="A811" s="327" t="s">
        <v>694</v>
      </c>
      <c r="B811" s="257"/>
    </row>
    <row r="812" spans="1:2" s="325" customFormat="1" x14ac:dyDescent="0.2">
      <c r="A812" s="327" t="s">
        <v>695</v>
      </c>
      <c r="B812" s="257"/>
    </row>
    <row r="813" spans="1:2" s="325" customFormat="1" x14ac:dyDescent="0.2">
      <c r="A813" s="327" t="s">
        <v>697</v>
      </c>
      <c r="B813" s="257"/>
    </row>
    <row r="814" spans="1:2" s="325" customFormat="1" x14ac:dyDescent="0.2">
      <c r="A814" s="327" t="s">
        <v>698</v>
      </c>
      <c r="B814" s="257"/>
    </row>
    <row r="815" spans="1:2" s="325" customFormat="1" x14ac:dyDescent="0.2">
      <c r="A815" s="327" t="s">
        <v>751</v>
      </c>
      <c r="B815" s="257"/>
    </row>
    <row r="816" spans="1:2" s="325" customFormat="1" x14ac:dyDescent="0.2">
      <c r="A816" s="327" t="s">
        <v>699</v>
      </c>
      <c r="B816" s="257"/>
    </row>
    <row r="817" spans="1:2" s="325" customFormat="1" x14ac:dyDescent="0.2">
      <c r="A817" s="327" t="s">
        <v>700</v>
      </c>
      <c r="B817" s="257"/>
    </row>
    <row r="818" spans="1:2" s="325" customFormat="1" x14ac:dyDescent="0.2">
      <c r="A818" s="327" t="s">
        <v>701</v>
      </c>
      <c r="B818" s="257"/>
    </row>
    <row r="819" spans="1:2" s="325" customFormat="1" x14ac:dyDescent="0.2">
      <c r="A819" s="327" t="s">
        <v>702</v>
      </c>
      <c r="B819" s="257"/>
    </row>
    <row r="820" spans="1:2" s="325" customFormat="1" x14ac:dyDescent="0.2">
      <c r="A820" s="327" t="s">
        <v>703</v>
      </c>
      <c r="B820" s="257"/>
    </row>
    <row r="821" spans="1:2" s="325" customFormat="1" x14ac:dyDescent="0.2">
      <c r="A821" s="327" t="s">
        <v>704</v>
      </c>
      <c r="B821" s="257"/>
    </row>
    <row r="822" spans="1:2" s="325" customFormat="1" x14ac:dyDescent="0.2">
      <c r="A822" s="327" t="s">
        <v>705</v>
      </c>
      <c r="B822" s="257"/>
    </row>
    <row r="823" spans="1:2" s="325" customFormat="1" x14ac:dyDescent="0.2">
      <c r="A823" s="327" t="s">
        <v>726</v>
      </c>
      <c r="B823" s="257"/>
    </row>
    <row r="824" spans="1:2" s="325" customFormat="1" x14ac:dyDescent="0.2">
      <c r="A824" s="327" t="s">
        <v>706</v>
      </c>
      <c r="B824" s="257"/>
    </row>
    <row r="825" spans="1:2" s="325" customFormat="1" x14ac:dyDescent="0.2">
      <c r="A825" s="327" t="s">
        <v>707</v>
      </c>
      <c r="B825" s="257"/>
    </row>
    <row r="826" spans="1:2" s="325" customFormat="1" x14ac:dyDescent="0.2">
      <c r="A826" s="327" t="s">
        <v>708</v>
      </c>
      <c r="B826" s="257"/>
    </row>
    <row r="827" spans="1:2" s="325" customFormat="1" x14ac:dyDescent="0.2">
      <c r="A827" s="327" t="s">
        <v>709</v>
      </c>
      <c r="B827" s="257"/>
    </row>
    <row r="828" spans="1:2" s="325" customFormat="1" x14ac:dyDescent="0.2">
      <c r="A828" s="327" t="s">
        <v>710</v>
      </c>
      <c r="B828" s="257"/>
    </row>
    <row r="829" spans="1:2" s="325" customFormat="1" x14ac:dyDescent="0.2">
      <c r="A829" s="327" t="s">
        <v>711</v>
      </c>
      <c r="B829" s="257"/>
    </row>
    <row r="830" spans="1:2" s="325" customFormat="1" x14ac:dyDescent="0.2">
      <c r="A830" s="327" t="s">
        <v>712</v>
      </c>
      <c r="B830" s="257"/>
    </row>
    <row r="831" spans="1:2" s="325" customFormat="1" x14ac:dyDescent="0.2">
      <c r="A831" s="327" t="s">
        <v>652</v>
      </c>
      <c r="B831" s="257"/>
    </row>
    <row r="832" spans="1:2" s="325" customFormat="1" x14ac:dyDescent="0.2">
      <c r="A832" s="327" t="s">
        <v>713</v>
      </c>
      <c r="B832" s="257"/>
    </row>
    <row r="833" spans="1:2" s="325" customFormat="1" x14ac:dyDescent="0.2">
      <c r="A833" s="327" t="s">
        <v>714</v>
      </c>
      <c r="B833" s="257"/>
    </row>
    <row r="834" spans="1:2" s="325" customFormat="1" x14ac:dyDescent="0.2">
      <c r="A834" s="327" t="s">
        <v>715</v>
      </c>
      <c r="B834" s="257"/>
    </row>
    <row r="835" spans="1:2" s="325" customFormat="1" x14ac:dyDescent="0.2">
      <c r="A835" s="327" t="s">
        <v>716</v>
      </c>
      <c r="B835" s="257"/>
    </row>
    <row r="836" spans="1:2" s="325" customFormat="1" x14ac:dyDescent="0.2">
      <c r="A836" s="327" t="s">
        <v>717</v>
      </c>
      <c r="B836" s="257"/>
    </row>
    <row r="837" spans="1:2" s="325" customFormat="1" x14ac:dyDescent="0.2">
      <c r="A837" s="327" t="s">
        <v>718</v>
      </c>
      <c r="B837" s="257"/>
    </row>
    <row r="838" spans="1:2" s="325" customFormat="1" x14ac:dyDescent="0.2">
      <c r="A838" s="327" t="s">
        <v>719</v>
      </c>
      <c r="B838" s="257"/>
    </row>
    <row r="839" spans="1:2" s="325" customFormat="1" x14ac:dyDescent="0.2">
      <c r="A839" s="327" t="s">
        <v>720</v>
      </c>
      <c r="B839" s="257"/>
    </row>
    <row r="840" spans="1:2" s="325" customFormat="1" x14ac:dyDescent="0.2">
      <c r="A840" s="327" t="s">
        <v>721</v>
      </c>
      <c r="B840" s="257"/>
    </row>
    <row r="841" spans="1:2" s="325" customFormat="1" x14ac:dyDescent="0.2">
      <c r="A841" s="327" t="s">
        <v>722</v>
      </c>
      <c r="B841" s="257"/>
    </row>
    <row r="842" spans="1:2" s="325" customFormat="1" x14ac:dyDescent="0.2">
      <c r="A842" s="327" t="s">
        <v>723</v>
      </c>
      <c r="B842" s="257"/>
    </row>
    <row r="843" spans="1:2" s="325" customFormat="1" x14ac:dyDescent="0.2">
      <c r="A843" s="327" t="s">
        <v>724</v>
      </c>
      <c r="B843" s="257"/>
    </row>
    <row r="844" spans="1:2" s="325" customFormat="1" x14ac:dyDescent="0.2">
      <c r="A844" s="327" t="s">
        <v>728</v>
      </c>
      <c r="B844" s="257"/>
    </row>
    <row r="845" spans="1:2" s="325" customFormat="1" x14ac:dyDescent="0.2">
      <c r="A845" s="327" t="s">
        <v>729</v>
      </c>
      <c r="B845" s="257"/>
    </row>
    <row r="846" spans="1:2" s="325" customFormat="1" x14ac:dyDescent="0.2">
      <c r="A846" s="327" t="s">
        <v>730</v>
      </c>
      <c r="B846" s="257"/>
    </row>
    <row r="847" spans="1:2" s="325" customFormat="1" x14ac:dyDescent="0.2">
      <c r="A847" s="327" t="s">
        <v>732</v>
      </c>
      <c r="B847" s="257"/>
    </row>
    <row r="848" spans="1:2" s="325" customFormat="1" x14ac:dyDescent="0.2">
      <c r="A848" s="327" t="s">
        <v>733</v>
      </c>
      <c r="B848" s="257"/>
    </row>
    <row r="849" spans="1:2" s="325" customFormat="1" x14ac:dyDescent="0.2">
      <c r="A849" s="327" t="s">
        <v>734</v>
      </c>
      <c r="B849" s="257"/>
    </row>
    <row r="850" spans="1:2" s="325" customFormat="1" x14ac:dyDescent="0.2">
      <c r="A850" s="327" t="s">
        <v>735</v>
      </c>
      <c r="B850" s="257"/>
    </row>
    <row r="851" spans="1:2" s="325" customFormat="1" x14ac:dyDescent="0.2">
      <c r="A851" s="327" t="s">
        <v>736</v>
      </c>
      <c r="B851" s="257"/>
    </row>
    <row r="852" spans="1:2" s="325" customFormat="1" x14ac:dyDescent="0.2">
      <c r="A852" s="327" t="s">
        <v>737</v>
      </c>
      <c r="B852" s="257"/>
    </row>
    <row r="853" spans="1:2" s="325" customFormat="1" x14ac:dyDescent="0.2">
      <c r="A853" s="327" t="s">
        <v>738</v>
      </c>
      <c r="B853" s="257"/>
    </row>
    <row r="854" spans="1:2" s="325" customFormat="1" x14ac:dyDescent="0.2">
      <c r="A854" s="327" t="s">
        <v>739</v>
      </c>
      <c r="B854" s="257"/>
    </row>
    <row r="855" spans="1:2" s="325" customFormat="1" x14ac:dyDescent="0.2">
      <c r="A855" s="327" t="s">
        <v>740</v>
      </c>
      <c r="B855" s="257"/>
    </row>
    <row r="856" spans="1:2" s="325" customFormat="1" x14ac:dyDescent="0.2">
      <c r="A856" s="327" t="s">
        <v>741</v>
      </c>
      <c r="B856" s="257"/>
    </row>
    <row r="857" spans="1:2" s="325" customFormat="1" x14ac:dyDescent="0.2">
      <c r="A857" s="327" t="s">
        <v>742</v>
      </c>
      <c r="B857" s="257"/>
    </row>
    <row r="858" spans="1:2" s="325" customFormat="1" x14ac:dyDescent="0.2">
      <c r="A858" s="327" t="s">
        <v>743</v>
      </c>
      <c r="B858" s="257"/>
    </row>
    <row r="859" spans="1:2" s="325" customFormat="1" x14ac:dyDescent="0.2">
      <c r="A859" s="327" t="s">
        <v>731</v>
      </c>
      <c r="B859" s="257"/>
    </row>
    <row r="860" spans="1:2" s="325" customFormat="1" x14ac:dyDescent="0.2">
      <c r="A860" s="327" t="s">
        <v>744</v>
      </c>
      <c r="B860" s="257"/>
    </row>
    <row r="861" spans="1:2" s="325" customFormat="1" x14ac:dyDescent="0.2">
      <c r="A861" s="327" t="s">
        <v>745</v>
      </c>
      <c r="B861" s="257"/>
    </row>
    <row r="862" spans="1:2" s="325" customFormat="1" x14ac:dyDescent="0.2">
      <c r="A862" s="327" t="s">
        <v>746</v>
      </c>
      <c r="B862" s="257"/>
    </row>
    <row r="863" spans="1:2" s="325" customFormat="1" x14ac:dyDescent="0.2">
      <c r="A863" s="327" t="s">
        <v>747</v>
      </c>
      <c r="B863" s="257"/>
    </row>
    <row r="864" spans="1:2" s="325" customFormat="1" x14ac:dyDescent="0.2">
      <c r="A864" s="327" t="s">
        <v>696</v>
      </c>
      <c r="B864" s="257"/>
    </row>
    <row r="865" spans="1:2" s="325" customFormat="1" x14ac:dyDescent="0.2">
      <c r="A865" s="327" t="s">
        <v>748</v>
      </c>
      <c r="B865" s="257"/>
    </row>
    <row r="866" spans="1:2" s="325" customFormat="1" x14ac:dyDescent="0.2">
      <c r="A866" s="327" t="s">
        <v>749</v>
      </c>
      <c r="B866" s="257"/>
    </row>
    <row r="867" spans="1:2" s="325" customFormat="1" x14ac:dyDescent="0.2">
      <c r="A867" s="327" t="s">
        <v>750</v>
      </c>
      <c r="B867" s="257"/>
    </row>
    <row r="868" spans="1:2" s="325" customFormat="1" x14ac:dyDescent="0.2">
      <c r="A868" s="327" t="s">
        <v>752</v>
      </c>
      <c r="B868" s="257"/>
    </row>
    <row r="869" spans="1:2" s="325" customFormat="1" x14ac:dyDescent="0.2">
      <c r="A869" s="327" t="s">
        <v>753</v>
      </c>
      <c r="B869" s="257"/>
    </row>
    <row r="870" spans="1:2" s="325" customFormat="1" x14ac:dyDescent="0.2">
      <c r="A870" s="327" t="s">
        <v>754</v>
      </c>
      <c r="B870" s="257"/>
    </row>
    <row r="871" spans="1:2" s="325" customFormat="1" x14ac:dyDescent="0.2">
      <c r="A871" s="327" t="s">
        <v>755</v>
      </c>
      <c r="B871" s="257"/>
    </row>
    <row r="872" spans="1:2" s="325" customFormat="1" x14ac:dyDescent="0.2">
      <c r="A872" s="327" t="s">
        <v>756</v>
      </c>
      <c r="B872" s="257"/>
    </row>
    <row r="873" spans="1:2" s="325" customFormat="1" x14ac:dyDescent="0.2">
      <c r="A873" s="327" t="s">
        <v>757</v>
      </c>
      <c r="B873" s="257"/>
    </row>
    <row r="874" spans="1:2" s="325" customFormat="1" x14ac:dyDescent="0.2">
      <c r="A874" s="327" t="s">
        <v>761</v>
      </c>
      <c r="B874" s="257"/>
    </row>
    <row r="875" spans="1:2" s="325" customFormat="1" x14ac:dyDescent="0.2">
      <c r="A875" s="327" t="s">
        <v>758</v>
      </c>
      <c r="B875" s="257"/>
    </row>
    <row r="876" spans="1:2" s="325" customFormat="1" x14ac:dyDescent="0.2">
      <c r="A876" s="327" t="s">
        <v>759</v>
      </c>
      <c r="B876" s="257"/>
    </row>
    <row r="877" spans="1:2" s="325" customFormat="1" x14ac:dyDescent="0.2">
      <c r="A877" s="327" t="s">
        <v>760</v>
      </c>
      <c r="B877" s="257"/>
    </row>
    <row r="878" spans="1:2" s="325" customFormat="1" x14ac:dyDescent="0.2">
      <c r="A878" s="327" t="s">
        <v>762</v>
      </c>
      <c r="B878" s="257"/>
    </row>
    <row r="879" spans="1:2" s="325" customFormat="1" x14ac:dyDescent="0.2">
      <c r="A879" s="327" t="s">
        <v>763</v>
      </c>
      <c r="B879" s="257"/>
    </row>
    <row r="880" spans="1:2" s="325" customFormat="1" x14ac:dyDescent="0.2">
      <c r="A880" s="327" t="s">
        <v>764</v>
      </c>
      <c r="B880" s="257"/>
    </row>
    <row r="881" spans="1:2" s="325" customFormat="1" x14ac:dyDescent="0.2">
      <c r="A881" s="327" t="s">
        <v>765</v>
      </c>
      <c r="B881" s="257"/>
    </row>
    <row r="882" spans="1:2" s="325" customFormat="1" x14ac:dyDescent="0.2">
      <c r="A882" s="327" t="s">
        <v>766</v>
      </c>
      <c r="B882" s="257"/>
    </row>
    <row r="883" spans="1:2" s="325" customFormat="1" x14ac:dyDescent="0.2">
      <c r="A883" s="327" t="s">
        <v>727</v>
      </c>
      <c r="B883" s="257"/>
    </row>
    <row r="884" spans="1:2" s="325" customFormat="1" x14ac:dyDescent="0.2">
      <c r="A884" s="327" t="s">
        <v>767</v>
      </c>
      <c r="B884" s="257"/>
    </row>
    <row r="885" spans="1:2" s="325" customFormat="1" x14ac:dyDescent="0.2">
      <c r="A885" s="257"/>
      <c r="B885" s="257"/>
    </row>
    <row r="886" spans="1:2" s="325" customFormat="1" x14ac:dyDescent="0.2"/>
    <row r="887" spans="1:2" s="325" customFormat="1" x14ac:dyDescent="0.2">
      <c r="A887" s="327" t="s">
        <v>33</v>
      </c>
      <c r="B887" s="327"/>
    </row>
    <row r="888" spans="1:2" s="325" customFormat="1" x14ac:dyDescent="0.2">
      <c r="A888" s="327" t="s">
        <v>770</v>
      </c>
      <c r="B888" s="327"/>
    </row>
    <row r="889" spans="1:2" s="325" customFormat="1" x14ac:dyDescent="0.2">
      <c r="A889" s="327" t="s">
        <v>772</v>
      </c>
      <c r="B889" s="327"/>
    </row>
    <row r="890" spans="1:2" s="325" customFormat="1" x14ac:dyDescent="0.2">
      <c r="A890" s="327" t="s">
        <v>34</v>
      </c>
      <c r="B890" s="327"/>
    </row>
    <row r="891" spans="1:2" s="325" customFormat="1" x14ac:dyDescent="0.2">
      <c r="A891" s="327" t="s">
        <v>771</v>
      </c>
      <c r="B891" s="327"/>
    </row>
    <row r="892" spans="1:2" s="325" customFormat="1" x14ac:dyDescent="0.2">
      <c r="A892" s="327" t="s">
        <v>35</v>
      </c>
      <c r="B892" s="327"/>
    </row>
    <row r="893" spans="1:2" s="325" customFormat="1" x14ac:dyDescent="0.2">
      <c r="A893" s="327" t="s">
        <v>36</v>
      </c>
      <c r="B893" s="327"/>
    </row>
    <row r="894" spans="1:2" s="325" customFormat="1" x14ac:dyDescent="0.2">
      <c r="A894" s="327"/>
      <c r="B894" s="327"/>
    </row>
    <row r="895" spans="1:2" s="325" customFormat="1" x14ac:dyDescent="0.2"/>
    <row r="896" spans="1:2" s="325" customFormat="1" x14ac:dyDescent="0.2">
      <c r="A896" s="325" t="s">
        <v>775</v>
      </c>
    </row>
    <row r="897" spans="1:1" s="325" customFormat="1" x14ac:dyDescent="0.2">
      <c r="A897" s="325" t="s">
        <v>776</v>
      </c>
    </row>
    <row r="898" spans="1:1" s="325" customFormat="1" x14ac:dyDescent="0.2">
      <c r="A898" s="325" t="s">
        <v>777</v>
      </c>
    </row>
    <row r="899" spans="1:1" s="325" customFormat="1" x14ac:dyDescent="0.2">
      <c r="A899" s="325" t="s">
        <v>778</v>
      </c>
    </row>
    <row r="900" spans="1:1" s="325" customFormat="1" x14ac:dyDescent="0.2">
      <c r="A900" s="325" t="s">
        <v>781</v>
      </c>
    </row>
    <row r="901" spans="1:1" s="325" customFormat="1" x14ac:dyDescent="0.2">
      <c r="A901" s="325" t="s">
        <v>780</v>
      </c>
    </row>
    <row r="902" spans="1:1" s="325" customFormat="1" x14ac:dyDescent="0.2">
      <c r="A902" s="325" t="s">
        <v>779</v>
      </c>
    </row>
    <row r="903" spans="1:1" s="325" customFormat="1" x14ac:dyDescent="0.2">
      <c r="A903" s="325" t="s">
        <v>782</v>
      </c>
    </row>
    <row r="904" spans="1:1" s="325" customFormat="1" x14ac:dyDescent="0.2">
      <c r="A904" s="325" t="s">
        <v>774</v>
      </c>
    </row>
    <row r="905" spans="1:1" s="325" customFormat="1" x14ac:dyDescent="0.2">
      <c r="A905" s="325" t="s">
        <v>783</v>
      </c>
    </row>
    <row r="906" spans="1:1" s="325" customFormat="1" x14ac:dyDescent="0.2"/>
    <row r="907" spans="1:1" s="325" customFormat="1" x14ac:dyDescent="0.2"/>
    <row r="908" spans="1:1" s="325" customFormat="1" x14ac:dyDescent="0.2"/>
    <row r="909" spans="1:1" s="325" customFormat="1" x14ac:dyDescent="0.2">
      <c r="A909" s="325" t="s">
        <v>50</v>
      </c>
    </row>
    <row r="910" spans="1:1" s="325" customFormat="1" x14ac:dyDescent="0.2">
      <c r="A910" s="325" t="s">
        <v>52</v>
      </c>
    </row>
    <row r="911" spans="1:1" s="325" customFormat="1" x14ac:dyDescent="0.2">
      <c r="A911" s="325" t="s">
        <v>51</v>
      </c>
    </row>
    <row r="912" spans="1:1" s="325" customFormat="1" x14ac:dyDescent="0.2"/>
    <row r="913" spans="1:1" s="325" customFormat="1" x14ac:dyDescent="0.2"/>
    <row r="914" spans="1:1" s="325" customFormat="1" x14ac:dyDescent="0.2"/>
    <row r="915" spans="1:1" s="325" customFormat="1" x14ac:dyDescent="0.2"/>
    <row r="916" spans="1:1" s="325" customFormat="1" x14ac:dyDescent="0.2">
      <c r="A916" s="325" t="s">
        <v>53</v>
      </c>
    </row>
    <row r="917" spans="1:1" s="325" customFormat="1" x14ac:dyDescent="0.2">
      <c r="A917" s="325" t="s">
        <v>54</v>
      </c>
    </row>
    <row r="918" spans="1:1" s="325" customFormat="1" x14ac:dyDescent="0.2">
      <c r="A918" s="325" t="s">
        <v>55</v>
      </c>
    </row>
    <row r="919" spans="1:1" s="325" customFormat="1" x14ac:dyDescent="0.2"/>
    <row r="920" spans="1:1" s="325" customFormat="1" x14ac:dyDescent="0.2"/>
    <row r="921" spans="1:1" s="325" customFormat="1" x14ac:dyDescent="0.2"/>
    <row r="922" spans="1:1" s="325" customFormat="1" x14ac:dyDescent="0.2">
      <c r="A922" s="325" t="s">
        <v>62</v>
      </c>
    </row>
    <row r="923" spans="1:1" s="325" customFormat="1" x14ac:dyDescent="0.2">
      <c r="A923" s="325" t="s">
        <v>63</v>
      </c>
    </row>
    <row r="924" spans="1:1" s="325" customFormat="1" x14ac:dyDescent="0.2">
      <c r="A924" s="325" t="s">
        <v>58</v>
      </c>
    </row>
    <row r="925" spans="1:1" s="325" customFormat="1" x14ac:dyDescent="0.2">
      <c r="A925" s="325" t="s">
        <v>65</v>
      </c>
    </row>
    <row r="926" spans="1:1" s="325" customFormat="1" x14ac:dyDescent="0.2">
      <c r="A926" s="325" t="s">
        <v>61</v>
      </c>
    </row>
    <row r="927" spans="1:1" s="325" customFormat="1" x14ac:dyDescent="0.2">
      <c r="A927" s="325" t="s">
        <v>60</v>
      </c>
    </row>
    <row r="928" spans="1:1" s="325" customFormat="1" x14ac:dyDescent="0.2">
      <c r="A928" s="325" t="s">
        <v>59</v>
      </c>
    </row>
    <row r="929" spans="1:1" s="325" customFormat="1" x14ac:dyDescent="0.2">
      <c r="A929" s="325" t="s">
        <v>57</v>
      </c>
    </row>
    <row r="930" spans="1:1" s="325" customFormat="1" x14ac:dyDescent="0.2">
      <c r="A930" s="325" t="s">
        <v>56</v>
      </c>
    </row>
    <row r="931" spans="1:1" s="325" customFormat="1" x14ac:dyDescent="0.2"/>
    <row r="932" spans="1:1" s="325" customFormat="1" x14ac:dyDescent="0.2"/>
    <row r="933" spans="1:1" s="325" customFormat="1" x14ac:dyDescent="0.2"/>
    <row r="934" spans="1:1" s="325" customFormat="1" x14ac:dyDescent="0.2"/>
    <row r="935" spans="1:1" s="325" customFormat="1" x14ac:dyDescent="0.2"/>
    <row r="936" spans="1:1" s="325" customFormat="1" x14ac:dyDescent="0.2"/>
    <row r="937" spans="1:1" s="325" customFormat="1" x14ac:dyDescent="0.2"/>
    <row r="938" spans="1:1" s="325" customFormat="1" x14ac:dyDescent="0.2"/>
    <row r="939" spans="1:1" s="325" customFormat="1" x14ac:dyDescent="0.2"/>
    <row r="940" spans="1:1" s="325" customFormat="1" x14ac:dyDescent="0.2"/>
    <row r="941" spans="1:1" s="325" customFormat="1" x14ac:dyDescent="0.2"/>
    <row r="942" spans="1:1" s="325" customFormat="1" x14ac:dyDescent="0.2"/>
    <row r="943" spans="1:1" s="325" customFormat="1" x14ac:dyDescent="0.2">
      <c r="A943" s="325" t="s">
        <v>805</v>
      </c>
    </row>
    <row r="944" spans="1:1" s="325" customFormat="1" x14ac:dyDescent="0.2">
      <c r="A944" s="325" t="s">
        <v>806</v>
      </c>
    </row>
    <row r="945" spans="1:1" s="325" customFormat="1" x14ac:dyDescent="0.2"/>
    <row r="946" spans="1:1" s="325" customFormat="1" x14ac:dyDescent="0.2"/>
    <row r="947" spans="1:1" s="325" customFormat="1" x14ac:dyDescent="0.2"/>
    <row r="948" spans="1:1" s="325" customFormat="1" x14ac:dyDescent="0.2"/>
    <row r="949" spans="1:1" s="325" customFormat="1" x14ac:dyDescent="0.2"/>
    <row r="950" spans="1:1" s="325" customFormat="1" x14ac:dyDescent="0.2">
      <c r="A950" s="328"/>
    </row>
    <row r="951" spans="1:1" s="325" customFormat="1" x14ac:dyDescent="0.2"/>
    <row r="952" spans="1:1" s="325" customFormat="1" x14ac:dyDescent="0.2"/>
    <row r="953" spans="1:1" s="325" customFormat="1" x14ac:dyDescent="0.2"/>
    <row r="954" spans="1:1" s="325" customFormat="1" x14ac:dyDescent="0.2"/>
    <row r="955" spans="1:1" s="325" customFormat="1" x14ac:dyDescent="0.2"/>
    <row r="956" spans="1:1" s="325" customFormat="1" x14ac:dyDescent="0.2"/>
    <row r="957" spans="1:1" s="325" customFormat="1" x14ac:dyDescent="0.2"/>
    <row r="958" spans="1:1" s="325" customFormat="1" x14ac:dyDescent="0.2"/>
    <row r="959" spans="1:1" s="325" customFormat="1" x14ac:dyDescent="0.2"/>
    <row r="960" spans="1:1" s="325" customFormat="1" x14ac:dyDescent="0.2"/>
    <row r="961" s="325" customFormat="1" x14ac:dyDescent="0.2"/>
    <row r="962" s="325" customFormat="1" x14ac:dyDescent="0.2"/>
    <row r="963" s="325" customFormat="1" x14ac:dyDescent="0.2"/>
    <row r="964" s="325" customFormat="1" x14ac:dyDescent="0.2"/>
    <row r="965" s="325" customFormat="1" x14ac:dyDescent="0.2"/>
    <row r="966" s="325" customFormat="1" x14ac:dyDescent="0.2"/>
    <row r="967" s="325" customFormat="1" x14ac:dyDescent="0.2"/>
    <row r="968" s="325" customFormat="1" x14ac:dyDescent="0.2"/>
    <row r="969" s="325" customFormat="1" x14ac:dyDescent="0.2"/>
    <row r="970" s="325" customFormat="1" x14ac:dyDescent="0.2"/>
    <row r="971" s="325" customFormat="1" x14ac:dyDescent="0.2"/>
    <row r="972" s="325" customFormat="1" x14ac:dyDescent="0.2"/>
    <row r="973" s="325" customFormat="1" x14ac:dyDescent="0.2"/>
    <row r="974" s="325" customFormat="1" x14ac:dyDescent="0.2"/>
    <row r="975" s="325" customFormat="1" x14ac:dyDescent="0.2"/>
    <row r="976" s="325" customFormat="1" x14ac:dyDescent="0.2"/>
    <row r="977" s="325" customFormat="1" x14ac:dyDescent="0.2"/>
    <row r="978" s="325" customFormat="1" x14ac:dyDescent="0.2"/>
    <row r="979" s="325" customFormat="1" x14ac:dyDescent="0.2"/>
    <row r="980" s="325" customFormat="1" x14ac:dyDescent="0.2"/>
    <row r="981" s="325" customFormat="1" x14ac:dyDescent="0.2"/>
    <row r="982" s="325" customFormat="1" x14ac:dyDescent="0.2"/>
    <row r="983" s="325" customFormat="1" x14ac:dyDescent="0.2"/>
    <row r="984" s="325" customFormat="1" x14ac:dyDescent="0.2"/>
    <row r="985" s="325" customFormat="1" x14ac:dyDescent="0.2"/>
    <row r="986" s="325" customFormat="1" x14ac:dyDescent="0.2"/>
    <row r="987" s="325" customFormat="1" x14ac:dyDescent="0.2"/>
    <row r="988" s="325" customFormat="1" x14ac:dyDescent="0.2"/>
    <row r="989" s="325" customFormat="1" x14ac:dyDescent="0.2"/>
    <row r="990" s="325" customFormat="1" x14ac:dyDescent="0.2"/>
    <row r="991" s="325" customFormat="1" x14ac:dyDescent="0.2"/>
    <row r="992" s="325" customFormat="1" x14ac:dyDescent="0.2"/>
    <row r="993" s="325" customFormat="1" x14ac:dyDescent="0.2"/>
    <row r="994" s="325" customFormat="1" x14ac:dyDescent="0.2"/>
    <row r="995" s="325" customFormat="1" x14ac:dyDescent="0.2"/>
    <row r="996" s="325" customFormat="1" x14ac:dyDescent="0.2"/>
    <row r="997" s="325" customFormat="1" x14ac:dyDescent="0.2"/>
    <row r="998" s="325" customFormat="1" x14ac:dyDescent="0.2"/>
    <row r="999" s="325" customFormat="1" x14ac:dyDescent="0.2"/>
    <row r="1000" s="325" customFormat="1" x14ac:dyDescent="0.2"/>
    <row r="1001" s="325" customFormat="1" x14ac:dyDescent="0.2"/>
    <row r="1002" s="325" customFormat="1" x14ac:dyDescent="0.2"/>
    <row r="1003" s="325" customFormat="1" x14ac:dyDescent="0.2"/>
    <row r="1004" s="325" customFormat="1" x14ac:dyDescent="0.2"/>
    <row r="1005" s="325" customFormat="1" x14ac:dyDescent="0.2"/>
    <row r="1006" s="325" customFormat="1" x14ac:dyDescent="0.2"/>
    <row r="1007" s="325" customFormat="1" x14ac:dyDescent="0.2"/>
    <row r="1008" s="325" customFormat="1" x14ac:dyDescent="0.2"/>
    <row r="1009" s="325" customFormat="1" x14ac:dyDescent="0.2"/>
    <row r="1010" s="325" customFormat="1" x14ac:dyDescent="0.2"/>
    <row r="1011" s="325" customFormat="1" x14ac:dyDescent="0.2"/>
    <row r="1012" s="325" customFormat="1" x14ac:dyDescent="0.2"/>
    <row r="1013" s="325" customFormat="1" x14ac:dyDescent="0.2"/>
    <row r="1014" s="325" customFormat="1" x14ac:dyDescent="0.2"/>
    <row r="1015" s="325" customFormat="1" x14ac:dyDescent="0.2"/>
    <row r="1016" s="325" customFormat="1" x14ac:dyDescent="0.2"/>
    <row r="1017" s="325" customFormat="1" x14ac:dyDescent="0.2"/>
    <row r="1018" s="325" customFormat="1" x14ac:dyDescent="0.2"/>
    <row r="1019" s="325" customFormat="1" x14ac:dyDescent="0.2"/>
    <row r="1020" s="325" customFormat="1" x14ac:dyDescent="0.2"/>
    <row r="1021" s="325" customFormat="1" x14ac:dyDescent="0.2"/>
    <row r="1022" s="325" customFormat="1" x14ac:dyDescent="0.2"/>
    <row r="1023" s="325" customFormat="1" x14ac:dyDescent="0.2"/>
    <row r="1024" s="325" customFormat="1" x14ac:dyDescent="0.2"/>
    <row r="1025" spans="1:1" s="325" customFormat="1" x14ac:dyDescent="0.2"/>
    <row r="1026" spans="1:1" s="325" customFormat="1" x14ac:dyDescent="0.2"/>
    <row r="1027" spans="1:1" s="325" customFormat="1" x14ac:dyDescent="0.2"/>
    <row r="1028" spans="1:1" s="325" customFormat="1" x14ac:dyDescent="0.2"/>
    <row r="1029" spans="1:1" s="325" customFormat="1" x14ac:dyDescent="0.2"/>
    <row r="1030" spans="1:1" s="325" customFormat="1" x14ac:dyDescent="0.2"/>
    <row r="1031" spans="1:1" s="325" customFormat="1" x14ac:dyDescent="0.2"/>
    <row r="1032" spans="1:1" s="325" customFormat="1" x14ac:dyDescent="0.2"/>
    <row r="1033" spans="1:1" s="325" customFormat="1" x14ac:dyDescent="0.2"/>
    <row r="1034" spans="1:1" s="325" customFormat="1" x14ac:dyDescent="0.2"/>
    <row r="1035" spans="1:1" s="325" customFormat="1" x14ac:dyDescent="0.2"/>
    <row r="1036" spans="1:1" s="325" customFormat="1" x14ac:dyDescent="0.2"/>
    <row r="1037" spans="1:1" s="325" customFormat="1" x14ac:dyDescent="0.2"/>
    <row r="1038" spans="1:1" s="325" customFormat="1" x14ac:dyDescent="0.2"/>
    <row r="1039" spans="1:1" s="325" customFormat="1" x14ac:dyDescent="0.2">
      <c r="A1039" s="325" t="s">
        <v>805</v>
      </c>
    </row>
    <row r="1040" spans="1:1" s="325" customFormat="1" x14ac:dyDescent="0.2">
      <c r="A1040" s="325" t="s">
        <v>806</v>
      </c>
    </row>
    <row r="1041" s="325" customFormat="1" x14ac:dyDescent="0.2"/>
    <row r="1042" s="325" customFormat="1" x14ac:dyDescent="0.2"/>
    <row r="1043" s="325" customFormat="1" x14ac:dyDescent="0.2"/>
    <row r="1044" s="325" customFormat="1" x14ac:dyDescent="0.2"/>
    <row r="1045" s="325" customFormat="1" x14ac:dyDescent="0.2"/>
    <row r="1046" s="325" customFormat="1" x14ac:dyDescent="0.2"/>
    <row r="1047" s="325" customFormat="1" x14ac:dyDescent="0.2"/>
    <row r="1048" s="325" customFormat="1" x14ac:dyDescent="0.2"/>
    <row r="1049" s="325" customFormat="1" x14ac:dyDescent="0.2"/>
    <row r="1050" s="325" customFormat="1" x14ac:dyDescent="0.2"/>
    <row r="1051" s="325" customFormat="1" x14ac:dyDescent="0.2"/>
    <row r="1052" s="325" customFormat="1" x14ac:dyDescent="0.2"/>
    <row r="1053" s="325" customFormat="1" x14ac:dyDescent="0.2"/>
    <row r="1054" s="325" customFormat="1" x14ac:dyDescent="0.2"/>
    <row r="1055" s="325" customFormat="1" x14ac:dyDescent="0.2"/>
    <row r="1056" s="325" customFormat="1" x14ac:dyDescent="0.2"/>
    <row r="1057" s="325" customFormat="1" x14ac:dyDescent="0.2"/>
    <row r="1058" s="325" customFormat="1" x14ac:dyDescent="0.2"/>
    <row r="1059" s="325" customFormat="1" x14ac:dyDescent="0.2"/>
    <row r="1060" s="325" customFormat="1" x14ac:dyDescent="0.2"/>
    <row r="1061" s="325" customFormat="1" x14ac:dyDescent="0.2"/>
    <row r="1062" s="325" customFormat="1" x14ac:dyDescent="0.2"/>
    <row r="1063" s="325" customFormat="1" x14ac:dyDescent="0.2"/>
    <row r="1064" s="325" customFormat="1" x14ac:dyDescent="0.2"/>
    <row r="1065" s="325" customFormat="1" x14ac:dyDescent="0.2"/>
    <row r="1066" s="325" customFormat="1" x14ac:dyDescent="0.2"/>
    <row r="1067" s="325" customFormat="1" x14ac:dyDescent="0.2"/>
    <row r="1068" s="325" customFormat="1" x14ac:dyDescent="0.2"/>
    <row r="1069" s="325" customFormat="1" x14ac:dyDescent="0.2"/>
    <row r="1070" s="325" customFormat="1" x14ac:dyDescent="0.2"/>
    <row r="1071" s="325" customFormat="1" x14ac:dyDescent="0.2"/>
    <row r="1072" s="325" customFormat="1" x14ac:dyDescent="0.2"/>
    <row r="1073" s="325" customFormat="1" x14ac:dyDescent="0.2"/>
    <row r="1074" s="325" customFormat="1" x14ac:dyDescent="0.2"/>
    <row r="1075" s="325" customFormat="1" x14ac:dyDescent="0.2"/>
    <row r="1076" s="325" customFormat="1" x14ac:dyDescent="0.2"/>
    <row r="1077" s="325" customFormat="1" x14ac:dyDescent="0.2"/>
    <row r="1078" s="325" customFormat="1" x14ac:dyDescent="0.2"/>
    <row r="1079" s="325" customFormat="1" x14ac:dyDescent="0.2"/>
    <row r="1080" s="325" customFormat="1" x14ac:dyDescent="0.2"/>
    <row r="1081" s="325" customFormat="1" x14ac:dyDescent="0.2"/>
    <row r="1082" s="325" customFormat="1" x14ac:dyDescent="0.2"/>
    <row r="1083" s="325" customFormat="1" x14ac:dyDescent="0.2"/>
    <row r="1084" s="325" customFormat="1" x14ac:dyDescent="0.2"/>
    <row r="1085" s="325" customFormat="1" x14ac:dyDescent="0.2"/>
    <row r="1086" s="325" customFormat="1" x14ac:dyDescent="0.2"/>
    <row r="1087" s="325" customFormat="1" x14ac:dyDescent="0.2"/>
    <row r="1088" s="325" customFormat="1" x14ac:dyDescent="0.2"/>
    <row r="1089" s="325" customFormat="1" x14ac:dyDescent="0.2"/>
    <row r="1090" s="325" customFormat="1" x14ac:dyDescent="0.2"/>
    <row r="1091" s="325" customFormat="1" x14ac:dyDescent="0.2"/>
    <row r="1092" s="325" customFormat="1" x14ac:dyDescent="0.2"/>
    <row r="1093" s="325" customFormat="1" x14ac:dyDescent="0.2"/>
    <row r="1094" s="325" customFormat="1" x14ac:dyDescent="0.2"/>
    <row r="1095" s="325" customFormat="1" x14ac:dyDescent="0.2"/>
    <row r="1096" s="325" customFormat="1" x14ac:dyDescent="0.2"/>
    <row r="1097" s="325" customFormat="1" x14ac:dyDescent="0.2"/>
    <row r="1098" s="325" customFormat="1" x14ac:dyDescent="0.2"/>
    <row r="1099" s="325" customFormat="1" x14ac:dyDescent="0.2"/>
    <row r="1100" s="325" customFormat="1" x14ac:dyDescent="0.2"/>
    <row r="1101" s="325" customFormat="1" x14ac:dyDescent="0.2"/>
    <row r="1102" s="325" customFormat="1" x14ac:dyDescent="0.2"/>
    <row r="1103" s="325" customFormat="1" x14ac:dyDescent="0.2"/>
    <row r="1104" s="325" customFormat="1" x14ac:dyDescent="0.2"/>
    <row r="1105" s="325" customFormat="1" x14ac:dyDescent="0.2"/>
    <row r="1106" s="325" customFormat="1" x14ac:dyDescent="0.2"/>
    <row r="1107" s="325" customFormat="1" x14ac:dyDescent="0.2"/>
    <row r="1108" s="325" customFormat="1" x14ac:dyDescent="0.2"/>
    <row r="1109" s="325" customFormat="1" x14ac:dyDescent="0.2"/>
    <row r="1110" s="325" customFormat="1" x14ac:dyDescent="0.2"/>
    <row r="1111" s="325" customFormat="1" x14ac:dyDescent="0.2"/>
    <row r="1112" s="325" customFormat="1" x14ac:dyDescent="0.2"/>
    <row r="1113" s="325" customFormat="1" x14ac:dyDescent="0.2"/>
    <row r="1114" s="325" customFormat="1" x14ac:dyDescent="0.2"/>
    <row r="1115" s="325" customFormat="1" x14ac:dyDescent="0.2"/>
    <row r="1116" s="325" customFormat="1" x14ac:dyDescent="0.2"/>
    <row r="1117" s="325" customFormat="1" x14ac:dyDescent="0.2"/>
    <row r="1118" s="325" customFormat="1" x14ac:dyDescent="0.2"/>
    <row r="1119" s="325" customFormat="1" x14ac:dyDescent="0.2"/>
    <row r="1120" s="325" customFormat="1" x14ac:dyDescent="0.2"/>
    <row r="1121" s="325" customFormat="1" x14ac:dyDescent="0.2"/>
    <row r="1122" s="325" customFormat="1" x14ac:dyDescent="0.2"/>
    <row r="1123" s="325" customFormat="1" x14ac:dyDescent="0.2"/>
    <row r="1124" s="325" customFormat="1" x14ac:dyDescent="0.2"/>
    <row r="1125" s="325" customFormat="1" x14ac:dyDescent="0.2"/>
    <row r="1126" s="325" customFormat="1" x14ac:dyDescent="0.2"/>
    <row r="1127" s="325" customFormat="1" x14ac:dyDescent="0.2"/>
    <row r="1128" s="325" customFormat="1" x14ac:dyDescent="0.2"/>
    <row r="1129" s="325" customFormat="1" x14ac:dyDescent="0.2"/>
    <row r="1130" s="325" customFormat="1" x14ac:dyDescent="0.2"/>
    <row r="1131" s="325" customFormat="1" x14ac:dyDescent="0.2"/>
    <row r="1132" s="325" customFormat="1" x14ac:dyDescent="0.2"/>
    <row r="1133" s="325" customFormat="1" x14ac:dyDescent="0.2"/>
    <row r="1134" s="325" customFormat="1" x14ac:dyDescent="0.2"/>
    <row r="1135" s="325" customFormat="1" x14ac:dyDescent="0.2"/>
    <row r="1136" s="325" customFormat="1" x14ac:dyDescent="0.2"/>
    <row r="1137" s="325" customFormat="1" x14ac:dyDescent="0.2"/>
    <row r="1138" s="325" customFormat="1" x14ac:dyDescent="0.2"/>
    <row r="1139" s="325" customFormat="1" x14ac:dyDescent="0.2"/>
    <row r="1140" s="325" customFormat="1" x14ac:dyDescent="0.2"/>
    <row r="1141" s="325" customFormat="1" x14ac:dyDescent="0.2"/>
    <row r="1142" s="325" customFormat="1" x14ac:dyDescent="0.2"/>
    <row r="1143" s="325" customFormat="1" x14ac:dyDescent="0.2"/>
    <row r="1144" s="325" customFormat="1" x14ac:dyDescent="0.2"/>
    <row r="1145" s="325" customFormat="1" x14ac:dyDescent="0.2"/>
    <row r="1146" s="325" customFormat="1" x14ac:dyDescent="0.2"/>
    <row r="1147" s="325" customFormat="1" x14ac:dyDescent="0.2"/>
    <row r="1148" s="325" customFormat="1" x14ac:dyDescent="0.2"/>
    <row r="1149" s="325" customFormat="1" x14ac:dyDescent="0.2"/>
    <row r="1150" s="325" customFormat="1" x14ac:dyDescent="0.2"/>
    <row r="1151" s="325" customFormat="1" x14ac:dyDescent="0.2"/>
    <row r="1152" s="325" customFormat="1" x14ac:dyDescent="0.2"/>
    <row r="1153" s="325" customFormat="1" x14ac:dyDescent="0.2"/>
    <row r="1154" s="325" customFormat="1" x14ac:dyDescent="0.2"/>
    <row r="1155" s="325" customFormat="1" x14ac:dyDescent="0.2"/>
    <row r="1156" s="325" customFormat="1" x14ac:dyDescent="0.2"/>
    <row r="1157" s="325" customFormat="1" x14ac:dyDescent="0.2"/>
    <row r="1158" s="325" customFormat="1" x14ac:dyDescent="0.2"/>
    <row r="1159" s="325" customFormat="1" x14ac:dyDescent="0.2"/>
    <row r="1160" s="325" customFormat="1" x14ac:dyDescent="0.2"/>
    <row r="1161" s="325" customFormat="1" x14ac:dyDescent="0.2"/>
    <row r="1162" s="325" customFormat="1" x14ac:dyDescent="0.2"/>
    <row r="1163" s="325" customFormat="1" x14ac:dyDescent="0.2"/>
    <row r="1164" s="325" customFormat="1" x14ac:dyDescent="0.2"/>
    <row r="1165" s="325" customFormat="1" x14ac:dyDescent="0.2"/>
    <row r="1166" s="325" customFormat="1" x14ac:dyDescent="0.2"/>
    <row r="1167" s="325" customFormat="1" x14ac:dyDescent="0.2"/>
    <row r="1168" s="325" customFormat="1" x14ac:dyDescent="0.2"/>
    <row r="1169" s="325" customFormat="1" x14ac:dyDescent="0.2"/>
    <row r="1170" s="325" customFormat="1" x14ac:dyDescent="0.2"/>
    <row r="1171" s="325" customFormat="1" x14ac:dyDescent="0.2"/>
    <row r="1172" s="325" customFormat="1" x14ac:dyDescent="0.2"/>
    <row r="1173" s="325" customFormat="1" x14ac:dyDescent="0.2"/>
    <row r="1174" s="325" customFormat="1" x14ac:dyDescent="0.2"/>
    <row r="1175" s="325" customFormat="1" x14ac:dyDescent="0.2"/>
    <row r="1176" s="325" customFormat="1" x14ac:dyDescent="0.2"/>
    <row r="1177" s="325" customFormat="1" x14ac:dyDescent="0.2"/>
    <row r="1178" s="325" customFormat="1" x14ac:dyDescent="0.2"/>
    <row r="1179" s="325" customFormat="1" x14ac:dyDescent="0.2"/>
    <row r="1180" s="325" customFormat="1" x14ac:dyDescent="0.2"/>
    <row r="1181" s="325" customFormat="1" x14ac:dyDescent="0.2"/>
    <row r="1182" s="325" customFormat="1" x14ac:dyDescent="0.2"/>
    <row r="1183" s="325" customFormat="1" x14ac:dyDescent="0.2"/>
    <row r="1184" s="325" customFormat="1" x14ac:dyDescent="0.2"/>
    <row r="1185" spans="1:1" s="325" customFormat="1" x14ac:dyDescent="0.2"/>
    <row r="1186" spans="1:1" s="325" customFormat="1" x14ac:dyDescent="0.2">
      <c r="A1186" s="257"/>
    </row>
    <row r="1187" spans="1:1" s="325" customFormat="1" x14ac:dyDescent="0.2"/>
    <row r="1188" spans="1:1" s="325" customFormat="1" x14ac:dyDescent="0.2">
      <c r="A1188" s="325" t="s">
        <v>805</v>
      </c>
    </row>
    <row r="1189" spans="1:1" s="325" customFormat="1" x14ac:dyDescent="0.2">
      <c r="A1189" s="325" t="s">
        <v>806</v>
      </c>
    </row>
    <row r="1190" spans="1:1" s="325" customFormat="1" x14ac:dyDescent="0.2"/>
    <row r="1191" spans="1:1" s="325" customFormat="1" x14ac:dyDescent="0.2"/>
    <row r="1192" spans="1:1" s="325" customFormat="1" x14ac:dyDescent="0.2"/>
    <row r="1193" spans="1:1" s="325" customFormat="1" x14ac:dyDescent="0.2"/>
    <row r="1194" spans="1:1" s="325" customFormat="1" x14ac:dyDescent="0.2"/>
    <row r="1195" spans="1:1" s="325" customFormat="1" x14ac:dyDescent="0.2"/>
    <row r="1196" spans="1:1" s="325" customFormat="1" x14ac:dyDescent="0.2"/>
    <row r="1197" spans="1:1" s="325" customFormat="1" x14ac:dyDescent="0.2"/>
    <row r="1198" spans="1:1" s="325" customFormat="1" x14ac:dyDescent="0.2"/>
    <row r="1199" spans="1:1" s="325" customFormat="1" x14ac:dyDescent="0.2"/>
    <row r="1200" spans="1:1" s="325" customFormat="1" x14ac:dyDescent="0.2"/>
    <row r="1201" s="325" customFormat="1" x14ac:dyDescent="0.2"/>
    <row r="1202" s="325" customFormat="1" x14ac:dyDescent="0.2"/>
    <row r="1203" s="325" customFormat="1" x14ac:dyDescent="0.2"/>
    <row r="1204" s="325" customFormat="1" x14ac:dyDescent="0.2"/>
    <row r="1205" s="325" customFormat="1" x14ac:dyDescent="0.2"/>
    <row r="1206" s="325" customFormat="1" x14ac:dyDescent="0.2"/>
    <row r="1207" s="325" customFormat="1" x14ac:dyDescent="0.2"/>
    <row r="1208" s="325" customFormat="1" x14ac:dyDescent="0.2"/>
    <row r="1209" s="325" customFormat="1" x14ac:dyDescent="0.2"/>
    <row r="1210" s="325" customFormat="1" x14ac:dyDescent="0.2"/>
    <row r="1211" s="325" customFormat="1" x14ac:dyDescent="0.2"/>
    <row r="1212" s="325" customFormat="1" x14ac:dyDescent="0.2"/>
    <row r="1213" s="325" customFormat="1" x14ac:dyDescent="0.2"/>
    <row r="1214" s="325" customFormat="1" x14ac:dyDescent="0.2"/>
    <row r="1215" s="325" customFormat="1" x14ac:dyDescent="0.2"/>
    <row r="1216" s="325" customFormat="1" x14ac:dyDescent="0.2"/>
    <row r="1217" s="325" customFormat="1" x14ac:dyDescent="0.2"/>
    <row r="1218" s="325" customFormat="1" x14ac:dyDescent="0.2"/>
    <row r="1219" s="325" customFormat="1" x14ac:dyDescent="0.2"/>
    <row r="1220" s="325" customFormat="1" x14ac:dyDescent="0.2"/>
    <row r="1221" s="325" customFormat="1" x14ac:dyDescent="0.2"/>
    <row r="1222" s="325" customFormat="1" x14ac:dyDescent="0.2"/>
    <row r="1223" s="325" customFormat="1" x14ac:dyDescent="0.2"/>
    <row r="1224" s="325" customFormat="1" x14ac:dyDescent="0.2"/>
    <row r="1225" s="325" customFormat="1" x14ac:dyDescent="0.2"/>
    <row r="1226" s="325" customFormat="1" x14ac:dyDescent="0.2"/>
    <row r="1227" s="325" customFormat="1" x14ac:dyDescent="0.2"/>
    <row r="1228" s="325" customFormat="1" x14ac:dyDescent="0.2"/>
    <row r="1229" s="325" customFormat="1" x14ac:dyDescent="0.2"/>
    <row r="1230" s="325" customFormat="1" x14ac:dyDescent="0.2"/>
    <row r="1231" s="325" customFormat="1" x14ac:dyDescent="0.2"/>
    <row r="1232" s="325" customFormat="1" x14ac:dyDescent="0.2"/>
    <row r="1233" s="325" customFormat="1" x14ac:dyDescent="0.2"/>
    <row r="1234" s="325" customFormat="1" x14ac:dyDescent="0.2"/>
    <row r="1235" s="325" customFormat="1" x14ac:dyDescent="0.2"/>
    <row r="1236" s="325" customFormat="1" x14ac:dyDescent="0.2"/>
    <row r="1237" s="325" customFormat="1" x14ac:dyDescent="0.2"/>
    <row r="1238" s="325" customFormat="1" x14ac:dyDescent="0.2"/>
    <row r="1239" s="325" customFormat="1" x14ac:dyDescent="0.2"/>
    <row r="1240" s="325" customFormat="1" x14ac:dyDescent="0.2"/>
    <row r="1241" s="325" customFormat="1" x14ac:dyDescent="0.2"/>
    <row r="1242" s="325" customFormat="1" x14ac:dyDescent="0.2"/>
    <row r="1243" s="325" customFormat="1" x14ac:dyDescent="0.2"/>
    <row r="1244" s="325" customFormat="1" x14ac:dyDescent="0.2"/>
    <row r="1245" s="325" customFormat="1" x14ac:dyDescent="0.2"/>
    <row r="1246" s="325" customFormat="1" x14ac:dyDescent="0.2"/>
    <row r="1247" s="325" customFormat="1" x14ac:dyDescent="0.2"/>
    <row r="1248" s="325" customFormat="1" x14ac:dyDescent="0.2"/>
    <row r="1249" s="325" customFormat="1" x14ac:dyDescent="0.2"/>
    <row r="1250" s="325" customFormat="1" x14ac:dyDescent="0.2"/>
    <row r="1251" s="325" customFormat="1" x14ac:dyDescent="0.2"/>
    <row r="1252" s="325" customFormat="1" x14ac:dyDescent="0.2"/>
    <row r="1253" s="325" customFormat="1" x14ac:dyDescent="0.2"/>
    <row r="1254" s="325" customFormat="1" x14ac:dyDescent="0.2"/>
    <row r="1255" s="325" customFormat="1" x14ac:dyDescent="0.2"/>
    <row r="1256" s="325" customFormat="1" x14ac:dyDescent="0.2"/>
    <row r="1257" s="325" customFormat="1" x14ac:dyDescent="0.2"/>
    <row r="1258" s="325" customFormat="1" x14ac:dyDescent="0.2"/>
    <row r="1259" s="325" customFormat="1" x14ac:dyDescent="0.2"/>
    <row r="1260" s="325" customFormat="1" x14ac:dyDescent="0.2"/>
    <row r="1261" s="325" customFormat="1" x14ac:dyDescent="0.2"/>
    <row r="1262" s="325" customFormat="1" x14ac:dyDescent="0.2"/>
    <row r="1263" s="325" customFormat="1" x14ac:dyDescent="0.2"/>
    <row r="1264" s="325" customFormat="1" x14ac:dyDescent="0.2"/>
    <row r="1265" s="325" customFormat="1" x14ac:dyDescent="0.2"/>
    <row r="1266" s="325" customFormat="1" x14ac:dyDescent="0.2"/>
    <row r="1267" s="325" customFormat="1" x14ac:dyDescent="0.2"/>
    <row r="1268" s="325" customFormat="1" x14ac:dyDescent="0.2"/>
    <row r="1269" s="325" customFormat="1" x14ac:dyDescent="0.2"/>
    <row r="1270" s="325" customFormat="1" x14ac:dyDescent="0.2"/>
    <row r="1271" s="325" customFormat="1" x14ac:dyDescent="0.2"/>
    <row r="1272" s="325" customFormat="1" x14ac:dyDescent="0.2"/>
    <row r="1273" s="325" customFormat="1" x14ac:dyDescent="0.2"/>
    <row r="1274" s="325" customFormat="1" x14ac:dyDescent="0.2"/>
    <row r="1275" s="325" customFormat="1" x14ac:dyDescent="0.2"/>
    <row r="1276" s="325" customFormat="1" x14ac:dyDescent="0.2"/>
    <row r="1277" s="325" customFormat="1" x14ac:dyDescent="0.2"/>
    <row r="1278" s="325" customFormat="1" x14ac:dyDescent="0.2"/>
    <row r="1279" s="325" customFormat="1" x14ac:dyDescent="0.2"/>
    <row r="1280" s="325" customFormat="1" x14ac:dyDescent="0.2"/>
    <row r="1281" s="325" customFormat="1" x14ac:dyDescent="0.2"/>
    <row r="1282" s="325" customFormat="1" x14ac:dyDescent="0.2"/>
    <row r="1283" s="325" customFormat="1" x14ac:dyDescent="0.2"/>
    <row r="1284" s="325" customFormat="1" x14ac:dyDescent="0.2"/>
    <row r="1285" s="325" customFormat="1" x14ac:dyDescent="0.2"/>
    <row r="1286" s="325" customFormat="1" x14ac:dyDescent="0.2"/>
    <row r="1287" s="325" customFormat="1" x14ac:dyDescent="0.2"/>
    <row r="1288" s="325" customFormat="1" x14ac:dyDescent="0.2"/>
    <row r="1289" s="325" customFormat="1" x14ac:dyDescent="0.2"/>
    <row r="1290" s="325" customFormat="1" x14ac:dyDescent="0.2"/>
    <row r="1291" s="325" customFormat="1" x14ac:dyDescent="0.2"/>
    <row r="1292" s="325" customFormat="1" x14ac:dyDescent="0.2"/>
    <row r="1293" s="325" customFormat="1" x14ac:dyDescent="0.2"/>
    <row r="1294" s="325" customFormat="1" x14ac:dyDescent="0.2"/>
    <row r="1295" s="325" customFormat="1" x14ac:dyDescent="0.2"/>
    <row r="1296" s="325" customFormat="1" x14ac:dyDescent="0.2"/>
    <row r="1297" s="325" customFormat="1" x14ac:dyDescent="0.2"/>
    <row r="1298" s="325" customFormat="1" x14ac:dyDescent="0.2"/>
    <row r="1299" s="325" customFormat="1" x14ac:dyDescent="0.2"/>
    <row r="1300" s="325" customFormat="1" x14ac:dyDescent="0.2"/>
    <row r="1301" s="325" customFormat="1" x14ac:dyDescent="0.2"/>
    <row r="1302" s="325" customFormat="1" x14ac:dyDescent="0.2"/>
    <row r="1303" s="325" customFormat="1" x14ac:dyDescent="0.2"/>
    <row r="1304" s="325" customFormat="1" x14ac:dyDescent="0.2"/>
    <row r="1305" s="325" customFormat="1" x14ac:dyDescent="0.2"/>
    <row r="1306" s="325" customFormat="1" x14ac:dyDescent="0.2"/>
    <row r="1307" s="325" customFormat="1" x14ac:dyDescent="0.2"/>
    <row r="1308" s="325" customFormat="1" x14ac:dyDescent="0.2"/>
    <row r="1309" s="325" customFormat="1" x14ac:dyDescent="0.2"/>
    <row r="1310" s="325" customFormat="1" x14ac:dyDescent="0.2"/>
    <row r="1311" s="325" customFormat="1" x14ac:dyDescent="0.2"/>
    <row r="1312" s="325" customFormat="1" x14ac:dyDescent="0.2"/>
    <row r="1313" s="325" customFormat="1" x14ac:dyDescent="0.2"/>
    <row r="1314" s="325" customFormat="1" x14ac:dyDescent="0.2"/>
    <row r="1315" s="325" customFormat="1" x14ac:dyDescent="0.2"/>
    <row r="1316" s="325" customFormat="1" x14ac:dyDescent="0.2"/>
    <row r="1317" s="325" customFormat="1" x14ac:dyDescent="0.2"/>
    <row r="1318" s="325" customFormat="1" x14ac:dyDescent="0.2"/>
    <row r="1319" s="325" customFormat="1" x14ac:dyDescent="0.2"/>
    <row r="1320" s="325" customFormat="1" x14ac:dyDescent="0.2"/>
    <row r="1321" s="325" customFormat="1" x14ac:dyDescent="0.2"/>
    <row r="1322" s="325" customFormat="1" x14ac:dyDescent="0.2"/>
    <row r="1323" s="325" customFormat="1" x14ac:dyDescent="0.2"/>
    <row r="1324" s="325" customFormat="1" x14ac:dyDescent="0.2"/>
    <row r="1325" s="325" customFormat="1" x14ac:dyDescent="0.2"/>
    <row r="1326" s="325" customFormat="1" x14ac:dyDescent="0.2"/>
    <row r="1327" s="325" customFormat="1" x14ac:dyDescent="0.2"/>
    <row r="1328" s="325" customFormat="1" x14ac:dyDescent="0.2"/>
    <row r="1329" spans="1:5" s="325" customFormat="1" x14ac:dyDescent="0.2"/>
    <row r="1330" spans="1:5" s="325" customFormat="1" x14ac:dyDescent="0.2"/>
    <row r="1331" spans="1:5" s="325" customFormat="1" x14ac:dyDescent="0.2"/>
    <row r="1332" spans="1:5" s="325" customFormat="1" x14ac:dyDescent="0.2">
      <c r="A1332" s="325" t="s">
        <v>943</v>
      </c>
      <c r="C1332" s="325" t="s">
        <v>944</v>
      </c>
      <c r="D1332" s="325" t="s">
        <v>945</v>
      </c>
      <c r="E1332" s="325" t="s">
        <v>994</v>
      </c>
    </row>
    <row r="1333" spans="1:5" s="325" customFormat="1" x14ac:dyDescent="0.2"/>
    <row r="1334" spans="1:5" s="325" customFormat="1" x14ac:dyDescent="0.2">
      <c r="A1334" s="325" t="s">
        <v>950</v>
      </c>
      <c r="C1334" s="325" t="s">
        <v>949</v>
      </c>
      <c r="D1334" s="325" t="s">
        <v>949</v>
      </c>
      <c r="E1334" s="325" t="s">
        <v>995</v>
      </c>
    </row>
    <row r="1335" spans="1:5" s="325" customFormat="1" x14ac:dyDescent="0.2">
      <c r="A1335" s="325" t="s">
        <v>951</v>
      </c>
      <c r="C1335" s="325" t="s">
        <v>973</v>
      </c>
      <c r="D1335" s="325" t="s">
        <v>973</v>
      </c>
      <c r="E1335" s="325" t="s">
        <v>996</v>
      </c>
    </row>
    <row r="1336" spans="1:5" s="325" customFormat="1" x14ac:dyDescent="0.2">
      <c r="A1336" s="325" t="s">
        <v>953</v>
      </c>
      <c r="C1336" s="325" t="s">
        <v>974</v>
      </c>
      <c r="D1336" s="325" t="s">
        <v>974</v>
      </c>
      <c r="E1336" s="325" t="s">
        <v>997</v>
      </c>
    </row>
    <row r="1337" spans="1:5" s="325" customFormat="1" x14ac:dyDescent="0.2">
      <c r="A1337" s="325" t="s">
        <v>954</v>
      </c>
      <c r="C1337" s="325" t="s">
        <v>975</v>
      </c>
      <c r="D1337" s="325" t="s">
        <v>975</v>
      </c>
      <c r="E1337" s="325" t="s">
        <v>998</v>
      </c>
    </row>
    <row r="1338" spans="1:5" s="325" customFormat="1" x14ac:dyDescent="0.2">
      <c r="A1338" s="325" t="s">
        <v>955</v>
      </c>
      <c r="C1338" s="325" t="s">
        <v>976</v>
      </c>
      <c r="D1338" s="325" t="s">
        <v>976</v>
      </c>
      <c r="E1338" s="325" t="s">
        <v>999</v>
      </c>
    </row>
    <row r="1339" spans="1:5" s="325" customFormat="1" x14ac:dyDescent="0.2">
      <c r="A1339" s="325" t="s">
        <v>956</v>
      </c>
      <c r="C1339" s="325" t="s">
        <v>952</v>
      </c>
      <c r="D1339" s="325" t="s">
        <v>952</v>
      </c>
      <c r="E1339" s="325" t="s">
        <v>1000</v>
      </c>
    </row>
    <row r="1340" spans="1:5" s="325" customFormat="1" x14ac:dyDescent="0.2">
      <c r="A1340" s="325" t="s">
        <v>957</v>
      </c>
      <c r="C1340" s="325" t="s">
        <v>977</v>
      </c>
      <c r="D1340" s="325" t="s">
        <v>977</v>
      </c>
      <c r="E1340" s="325" t="s">
        <v>1001</v>
      </c>
    </row>
    <row r="1341" spans="1:5" s="325" customFormat="1" x14ac:dyDescent="0.2">
      <c r="A1341" s="325" t="s">
        <v>958</v>
      </c>
      <c r="C1341" s="325" t="s">
        <v>978</v>
      </c>
      <c r="D1341" s="325" t="s">
        <v>978</v>
      </c>
      <c r="E1341" s="325" t="s">
        <v>1002</v>
      </c>
    </row>
    <row r="1342" spans="1:5" s="325" customFormat="1" x14ac:dyDescent="0.2">
      <c r="A1342" s="325" t="s">
        <v>959</v>
      </c>
      <c r="C1342" s="325" t="s">
        <v>979</v>
      </c>
      <c r="D1342" s="325" t="s">
        <v>979</v>
      </c>
      <c r="E1342" s="325" t="s">
        <v>1003</v>
      </c>
    </row>
    <row r="1343" spans="1:5" s="325" customFormat="1" x14ac:dyDescent="0.2">
      <c r="A1343" s="325" t="s">
        <v>960</v>
      </c>
      <c r="C1343" s="325" t="s">
        <v>980</v>
      </c>
      <c r="D1343" s="325" t="s">
        <v>980</v>
      </c>
      <c r="E1343" s="325" t="s">
        <v>1004</v>
      </c>
    </row>
    <row r="1344" spans="1:5" s="325" customFormat="1" x14ac:dyDescent="0.2">
      <c r="A1344" s="325" t="s">
        <v>961</v>
      </c>
      <c r="C1344" s="325" t="s">
        <v>981</v>
      </c>
      <c r="D1344" s="325" t="s">
        <v>981</v>
      </c>
    </row>
    <row r="1345" spans="1:4" s="325" customFormat="1" x14ac:dyDescent="0.2">
      <c r="A1345" s="325" t="s">
        <v>962</v>
      </c>
      <c r="C1345" s="325" t="s">
        <v>982</v>
      </c>
      <c r="D1345" s="325" t="s">
        <v>982</v>
      </c>
    </row>
    <row r="1346" spans="1:4" s="325" customFormat="1" x14ac:dyDescent="0.2">
      <c r="A1346" s="325" t="s">
        <v>963</v>
      </c>
      <c r="C1346" s="325" t="s">
        <v>983</v>
      </c>
      <c r="D1346" s="325" t="s">
        <v>983</v>
      </c>
    </row>
    <row r="1347" spans="1:4" s="325" customFormat="1" x14ac:dyDescent="0.2">
      <c r="A1347" s="325" t="s">
        <v>964</v>
      </c>
      <c r="C1347" s="325" t="s">
        <v>984</v>
      </c>
      <c r="D1347" s="325" t="s">
        <v>984</v>
      </c>
    </row>
    <row r="1348" spans="1:4" s="325" customFormat="1" x14ac:dyDescent="0.2">
      <c r="A1348" s="325" t="s">
        <v>965</v>
      </c>
      <c r="C1348" s="325" t="s">
        <v>985</v>
      </c>
      <c r="D1348" s="325" t="s">
        <v>985</v>
      </c>
    </row>
    <row r="1349" spans="1:4" s="325" customFormat="1" x14ac:dyDescent="0.2">
      <c r="A1349" s="325" t="s">
        <v>966</v>
      </c>
      <c r="C1349" s="325" t="s">
        <v>986</v>
      </c>
      <c r="D1349" s="325" t="s">
        <v>986</v>
      </c>
    </row>
    <row r="1350" spans="1:4" s="325" customFormat="1" x14ac:dyDescent="0.2">
      <c r="A1350" s="325" t="s">
        <v>967</v>
      </c>
      <c r="C1350" s="325" t="s">
        <v>987</v>
      </c>
      <c r="D1350" s="325" t="s">
        <v>988</v>
      </c>
    </row>
    <row r="1351" spans="1:4" s="325" customFormat="1" x14ac:dyDescent="0.2">
      <c r="A1351" s="325" t="s">
        <v>968</v>
      </c>
      <c r="C1351" s="325" t="s">
        <v>988</v>
      </c>
      <c r="D1351" s="325" t="s">
        <v>992</v>
      </c>
    </row>
    <row r="1352" spans="1:4" s="325" customFormat="1" x14ac:dyDescent="0.2">
      <c r="A1352" s="325" t="s">
        <v>969</v>
      </c>
      <c r="C1352" s="325" t="s">
        <v>989</v>
      </c>
      <c r="D1352" s="325" t="s">
        <v>993</v>
      </c>
    </row>
    <row r="1353" spans="1:4" s="325" customFormat="1" x14ac:dyDescent="0.2">
      <c r="A1353" s="325" t="s">
        <v>970</v>
      </c>
      <c r="C1353" s="325" t="s">
        <v>990</v>
      </c>
      <c r="D1353" s="325" t="s">
        <v>991</v>
      </c>
    </row>
    <row r="1354" spans="1:4" s="325" customFormat="1" x14ac:dyDescent="0.2">
      <c r="A1354" s="325" t="s">
        <v>971</v>
      </c>
      <c r="C1354" s="325" t="s">
        <v>971</v>
      </c>
    </row>
    <row r="1355" spans="1:4" s="325" customFormat="1" x14ac:dyDescent="0.2">
      <c r="A1355" s="325" t="s">
        <v>972</v>
      </c>
      <c r="C1355" s="325" t="s">
        <v>991</v>
      </c>
    </row>
    <row r="1356" spans="1:4" s="325" customFormat="1" x14ac:dyDescent="0.2"/>
    <row r="1357" spans="1:4" s="325" customFormat="1" x14ac:dyDescent="0.2"/>
    <row r="1358" spans="1:4" s="325" customFormat="1" x14ac:dyDescent="0.2"/>
    <row r="1359" spans="1:4" s="325" customFormat="1" x14ac:dyDescent="0.2"/>
    <row r="1360" spans="1:4" s="325" customFormat="1" x14ac:dyDescent="0.2"/>
    <row r="1361" s="325" customFormat="1" x14ac:dyDescent="0.2"/>
    <row r="1362" s="325" customFormat="1" x14ac:dyDescent="0.2"/>
    <row r="1363" s="325" customFormat="1" x14ac:dyDescent="0.2"/>
    <row r="1364" s="325" customFormat="1" x14ac:dyDescent="0.2"/>
    <row r="1365" s="325" customFormat="1" x14ac:dyDescent="0.2"/>
    <row r="1366" s="325" customFormat="1" x14ac:dyDescent="0.2"/>
    <row r="1367" s="325" customFormat="1" x14ac:dyDescent="0.2"/>
    <row r="1368" s="325" customFormat="1" x14ac:dyDescent="0.2"/>
    <row r="1369" s="325" customFormat="1" x14ac:dyDescent="0.2"/>
    <row r="1370" s="325" customFormat="1" x14ac:dyDescent="0.2"/>
    <row r="1371" s="325" customFormat="1" x14ac:dyDescent="0.2"/>
    <row r="1372" s="325" customFormat="1" x14ac:dyDescent="0.2"/>
    <row r="1373" s="325" customFormat="1" x14ac:dyDescent="0.2"/>
    <row r="1374" s="325" customFormat="1" x14ac:dyDescent="0.2"/>
    <row r="1375" s="325" customFormat="1" x14ac:dyDescent="0.2"/>
    <row r="1376" s="325" customFormat="1" x14ac:dyDescent="0.2"/>
    <row r="1377" s="325" customFormat="1" x14ac:dyDescent="0.2"/>
    <row r="1378" s="325" customFormat="1" x14ac:dyDescent="0.2"/>
    <row r="1379" s="325" customFormat="1" x14ac:dyDescent="0.2"/>
    <row r="1380" s="325" customFormat="1" x14ac:dyDescent="0.2"/>
    <row r="1381" s="325" customFormat="1" x14ac:dyDescent="0.2"/>
    <row r="1382" s="325" customFormat="1" x14ac:dyDescent="0.2"/>
    <row r="1383" s="325" customFormat="1" x14ac:dyDescent="0.2"/>
    <row r="1384" s="325" customFormat="1" x14ac:dyDescent="0.2"/>
    <row r="1385" s="325" customFormat="1" x14ac:dyDescent="0.2"/>
    <row r="1386" s="325" customFormat="1" x14ac:dyDescent="0.2"/>
    <row r="1387" s="325" customFormat="1" x14ac:dyDescent="0.2"/>
    <row r="1388" s="325" customFormat="1" x14ac:dyDescent="0.2"/>
    <row r="1389" s="325" customFormat="1" x14ac:dyDescent="0.2"/>
    <row r="1390" s="325" customFormat="1" x14ac:dyDescent="0.2"/>
    <row r="1391" s="325" customFormat="1" x14ac:dyDescent="0.2"/>
    <row r="1392" s="325" customFormat="1" x14ac:dyDescent="0.2"/>
    <row r="1393" s="325" customFormat="1" x14ac:dyDescent="0.2"/>
    <row r="1394" s="325" customFormat="1" x14ac:dyDescent="0.2"/>
    <row r="1395" s="325" customFormat="1" x14ac:dyDescent="0.2"/>
    <row r="1396" s="325" customFormat="1" x14ac:dyDescent="0.2"/>
    <row r="1397" s="325" customFormat="1" x14ac:dyDescent="0.2"/>
    <row r="1398" s="325" customFormat="1" x14ac:dyDescent="0.2"/>
    <row r="1399" s="325" customFormat="1" x14ac:dyDescent="0.2"/>
    <row r="1400" s="325" customFormat="1" x14ac:dyDescent="0.2"/>
    <row r="1401" s="325" customFormat="1" x14ac:dyDescent="0.2"/>
    <row r="1402" s="325" customFormat="1" x14ac:dyDescent="0.2"/>
    <row r="1403" s="325" customFormat="1" x14ac:dyDescent="0.2"/>
    <row r="1404" s="325" customFormat="1" x14ac:dyDescent="0.2"/>
    <row r="1405" s="325" customFormat="1" x14ac:dyDescent="0.2"/>
    <row r="1406" s="325" customFormat="1" x14ac:dyDescent="0.2"/>
    <row r="1407" s="325" customFormat="1" x14ac:dyDescent="0.2"/>
    <row r="1408" s="325" customFormat="1" x14ac:dyDescent="0.2"/>
    <row r="1409" s="325" customFormat="1" x14ac:dyDescent="0.2"/>
    <row r="1410" s="325" customFormat="1" x14ac:dyDescent="0.2"/>
    <row r="1411" s="325" customFormat="1" x14ac:dyDescent="0.2"/>
    <row r="1412" s="325" customFormat="1" x14ac:dyDescent="0.2"/>
    <row r="1413" s="325" customFormat="1" x14ac:dyDescent="0.2"/>
    <row r="1414" s="325" customFormat="1" x14ac:dyDescent="0.2"/>
    <row r="1415" s="325" customFormat="1" x14ac:dyDescent="0.2"/>
    <row r="1416" s="325" customFormat="1" x14ac:dyDescent="0.2"/>
    <row r="1417" s="325" customFormat="1" x14ac:dyDescent="0.2"/>
    <row r="1418" s="325" customFormat="1" x14ac:dyDescent="0.2"/>
    <row r="1419" s="325" customFormat="1" x14ac:dyDescent="0.2"/>
    <row r="1420" s="325" customFormat="1" x14ac:dyDescent="0.2"/>
    <row r="1421" s="325" customFormat="1" x14ac:dyDescent="0.2"/>
    <row r="1422" s="325" customFormat="1" x14ac:dyDescent="0.2"/>
    <row r="1423" s="325" customFormat="1" x14ac:dyDescent="0.2"/>
    <row r="1424" s="325" customFormat="1" x14ac:dyDescent="0.2"/>
    <row r="1425" s="325" customFormat="1" x14ac:dyDescent="0.2"/>
    <row r="1426" s="325" customFormat="1" x14ac:dyDescent="0.2"/>
    <row r="1427" s="325" customFormat="1" x14ac:dyDescent="0.2"/>
    <row r="1428" s="325" customFormat="1" x14ac:dyDescent="0.2"/>
    <row r="1429" s="325" customFormat="1" x14ac:dyDescent="0.2"/>
    <row r="1430" s="325" customFormat="1" x14ac:dyDescent="0.2"/>
    <row r="1431" s="325" customFormat="1" x14ac:dyDescent="0.2"/>
    <row r="1432" s="325" customFormat="1" x14ac:dyDescent="0.2"/>
    <row r="1433" s="325" customFormat="1" x14ac:dyDescent="0.2"/>
    <row r="1434" s="325" customFormat="1" x14ac:dyDescent="0.2"/>
    <row r="1435" s="325" customFormat="1" x14ac:dyDescent="0.2"/>
    <row r="1436" s="325" customFormat="1" x14ac:dyDescent="0.2"/>
    <row r="1437" s="325" customFormat="1" x14ac:dyDescent="0.2"/>
    <row r="1438" s="325" customFormat="1" x14ac:dyDescent="0.2"/>
    <row r="1439" s="325" customFormat="1" x14ac:dyDescent="0.2"/>
    <row r="1440" s="325" customFormat="1" x14ac:dyDescent="0.2"/>
    <row r="1441" s="325" customFormat="1" x14ac:dyDescent="0.2"/>
    <row r="1442" s="325" customFormat="1" x14ac:dyDescent="0.2"/>
    <row r="1443" s="325" customFormat="1" x14ac:dyDescent="0.2"/>
    <row r="1444" s="325" customFormat="1" x14ac:dyDescent="0.2"/>
    <row r="1445" s="325" customFormat="1" x14ac:dyDescent="0.2"/>
    <row r="1446" s="325" customFormat="1" x14ac:dyDescent="0.2"/>
    <row r="1447" s="325" customFormat="1" x14ac:dyDescent="0.2"/>
    <row r="1448" s="325" customFormat="1" x14ac:dyDescent="0.2"/>
    <row r="1449" s="325" customFormat="1" x14ac:dyDescent="0.2"/>
    <row r="1450" s="325" customFormat="1" x14ac:dyDescent="0.2"/>
    <row r="1451" s="325" customFormat="1" x14ac:dyDescent="0.2"/>
    <row r="1452" s="325" customFormat="1" x14ac:dyDescent="0.2"/>
    <row r="1453" s="325" customFormat="1" x14ac:dyDescent="0.2"/>
    <row r="1454" s="325" customFormat="1" x14ac:dyDescent="0.2"/>
    <row r="1455" s="325" customFormat="1" x14ac:dyDescent="0.2"/>
    <row r="1456" s="325" customFormat="1" x14ac:dyDescent="0.2"/>
    <row r="1457" s="325" customFormat="1" x14ac:dyDescent="0.2"/>
    <row r="1458" s="325" customFormat="1" x14ac:dyDescent="0.2"/>
    <row r="1459" s="325" customFormat="1" x14ac:dyDescent="0.2"/>
    <row r="1460" s="325" customFormat="1" x14ac:dyDescent="0.2"/>
    <row r="1461" s="325" customFormat="1" x14ac:dyDescent="0.2"/>
    <row r="1462" s="325" customFormat="1" x14ac:dyDescent="0.2"/>
    <row r="1463" s="325" customFormat="1" x14ac:dyDescent="0.2"/>
    <row r="1464" s="325" customFormat="1" x14ac:dyDescent="0.2"/>
    <row r="1465" s="325" customFormat="1" x14ac:dyDescent="0.2"/>
    <row r="1466" s="325" customFormat="1" x14ac:dyDescent="0.2"/>
    <row r="1467" s="325" customFormat="1" x14ac:dyDescent="0.2"/>
    <row r="1468" s="325" customFormat="1" x14ac:dyDescent="0.2"/>
    <row r="1469" s="325" customFormat="1" x14ac:dyDescent="0.2"/>
    <row r="1470" s="325" customFormat="1" x14ac:dyDescent="0.2"/>
    <row r="1471" s="325" customFormat="1" x14ac:dyDescent="0.2"/>
    <row r="1472" s="325" customFormat="1" x14ac:dyDescent="0.2"/>
    <row r="1473" s="325" customFormat="1" x14ac:dyDescent="0.2"/>
    <row r="1474" s="325" customFormat="1" x14ac:dyDescent="0.2"/>
    <row r="1475" s="325" customFormat="1" x14ac:dyDescent="0.2"/>
    <row r="1476" s="325" customFormat="1" x14ac:dyDescent="0.2"/>
    <row r="1477" s="325" customFormat="1" x14ac:dyDescent="0.2"/>
    <row r="1478" s="325" customFormat="1" x14ac:dyDescent="0.2"/>
    <row r="1479" s="325" customFormat="1" x14ac:dyDescent="0.2"/>
    <row r="1480" s="325" customFormat="1" x14ac:dyDescent="0.2"/>
    <row r="1481" s="325" customFormat="1" x14ac:dyDescent="0.2"/>
    <row r="1482" s="325" customFormat="1" x14ac:dyDescent="0.2"/>
    <row r="1483" s="325" customFormat="1" x14ac:dyDescent="0.2"/>
    <row r="1484" s="325" customFormat="1" x14ac:dyDescent="0.2"/>
    <row r="1485" s="325" customFormat="1" x14ac:dyDescent="0.2"/>
    <row r="1486" s="325" customFormat="1" x14ac:dyDescent="0.2"/>
    <row r="1487" s="325" customFormat="1" x14ac:dyDescent="0.2"/>
    <row r="1488" s="325" customFormat="1" x14ac:dyDescent="0.2"/>
    <row r="1489" s="325" customFormat="1" x14ac:dyDescent="0.2"/>
    <row r="1490" s="325" customFormat="1" x14ac:dyDescent="0.2"/>
    <row r="1491" s="325" customFormat="1" x14ac:dyDescent="0.2"/>
    <row r="1492" s="325" customFormat="1" x14ac:dyDescent="0.2"/>
    <row r="1493" s="325" customFormat="1" x14ac:dyDescent="0.2"/>
    <row r="1494" s="325" customFormat="1" x14ac:dyDescent="0.2"/>
    <row r="1495" s="325" customFormat="1" x14ac:dyDescent="0.2"/>
    <row r="1496" s="325" customFormat="1" x14ac:dyDescent="0.2"/>
    <row r="1497" s="325" customFormat="1" x14ac:dyDescent="0.2"/>
    <row r="1498" s="325" customFormat="1" x14ac:dyDescent="0.2"/>
    <row r="1499" s="325" customFormat="1" x14ac:dyDescent="0.2"/>
    <row r="1500" s="325" customFormat="1" x14ac:dyDescent="0.2"/>
    <row r="1501" s="325" customFormat="1" x14ac:dyDescent="0.2"/>
    <row r="1502" s="325" customFormat="1" x14ac:dyDescent="0.2"/>
    <row r="1503" s="325" customFormat="1" x14ac:dyDescent="0.2"/>
    <row r="1504" s="325" customFormat="1" x14ac:dyDescent="0.2"/>
    <row r="1505" s="325" customFormat="1" x14ac:dyDescent="0.2"/>
    <row r="1506" s="325" customFormat="1" x14ac:dyDescent="0.2"/>
    <row r="1507" s="325" customFormat="1" x14ac:dyDescent="0.2"/>
    <row r="1508" s="325" customFormat="1" x14ac:dyDescent="0.2"/>
    <row r="1509" s="325" customFormat="1" x14ac:dyDescent="0.2"/>
    <row r="1510" s="325" customFormat="1" x14ac:dyDescent="0.2"/>
    <row r="1511" s="325" customFormat="1" x14ac:dyDescent="0.2"/>
    <row r="1512" s="325" customFormat="1" x14ac:dyDescent="0.2"/>
    <row r="1513" s="325" customFormat="1" x14ac:dyDescent="0.2"/>
    <row r="1514" s="325" customFormat="1" x14ac:dyDescent="0.2"/>
    <row r="1515" s="325" customFormat="1" x14ac:dyDescent="0.2"/>
    <row r="1516" s="325" customFormat="1" x14ac:dyDescent="0.2"/>
    <row r="1517" s="325" customFormat="1" x14ac:dyDescent="0.2"/>
    <row r="1518" s="325" customFormat="1" x14ac:dyDescent="0.2"/>
    <row r="1519" s="325" customFormat="1" x14ac:dyDescent="0.2"/>
    <row r="1520" s="325" customFormat="1" x14ac:dyDescent="0.2"/>
    <row r="1521" s="325" customFormat="1" x14ac:dyDescent="0.2"/>
    <row r="1522" s="325" customFormat="1" x14ac:dyDescent="0.2"/>
    <row r="1523" s="325" customFormat="1" x14ac:dyDescent="0.2"/>
    <row r="1524" s="325" customFormat="1" x14ac:dyDescent="0.2"/>
    <row r="1525" s="325" customFormat="1" x14ac:dyDescent="0.2"/>
    <row r="1526" s="325" customFormat="1" x14ac:dyDescent="0.2"/>
    <row r="1527" s="325" customFormat="1" x14ac:dyDescent="0.2"/>
    <row r="1528" s="325" customFormat="1" x14ac:dyDescent="0.2"/>
    <row r="1529" s="325" customFormat="1" x14ac:dyDescent="0.2"/>
    <row r="1530" s="325" customFormat="1" x14ac:dyDescent="0.2"/>
    <row r="1531" s="325" customFormat="1" x14ac:dyDescent="0.2"/>
    <row r="1532" s="325" customFormat="1" x14ac:dyDescent="0.2"/>
    <row r="1533" s="325" customFormat="1" x14ac:dyDescent="0.2"/>
    <row r="1534" s="325" customFormat="1" x14ac:dyDescent="0.2"/>
    <row r="1535" s="325" customFormat="1" x14ac:dyDescent="0.2"/>
    <row r="1536" s="325" customFormat="1" x14ac:dyDescent="0.2"/>
    <row r="1537" s="325" customFormat="1" x14ac:dyDescent="0.2"/>
    <row r="1538" s="325" customFormat="1" x14ac:dyDescent="0.2"/>
    <row r="1539" s="325" customFormat="1" x14ac:dyDescent="0.2"/>
    <row r="1540" s="325" customFormat="1" x14ac:dyDescent="0.2"/>
    <row r="1541" s="325" customFormat="1" x14ac:dyDescent="0.2"/>
    <row r="1542" s="325" customFormat="1" x14ac:dyDescent="0.2"/>
    <row r="1543" s="325" customFormat="1" x14ac:dyDescent="0.2"/>
    <row r="1544" s="325" customFormat="1" x14ac:dyDescent="0.2"/>
    <row r="1545" s="325" customFormat="1" x14ac:dyDescent="0.2"/>
    <row r="1546" s="325" customFormat="1" x14ac:dyDescent="0.2"/>
    <row r="1547" s="325" customFormat="1" x14ac:dyDescent="0.2"/>
    <row r="1548" s="325" customFormat="1" x14ac:dyDescent="0.2"/>
    <row r="1549" s="325" customFormat="1" x14ac:dyDescent="0.2"/>
    <row r="1550" s="325" customFormat="1" x14ac:dyDescent="0.2"/>
    <row r="1551" s="325" customFormat="1" x14ac:dyDescent="0.2"/>
    <row r="1552" s="325" customFormat="1" x14ac:dyDescent="0.2"/>
    <row r="1553" s="325" customFormat="1" x14ac:dyDescent="0.2"/>
    <row r="1554" s="325" customFormat="1" x14ac:dyDescent="0.2"/>
    <row r="1555" s="325" customFormat="1" x14ac:dyDescent="0.2"/>
    <row r="1556" s="325" customFormat="1" x14ac:dyDescent="0.2"/>
    <row r="1557" s="325" customFormat="1" x14ac:dyDescent="0.2"/>
    <row r="1558" s="325" customFormat="1" x14ac:dyDescent="0.2"/>
    <row r="1559" s="325" customFormat="1" x14ac:dyDescent="0.2"/>
    <row r="1560" s="325" customFormat="1" x14ac:dyDescent="0.2"/>
    <row r="1561" s="325" customFormat="1" x14ac:dyDescent="0.2"/>
    <row r="1562" s="325" customFormat="1" x14ac:dyDescent="0.2"/>
    <row r="1563" s="325" customFormat="1" x14ac:dyDescent="0.2"/>
    <row r="1564" s="325" customFormat="1" x14ac:dyDescent="0.2"/>
    <row r="1565" s="325" customFormat="1" x14ac:dyDescent="0.2"/>
    <row r="1566" s="325" customFormat="1" x14ac:dyDescent="0.2"/>
    <row r="1567" s="325" customFormat="1" x14ac:dyDescent="0.2"/>
    <row r="1568" s="325" customFormat="1" x14ac:dyDescent="0.2"/>
    <row r="1569" s="325" customFormat="1" x14ac:dyDescent="0.2"/>
    <row r="1570" s="325" customFormat="1" x14ac:dyDescent="0.2"/>
    <row r="1571" s="325" customFormat="1" x14ac:dyDescent="0.2"/>
    <row r="1572" s="325" customFormat="1" x14ac:dyDescent="0.2"/>
    <row r="1573" s="325" customFormat="1" x14ac:dyDescent="0.2"/>
    <row r="1574" s="325" customFormat="1" x14ac:dyDescent="0.2"/>
    <row r="1575" s="325" customFormat="1" x14ac:dyDescent="0.2"/>
    <row r="1576" s="325" customFormat="1" x14ac:dyDescent="0.2"/>
    <row r="1577" s="325" customFormat="1" x14ac:dyDescent="0.2"/>
    <row r="1578" s="325" customFormat="1" x14ac:dyDescent="0.2"/>
    <row r="1579" s="325" customFormat="1" x14ac:dyDescent="0.2"/>
    <row r="1580" s="325" customFormat="1" x14ac:dyDescent="0.2"/>
    <row r="1581" s="325" customFormat="1" x14ac:dyDescent="0.2"/>
    <row r="1582" s="325" customFormat="1" x14ac:dyDescent="0.2"/>
    <row r="1583" s="325" customFormat="1" x14ac:dyDescent="0.2"/>
    <row r="1584" s="325" customFormat="1" x14ac:dyDescent="0.2"/>
    <row r="1585" spans="1:1" s="325" customFormat="1" x14ac:dyDescent="0.2"/>
    <row r="1586" spans="1:1" s="325" customFormat="1" x14ac:dyDescent="0.2"/>
    <row r="1587" spans="1:1" s="325" customFormat="1" x14ac:dyDescent="0.2"/>
    <row r="1588" spans="1:1" s="325" customFormat="1" x14ac:dyDescent="0.2"/>
    <row r="1589" spans="1:1" s="325" customFormat="1" x14ac:dyDescent="0.2"/>
    <row r="1590" spans="1:1" s="325" customFormat="1" x14ac:dyDescent="0.2"/>
    <row r="1591" spans="1:1" s="325" customFormat="1" x14ac:dyDescent="0.2"/>
    <row r="1592" spans="1:1" s="325" customFormat="1" x14ac:dyDescent="0.2"/>
    <row r="1593" spans="1:1" s="325" customFormat="1" x14ac:dyDescent="0.2">
      <c r="A1593" s="325" t="s">
        <v>805</v>
      </c>
    </row>
    <row r="1594" spans="1:1" s="325" customFormat="1" x14ac:dyDescent="0.2">
      <c r="A1594" s="325" t="s">
        <v>806</v>
      </c>
    </row>
    <row r="1595" spans="1:1" s="325" customFormat="1" x14ac:dyDescent="0.2"/>
    <row r="1596" spans="1:1" s="325" customFormat="1" x14ac:dyDescent="0.2"/>
    <row r="1597" spans="1:1" s="325" customFormat="1" x14ac:dyDescent="0.2"/>
    <row r="1598" spans="1:1" s="325" customFormat="1" x14ac:dyDescent="0.2"/>
    <row r="1599" spans="1:1" s="325" customFormat="1" x14ac:dyDescent="0.2"/>
    <row r="1600" spans="1:1" s="325" customFormat="1" x14ac:dyDescent="0.2"/>
    <row r="1601" s="325" customFormat="1" x14ac:dyDescent="0.2"/>
    <row r="1602" s="325" customFormat="1" x14ac:dyDescent="0.2"/>
    <row r="1603" s="325" customFormat="1" x14ac:dyDescent="0.2"/>
    <row r="1604" s="325" customFormat="1" x14ac:dyDescent="0.2"/>
    <row r="1605" s="325" customFormat="1" x14ac:dyDescent="0.2"/>
    <row r="1606" s="325" customFormat="1" x14ac:dyDescent="0.2"/>
    <row r="1607" s="325" customFormat="1" x14ac:dyDescent="0.2"/>
    <row r="1608" s="325" customFormat="1" x14ac:dyDescent="0.2"/>
    <row r="1609" s="325" customFormat="1" x14ac:dyDescent="0.2"/>
    <row r="1610" s="325" customFormat="1" x14ac:dyDescent="0.2"/>
    <row r="1611" s="325" customFormat="1" x14ac:dyDescent="0.2"/>
    <row r="1612" s="325" customFormat="1" x14ac:dyDescent="0.2"/>
    <row r="1613" s="325" customFormat="1" x14ac:dyDescent="0.2"/>
    <row r="1614" s="325" customFormat="1" x14ac:dyDescent="0.2"/>
    <row r="1615" s="325" customFormat="1" x14ac:dyDescent="0.2"/>
    <row r="1616" s="325" customFormat="1" x14ac:dyDescent="0.2"/>
    <row r="1617" s="325" customFormat="1" x14ac:dyDescent="0.2"/>
    <row r="1618" s="325" customFormat="1" x14ac:dyDescent="0.2"/>
    <row r="1619" s="325" customFormat="1" x14ac:dyDescent="0.2"/>
    <row r="1620" s="325" customFormat="1" x14ac:dyDescent="0.2"/>
    <row r="1621" s="325" customFormat="1" x14ac:dyDescent="0.2"/>
    <row r="1622" s="325" customFormat="1" x14ac:dyDescent="0.2"/>
    <row r="1623" s="325" customFormat="1" x14ac:dyDescent="0.2"/>
    <row r="1624" s="325" customFormat="1" x14ac:dyDescent="0.2"/>
    <row r="1625" s="325" customFormat="1" x14ac:dyDescent="0.2"/>
    <row r="1626" s="325" customFormat="1" x14ac:dyDescent="0.2"/>
    <row r="1627" s="325" customFormat="1" x14ac:dyDescent="0.2"/>
    <row r="1628" s="325" customFormat="1" x14ac:dyDescent="0.2"/>
    <row r="1629" s="325" customFormat="1" x14ac:dyDescent="0.2"/>
    <row r="1630" s="325" customFormat="1" x14ac:dyDescent="0.2"/>
    <row r="1631" s="325" customFormat="1" x14ac:dyDescent="0.2"/>
    <row r="1632" s="325" customFormat="1" x14ac:dyDescent="0.2"/>
    <row r="1633" s="325" customFormat="1" x14ac:dyDescent="0.2"/>
    <row r="1634" s="325" customFormat="1" x14ac:dyDescent="0.2"/>
    <row r="1635" s="325" customFormat="1" x14ac:dyDescent="0.2"/>
    <row r="1636" s="325" customFormat="1" x14ac:dyDescent="0.2"/>
    <row r="1637" s="325" customFormat="1" x14ac:dyDescent="0.2"/>
    <row r="1638" s="325" customFormat="1" x14ac:dyDescent="0.2"/>
    <row r="1639" s="325" customFormat="1" x14ac:dyDescent="0.2"/>
    <row r="1640" s="325" customFormat="1" x14ac:dyDescent="0.2"/>
    <row r="1641" s="325" customFormat="1" x14ac:dyDescent="0.2"/>
    <row r="1642" s="325" customFormat="1" x14ac:dyDescent="0.2"/>
    <row r="1643" s="325" customFormat="1" x14ac:dyDescent="0.2"/>
    <row r="1644" s="325" customFormat="1" x14ac:dyDescent="0.2"/>
    <row r="1645" s="325" customFormat="1" x14ac:dyDescent="0.2"/>
    <row r="1646" s="325" customFormat="1" x14ac:dyDescent="0.2"/>
    <row r="1647" s="325" customFormat="1" x14ac:dyDescent="0.2"/>
    <row r="1648" s="325" customFormat="1" x14ac:dyDescent="0.2"/>
    <row r="1649" s="325" customFormat="1" x14ac:dyDescent="0.2"/>
    <row r="1650" s="325" customFormat="1" x14ac:dyDescent="0.2"/>
    <row r="1651" s="325" customFormat="1" x14ac:dyDescent="0.2"/>
    <row r="1652" s="325" customFormat="1" x14ac:dyDescent="0.2"/>
    <row r="1653" s="325" customFormat="1" x14ac:dyDescent="0.2"/>
    <row r="1654" s="325" customFormat="1" x14ac:dyDescent="0.2"/>
    <row r="1655" s="325" customFormat="1" x14ac:dyDescent="0.2"/>
    <row r="1656" s="325" customFormat="1" x14ac:dyDescent="0.2"/>
    <row r="1657" s="325" customFormat="1" x14ac:dyDescent="0.2"/>
    <row r="1658" s="325" customFormat="1" x14ac:dyDescent="0.2"/>
    <row r="1659" s="325" customFormat="1" x14ac:dyDescent="0.2"/>
    <row r="1660" s="325" customFormat="1" x14ac:dyDescent="0.2"/>
    <row r="1661" s="325" customFormat="1" x14ac:dyDescent="0.2"/>
    <row r="1662" s="325" customFormat="1" x14ac:dyDescent="0.2"/>
    <row r="1663" s="325" customFormat="1" x14ac:dyDescent="0.2"/>
    <row r="1664" s="325" customFormat="1" x14ac:dyDescent="0.2"/>
    <row r="1665" s="325" customFormat="1" x14ac:dyDescent="0.2"/>
    <row r="1666" s="325" customFormat="1" x14ac:dyDescent="0.2"/>
    <row r="1667" s="325" customFormat="1" x14ac:dyDescent="0.2"/>
    <row r="1668" s="325" customFormat="1" x14ac:dyDescent="0.2"/>
    <row r="1669" s="325" customFormat="1" x14ac:dyDescent="0.2"/>
    <row r="1670" s="325" customFormat="1" x14ac:dyDescent="0.2"/>
    <row r="1671" s="325" customFormat="1" x14ac:dyDescent="0.2"/>
    <row r="1672" s="325" customFormat="1" x14ac:dyDescent="0.2"/>
    <row r="1673" s="325" customFormat="1" x14ac:dyDescent="0.2"/>
    <row r="1674" s="325" customFormat="1" x14ac:dyDescent="0.2"/>
    <row r="1675" s="325" customFormat="1" x14ac:dyDescent="0.2"/>
    <row r="1676" s="325" customFormat="1" x14ac:dyDescent="0.2"/>
    <row r="1677" s="325" customFormat="1" x14ac:dyDescent="0.2"/>
    <row r="1678" s="325" customFormat="1" x14ac:dyDescent="0.2"/>
    <row r="1679" s="325" customFormat="1" x14ac:dyDescent="0.2"/>
    <row r="1680" s="325" customFormat="1" x14ac:dyDescent="0.2"/>
    <row r="1681" s="325" customFormat="1" x14ac:dyDescent="0.2"/>
    <row r="1682" s="325" customFormat="1" x14ac:dyDescent="0.2"/>
    <row r="1683" s="325" customFormat="1" x14ac:dyDescent="0.2"/>
    <row r="1684" s="325" customFormat="1" x14ac:dyDescent="0.2"/>
    <row r="1685" s="325" customFormat="1" x14ac:dyDescent="0.2"/>
    <row r="1686" s="325" customFormat="1" x14ac:dyDescent="0.2"/>
    <row r="1687" s="325" customFormat="1" x14ac:dyDescent="0.2"/>
    <row r="1688" s="325" customFormat="1" x14ac:dyDescent="0.2"/>
    <row r="1689" s="325" customFormat="1" x14ac:dyDescent="0.2"/>
    <row r="1690" s="325" customFormat="1" x14ac:dyDescent="0.2"/>
    <row r="1691" s="325" customFormat="1" x14ac:dyDescent="0.2"/>
    <row r="1692" s="325" customFormat="1" x14ac:dyDescent="0.2"/>
    <row r="1693" s="325" customFormat="1" x14ac:dyDescent="0.2"/>
    <row r="1694" s="325" customFormat="1" x14ac:dyDescent="0.2"/>
    <row r="1695" s="325" customFormat="1" x14ac:dyDescent="0.2"/>
    <row r="1696" s="325" customFormat="1" x14ac:dyDescent="0.2"/>
    <row r="1697" s="325" customFormat="1" x14ac:dyDescent="0.2"/>
    <row r="1698" s="325" customFormat="1" x14ac:dyDescent="0.2"/>
    <row r="1699" s="325" customFormat="1" x14ac:dyDescent="0.2"/>
    <row r="1700" s="325" customFormat="1" x14ac:dyDescent="0.2"/>
    <row r="1701" s="325" customFormat="1" x14ac:dyDescent="0.2"/>
    <row r="1702" s="325" customFormat="1" x14ac:dyDescent="0.2"/>
    <row r="1703" s="325" customFormat="1" x14ac:dyDescent="0.2"/>
    <row r="1704" s="325" customFormat="1" x14ac:dyDescent="0.2"/>
    <row r="1705" s="325" customFormat="1" x14ac:dyDescent="0.2"/>
    <row r="1706" s="325" customFormat="1" x14ac:dyDescent="0.2"/>
    <row r="1707" s="325" customFormat="1" x14ac:dyDescent="0.2"/>
    <row r="1708" s="325" customFormat="1" x14ac:dyDescent="0.2"/>
    <row r="1709" s="325" customFormat="1" x14ac:dyDescent="0.2"/>
    <row r="1710" s="325" customFormat="1" x14ac:dyDescent="0.2"/>
    <row r="1711" s="325" customFormat="1" x14ac:dyDescent="0.2"/>
    <row r="1712" s="325" customFormat="1" x14ac:dyDescent="0.2"/>
    <row r="1713" s="325" customFormat="1" x14ac:dyDescent="0.2"/>
    <row r="1714" s="325" customFormat="1" x14ac:dyDescent="0.2"/>
    <row r="1715" s="325" customFormat="1" x14ac:dyDescent="0.2"/>
    <row r="1716" s="325" customFormat="1" x14ac:dyDescent="0.2"/>
    <row r="1717" s="325" customFormat="1" x14ac:dyDescent="0.2"/>
    <row r="1718" s="325" customFormat="1" x14ac:dyDescent="0.2"/>
    <row r="1719" s="325" customFormat="1" x14ac:dyDescent="0.2"/>
    <row r="1720" s="325" customFormat="1" x14ac:dyDescent="0.2"/>
    <row r="1721" s="325" customFormat="1" x14ac:dyDescent="0.2"/>
    <row r="1722" s="325" customFormat="1" x14ac:dyDescent="0.2"/>
    <row r="1723" s="325" customFormat="1" x14ac:dyDescent="0.2"/>
    <row r="1724" s="325" customFormat="1" x14ac:dyDescent="0.2"/>
    <row r="1725" s="325" customFormat="1" x14ac:dyDescent="0.2"/>
    <row r="1726" s="325" customFormat="1" x14ac:dyDescent="0.2"/>
    <row r="1727" s="325" customFormat="1" x14ac:dyDescent="0.2"/>
    <row r="1728" s="325" customFormat="1" x14ac:dyDescent="0.2"/>
    <row r="1729" s="325" customFormat="1" x14ac:dyDescent="0.2"/>
    <row r="1730" s="325" customFormat="1" x14ac:dyDescent="0.2"/>
    <row r="1731" s="325" customFormat="1" x14ac:dyDescent="0.2"/>
    <row r="1732" s="325" customFormat="1" x14ac:dyDescent="0.2"/>
    <row r="1733" s="325" customFormat="1" x14ac:dyDescent="0.2"/>
    <row r="1734" s="325" customFormat="1" x14ac:dyDescent="0.2"/>
    <row r="1735" s="325" customFormat="1" x14ac:dyDescent="0.2"/>
    <row r="1736" s="325" customFormat="1" x14ac:dyDescent="0.2"/>
    <row r="1737" s="325" customFormat="1" x14ac:dyDescent="0.2"/>
    <row r="1738" s="325" customFormat="1" x14ac:dyDescent="0.2"/>
    <row r="1739" s="325" customFormat="1" x14ac:dyDescent="0.2"/>
    <row r="1740" s="325" customFormat="1" x14ac:dyDescent="0.2"/>
    <row r="1741" s="325" customFormat="1" x14ac:dyDescent="0.2"/>
    <row r="1742" s="325" customFormat="1" x14ac:dyDescent="0.2"/>
    <row r="1743" s="325" customFormat="1" x14ac:dyDescent="0.2"/>
    <row r="1744" s="325" customFormat="1" x14ac:dyDescent="0.2"/>
    <row r="1745" s="325" customFormat="1" x14ac:dyDescent="0.2"/>
    <row r="1746" s="325" customFormat="1" x14ac:dyDescent="0.2"/>
    <row r="1747" s="325" customFormat="1" x14ac:dyDescent="0.2"/>
    <row r="1748" s="325" customFormat="1" x14ac:dyDescent="0.2"/>
    <row r="1749" s="325" customFormat="1" x14ac:dyDescent="0.2"/>
    <row r="1750" s="325" customFormat="1" x14ac:dyDescent="0.2"/>
    <row r="1751" s="325" customFormat="1" x14ac:dyDescent="0.2"/>
    <row r="1752" s="325" customFormat="1" x14ac:dyDescent="0.2"/>
    <row r="1753" s="325" customFormat="1" x14ac:dyDescent="0.2"/>
    <row r="1754" s="325" customFormat="1" x14ac:dyDescent="0.2"/>
    <row r="1755" s="325" customFormat="1" x14ac:dyDescent="0.2"/>
    <row r="1756" s="325" customFormat="1" x14ac:dyDescent="0.2"/>
    <row r="1757" s="325" customFormat="1" x14ac:dyDescent="0.2"/>
    <row r="1758" s="325" customFormat="1" x14ac:dyDescent="0.2"/>
    <row r="1759" s="325" customFormat="1" x14ac:dyDescent="0.2"/>
    <row r="1760" s="325" customFormat="1" x14ac:dyDescent="0.2"/>
    <row r="1761" s="325" customFormat="1" x14ac:dyDescent="0.2"/>
    <row r="1762" s="325" customFormat="1" x14ac:dyDescent="0.2"/>
    <row r="1763" s="325" customFormat="1" x14ac:dyDescent="0.2"/>
    <row r="1764" s="325" customFormat="1" x14ac:dyDescent="0.2"/>
    <row r="1765" s="325" customFormat="1" x14ac:dyDescent="0.2"/>
    <row r="1766" s="325" customFormat="1" x14ac:dyDescent="0.2"/>
    <row r="1767" s="325" customFormat="1" x14ac:dyDescent="0.2"/>
    <row r="1768" s="325" customFormat="1" x14ac:dyDescent="0.2"/>
    <row r="1769" s="325" customFormat="1" x14ac:dyDescent="0.2"/>
    <row r="1770" s="325" customFormat="1" x14ac:dyDescent="0.2"/>
    <row r="1771" s="325" customFormat="1" x14ac:dyDescent="0.2"/>
    <row r="1772" s="325" customFormat="1" x14ac:dyDescent="0.2"/>
    <row r="1773" s="325" customFormat="1" x14ac:dyDescent="0.2"/>
    <row r="1774" s="325" customFormat="1" x14ac:dyDescent="0.2"/>
    <row r="1775" s="325" customFormat="1" x14ac:dyDescent="0.2"/>
    <row r="1776" s="325" customFormat="1" x14ac:dyDescent="0.2"/>
    <row r="1777" s="325" customFormat="1" x14ac:dyDescent="0.2"/>
    <row r="1778" s="325" customFormat="1" x14ac:dyDescent="0.2"/>
    <row r="1779" s="325" customFormat="1" x14ac:dyDescent="0.2"/>
    <row r="1780" s="325" customFormat="1" x14ac:dyDescent="0.2"/>
    <row r="1781" s="325" customFormat="1" x14ac:dyDescent="0.2"/>
    <row r="1782" s="325" customFormat="1" x14ac:dyDescent="0.2"/>
    <row r="1783" s="325" customFormat="1" x14ac:dyDescent="0.2"/>
    <row r="1784" s="325" customFormat="1" x14ac:dyDescent="0.2"/>
    <row r="1785" s="325" customFormat="1" x14ac:dyDescent="0.2"/>
    <row r="1786" s="325" customFormat="1" x14ac:dyDescent="0.2"/>
    <row r="1787" s="325" customFormat="1" x14ac:dyDescent="0.2"/>
    <row r="1788" s="325" customFormat="1" x14ac:dyDescent="0.2"/>
    <row r="1789" s="325" customFormat="1" x14ac:dyDescent="0.2"/>
    <row r="1790" s="325" customFormat="1" x14ac:dyDescent="0.2"/>
    <row r="1791" s="325" customFormat="1" x14ac:dyDescent="0.2"/>
    <row r="1792" s="325" customFormat="1" x14ac:dyDescent="0.2"/>
    <row r="1793" s="325" customFormat="1" x14ac:dyDescent="0.2"/>
    <row r="1794" s="325" customFormat="1" x14ac:dyDescent="0.2"/>
    <row r="1795" s="325" customFormat="1" x14ac:dyDescent="0.2"/>
    <row r="1796" s="325" customFormat="1" x14ac:dyDescent="0.2"/>
    <row r="1797" s="325" customFormat="1" x14ac:dyDescent="0.2"/>
    <row r="1798" s="325" customFormat="1" x14ac:dyDescent="0.2"/>
    <row r="1799" s="325" customFormat="1" x14ac:dyDescent="0.2"/>
    <row r="1800" s="325" customFormat="1" x14ac:dyDescent="0.2"/>
    <row r="1801" s="325" customFormat="1" x14ac:dyDescent="0.2"/>
    <row r="1802" s="325" customFormat="1" x14ac:dyDescent="0.2"/>
    <row r="1803" s="325" customFormat="1" x14ac:dyDescent="0.2"/>
    <row r="1804" s="325" customFormat="1" x14ac:dyDescent="0.2"/>
    <row r="1805" s="325" customFormat="1" x14ac:dyDescent="0.2"/>
    <row r="1806" s="325" customFormat="1" x14ac:dyDescent="0.2"/>
    <row r="1807" s="325" customFormat="1" x14ac:dyDescent="0.2"/>
    <row r="1808" s="325" customFormat="1" x14ac:dyDescent="0.2"/>
    <row r="1809" s="325" customFormat="1" x14ac:dyDescent="0.2"/>
    <row r="1810" s="325" customFormat="1" x14ac:dyDescent="0.2"/>
    <row r="1811" s="325" customFormat="1" x14ac:dyDescent="0.2"/>
    <row r="1812" s="325" customFormat="1" x14ac:dyDescent="0.2"/>
    <row r="1813" s="325" customFormat="1" x14ac:dyDescent="0.2"/>
    <row r="1814" s="325" customFormat="1" x14ac:dyDescent="0.2"/>
    <row r="1815" s="325" customFormat="1" x14ac:dyDescent="0.2"/>
    <row r="1816" s="325" customFormat="1" x14ac:dyDescent="0.2"/>
    <row r="1817" s="325" customFormat="1" x14ac:dyDescent="0.2"/>
    <row r="1818" s="325" customFormat="1" x14ac:dyDescent="0.2"/>
    <row r="1819" s="325" customFormat="1" x14ac:dyDescent="0.2"/>
    <row r="1820" s="325" customFormat="1" x14ac:dyDescent="0.2"/>
    <row r="1821" s="325" customFormat="1" x14ac:dyDescent="0.2"/>
    <row r="1822" s="325" customFormat="1" x14ac:dyDescent="0.2"/>
    <row r="1823" s="325" customFormat="1" x14ac:dyDescent="0.2"/>
    <row r="1824" s="325" customFormat="1" x14ac:dyDescent="0.2"/>
    <row r="1825" s="325" customFormat="1" x14ac:dyDescent="0.2"/>
    <row r="1826" s="325" customFormat="1" x14ac:dyDescent="0.2"/>
    <row r="1827" s="325" customFormat="1" x14ac:dyDescent="0.2"/>
    <row r="1828" s="325" customFormat="1" x14ac:dyDescent="0.2"/>
    <row r="1829" s="325" customFormat="1" x14ac:dyDescent="0.2"/>
    <row r="1830" s="325" customFormat="1" x14ac:dyDescent="0.2"/>
    <row r="1831" s="325" customFormat="1" x14ac:dyDescent="0.2"/>
    <row r="1832" s="325" customFormat="1" x14ac:dyDescent="0.2"/>
    <row r="1833" s="325" customFormat="1" x14ac:dyDescent="0.2"/>
    <row r="1834" s="325" customFormat="1" x14ac:dyDescent="0.2"/>
    <row r="1835" s="325" customFormat="1" x14ac:dyDescent="0.2"/>
    <row r="1836" s="325" customFormat="1" x14ac:dyDescent="0.2"/>
    <row r="1837" s="325" customFormat="1" x14ac:dyDescent="0.2"/>
    <row r="1838" s="325" customFormat="1" x14ac:dyDescent="0.2"/>
    <row r="1839" s="325" customFormat="1" x14ac:dyDescent="0.2"/>
    <row r="1840" s="325" customFormat="1" x14ac:dyDescent="0.2"/>
    <row r="1841" s="325" customFormat="1" x14ac:dyDescent="0.2"/>
    <row r="1842" s="325" customFormat="1" x14ac:dyDescent="0.2"/>
    <row r="1843" s="325" customFormat="1" x14ac:dyDescent="0.2"/>
    <row r="1844" s="325" customFormat="1" x14ac:dyDescent="0.2"/>
    <row r="1845" s="325" customFormat="1" x14ac:dyDescent="0.2"/>
    <row r="1846" s="325" customFormat="1" x14ac:dyDescent="0.2"/>
    <row r="1847" s="325" customFormat="1" x14ac:dyDescent="0.2"/>
    <row r="1848" s="325" customFormat="1" x14ac:dyDescent="0.2"/>
    <row r="1849" s="325" customFormat="1" x14ac:dyDescent="0.2"/>
    <row r="1850" s="325" customFormat="1" x14ac:dyDescent="0.2"/>
    <row r="1851" s="325" customFormat="1" x14ac:dyDescent="0.2"/>
    <row r="1852" s="325" customFormat="1" x14ac:dyDescent="0.2"/>
    <row r="1853" s="325" customFormat="1" x14ac:dyDescent="0.2"/>
    <row r="1854" s="325" customFormat="1" x14ac:dyDescent="0.2"/>
    <row r="1855" s="325" customFormat="1" x14ac:dyDescent="0.2"/>
    <row r="1856" s="325" customFormat="1" x14ac:dyDescent="0.2"/>
    <row r="1857" s="325" customFormat="1" x14ac:dyDescent="0.2"/>
    <row r="1858" s="325" customFormat="1" x14ac:dyDescent="0.2"/>
    <row r="1859" s="325" customFormat="1" x14ac:dyDescent="0.2"/>
    <row r="1860" s="325" customFormat="1" x14ac:dyDescent="0.2"/>
    <row r="1861" s="325" customFormat="1" x14ac:dyDescent="0.2"/>
    <row r="1862" s="325" customFormat="1" x14ac:dyDescent="0.2"/>
    <row r="1863" s="325" customFormat="1" x14ac:dyDescent="0.2"/>
    <row r="1864" s="325" customFormat="1" x14ac:dyDescent="0.2"/>
    <row r="1865" s="325" customFormat="1" x14ac:dyDescent="0.2"/>
    <row r="1866" s="325" customFormat="1" x14ac:dyDescent="0.2"/>
    <row r="1867" s="325" customFormat="1" x14ac:dyDescent="0.2"/>
    <row r="1868" s="325" customFormat="1" x14ac:dyDescent="0.2"/>
    <row r="1869" s="325" customFormat="1" x14ac:dyDescent="0.2"/>
    <row r="1870" s="325" customFormat="1" x14ac:dyDescent="0.2"/>
    <row r="1871" s="325" customFormat="1" x14ac:dyDescent="0.2"/>
    <row r="1872" s="325" customFormat="1" x14ac:dyDescent="0.2"/>
    <row r="1873" s="325" customFormat="1" x14ac:dyDescent="0.2"/>
    <row r="1874" s="325" customFormat="1" x14ac:dyDescent="0.2"/>
    <row r="1875" s="325" customFormat="1" x14ac:dyDescent="0.2"/>
    <row r="1876" s="325" customFormat="1" x14ac:dyDescent="0.2"/>
    <row r="1877" s="325" customFormat="1" x14ac:dyDescent="0.2"/>
    <row r="1878" s="325" customFormat="1" x14ac:dyDescent="0.2"/>
    <row r="1879" s="325" customFormat="1" x14ac:dyDescent="0.2"/>
    <row r="1880" s="325" customFormat="1" x14ac:dyDescent="0.2"/>
    <row r="1881" s="325" customFormat="1" x14ac:dyDescent="0.2"/>
    <row r="1882" s="325" customFormat="1" x14ac:dyDescent="0.2"/>
    <row r="1883" s="325" customFormat="1" x14ac:dyDescent="0.2"/>
    <row r="1884" s="325" customFormat="1" x14ac:dyDescent="0.2"/>
    <row r="1885" s="325" customFormat="1" x14ac:dyDescent="0.2"/>
    <row r="1886" s="325" customFormat="1" x14ac:dyDescent="0.2"/>
    <row r="1887" s="325" customFormat="1" x14ac:dyDescent="0.2"/>
    <row r="1888" s="325" customFormat="1" x14ac:dyDescent="0.2"/>
    <row r="1889" s="325" customFormat="1" x14ac:dyDescent="0.2"/>
    <row r="1890" s="325" customFormat="1" x14ac:dyDescent="0.2"/>
    <row r="1891" s="325" customFormat="1" x14ac:dyDescent="0.2"/>
    <row r="1892" s="325" customFormat="1" x14ac:dyDescent="0.2"/>
    <row r="1893" s="325" customFormat="1" x14ac:dyDescent="0.2"/>
    <row r="1894" s="325" customFormat="1" x14ac:dyDescent="0.2"/>
    <row r="1895" s="325" customFormat="1" x14ac:dyDescent="0.2"/>
    <row r="1896" s="325" customFormat="1" x14ac:dyDescent="0.2"/>
    <row r="1897" s="325" customFormat="1" x14ac:dyDescent="0.2"/>
    <row r="1898" s="325" customFormat="1" x14ac:dyDescent="0.2"/>
    <row r="1899" s="325" customFormat="1" x14ac:dyDescent="0.2"/>
    <row r="1900" s="325" customFormat="1" x14ac:dyDescent="0.2"/>
    <row r="1901" s="325" customFormat="1" x14ac:dyDescent="0.2"/>
    <row r="1902" s="325" customFormat="1" x14ac:dyDescent="0.2"/>
    <row r="1903" s="325" customFormat="1" x14ac:dyDescent="0.2"/>
    <row r="1904" s="325" customFormat="1" x14ac:dyDescent="0.2"/>
    <row r="1905" s="325" customFormat="1" x14ac:dyDescent="0.2"/>
    <row r="1906" s="325" customFormat="1" x14ac:dyDescent="0.2"/>
    <row r="1907" s="325" customFormat="1" x14ac:dyDescent="0.2"/>
    <row r="1908" s="325" customFormat="1" x14ac:dyDescent="0.2"/>
    <row r="1909" s="325" customFormat="1" x14ac:dyDescent="0.2"/>
    <row r="1910" s="325" customFormat="1" x14ac:dyDescent="0.2"/>
    <row r="1911" s="325" customFormat="1" x14ac:dyDescent="0.2"/>
    <row r="1912" s="325" customFormat="1" x14ac:dyDescent="0.2"/>
    <row r="1913" s="325" customFormat="1" x14ac:dyDescent="0.2"/>
    <row r="1914" s="325" customFormat="1" x14ac:dyDescent="0.2"/>
    <row r="1915" s="325" customFormat="1" x14ac:dyDescent="0.2"/>
    <row r="1916" s="325" customFormat="1" x14ac:dyDescent="0.2"/>
    <row r="1917" s="325" customFormat="1" x14ac:dyDescent="0.2"/>
    <row r="1918" s="325" customFormat="1" x14ac:dyDescent="0.2"/>
    <row r="1919" s="325" customFormat="1" x14ac:dyDescent="0.2"/>
    <row r="1920" s="325" customFormat="1" x14ac:dyDescent="0.2"/>
    <row r="1921" s="325" customFormat="1" x14ac:dyDescent="0.2"/>
    <row r="1922" s="325" customFormat="1" x14ac:dyDescent="0.2"/>
    <row r="1923" s="325" customFormat="1" x14ac:dyDescent="0.2"/>
    <row r="1924" s="325" customFormat="1" x14ac:dyDescent="0.2"/>
    <row r="1925" s="325" customFormat="1" x14ac:dyDescent="0.2"/>
    <row r="1926" s="325" customFormat="1" x14ac:dyDescent="0.2"/>
    <row r="1927" s="325" customFormat="1" x14ac:dyDescent="0.2"/>
    <row r="1928" s="325" customFormat="1" x14ac:dyDescent="0.2"/>
    <row r="1929" s="325" customFormat="1" x14ac:dyDescent="0.2"/>
    <row r="1930" s="325" customFormat="1" x14ac:dyDescent="0.2"/>
    <row r="1931" s="325" customFormat="1" x14ac:dyDescent="0.2"/>
    <row r="1932" s="325" customFormat="1" x14ac:dyDescent="0.2"/>
    <row r="1933" s="325" customFormat="1" x14ac:dyDescent="0.2"/>
    <row r="1934" s="325" customFormat="1" x14ac:dyDescent="0.2"/>
    <row r="1935" s="325" customFormat="1" x14ac:dyDescent="0.2"/>
    <row r="1936" s="325" customFormat="1" x14ac:dyDescent="0.2"/>
    <row r="1937" s="325" customFormat="1" x14ac:dyDescent="0.2"/>
    <row r="1938" s="325" customFormat="1" x14ac:dyDescent="0.2"/>
    <row r="1939" s="325" customFormat="1" x14ac:dyDescent="0.2"/>
    <row r="1940" s="325" customFormat="1" x14ac:dyDescent="0.2"/>
    <row r="1941" s="325" customFormat="1" x14ac:dyDescent="0.2"/>
    <row r="1942" s="325" customFormat="1" x14ac:dyDescent="0.2"/>
    <row r="1943" s="325" customFormat="1" x14ac:dyDescent="0.2"/>
    <row r="1944" s="325" customFormat="1" x14ac:dyDescent="0.2"/>
    <row r="1945" s="325" customFormat="1" x14ac:dyDescent="0.2"/>
    <row r="1946" s="325" customFormat="1" x14ac:dyDescent="0.2"/>
    <row r="1947" s="325" customFormat="1" x14ac:dyDescent="0.2"/>
    <row r="1948" s="325" customFormat="1" x14ac:dyDescent="0.2"/>
    <row r="1949" s="325" customFormat="1" x14ac:dyDescent="0.2"/>
    <row r="1950" s="325" customFormat="1" x14ac:dyDescent="0.2"/>
    <row r="1951" s="325" customFormat="1" x14ac:dyDescent="0.2"/>
    <row r="1952" s="325" customFormat="1" x14ac:dyDescent="0.2"/>
    <row r="1953" s="325" customFormat="1" x14ac:dyDescent="0.2"/>
    <row r="1954" s="325" customFormat="1" x14ac:dyDescent="0.2"/>
    <row r="1955" s="325" customFormat="1" x14ac:dyDescent="0.2"/>
    <row r="1956" s="325" customFormat="1" x14ac:dyDescent="0.2"/>
    <row r="1957" s="325" customFormat="1" x14ac:dyDescent="0.2"/>
    <row r="1958" s="325" customFormat="1" x14ac:dyDescent="0.2"/>
    <row r="1959" s="325" customFormat="1" x14ac:dyDescent="0.2"/>
    <row r="1960" s="325" customFormat="1" x14ac:dyDescent="0.2"/>
    <row r="1961" s="325" customFormat="1" x14ac:dyDescent="0.2"/>
    <row r="1962" s="325" customFormat="1" x14ac:dyDescent="0.2"/>
    <row r="1963" s="325" customFormat="1" x14ac:dyDescent="0.2"/>
    <row r="1964" s="325" customFormat="1" x14ac:dyDescent="0.2"/>
    <row r="1965" s="325" customFormat="1" x14ac:dyDescent="0.2"/>
    <row r="1966" s="325" customFormat="1" x14ac:dyDescent="0.2"/>
    <row r="1967" s="325" customFormat="1" x14ac:dyDescent="0.2"/>
    <row r="1968" s="325" customFormat="1" x14ac:dyDescent="0.2"/>
    <row r="1969" s="325" customFormat="1" x14ac:dyDescent="0.2"/>
    <row r="1970" s="325" customFormat="1" x14ac:dyDescent="0.2"/>
    <row r="1971" s="325" customFormat="1" x14ac:dyDescent="0.2"/>
    <row r="1972" s="325" customFormat="1" x14ac:dyDescent="0.2"/>
    <row r="1973" s="325" customFormat="1" x14ac:dyDescent="0.2"/>
    <row r="1974" s="325" customFormat="1" x14ac:dyDescent="0.2"/>
    <row r="1975" s="325" customFormat="1" x14ac:dyDescent="0.2"/>
    <row r="1976" s="325" customFormat="1" x14ac:dyDescent="0.2"/>
    <row r="1977" s="325" customFormat="1" x14ac:dyDescent="0.2"/>
    <row r="1978" s="325" customFormat="1" x14ac:dyDescent="0.2"/>
    <row r="1979" s="325" customFormat="1" x14ac:dyDescent="0.2"/>
    <row r="1980" s="325" customFormat="1" x14ac:dyDescent="0.2"/>
    <row r="1981" s="325" customFormat="1" x14ac:dyDescent="0.2"/>
    <row r="1982" s="325" customFormat="1" x14ac:dyDescent="0.2"/>
    <row r="1983" s="325" customFormat="1" x14ac:dyDescent="0.2"/>
    <row r="1984" s="325" customFormat="1" x14ac:dyDescent="0.2"/>
    <row r="1985" s="325" customFormat="1" x14ac:dyDescent="0.2"/>
    <row r="1986" s="325" customFormat="1" x14ac:dyDescent="0.2"/>
    <row r="1987" s="325" customFormat="1" x14ac:dyDescent="0.2"/>
    <row r="1988" s="325" customFormat="1" x14ac:dyDescent="0.2"/>
    <row r="1989" s="325" customFormat="1" x14ac:dyDescent="0.2"/>
    <row r="1990" s="325" customFormat="1" x14ac:dyDescent="0.2"/>
    <row r="1991" s="325" customFormat="1" x14ac:dyDescent="0.2"/>
    <row r="1992" s="325" customFormat="1" x14ac:dyDescent="0.2"/>
    <row r="1993" s="325" customFormat="1" x14ac:dyDescent="0.2"/>
    <row r="1994" s="325" customFormat="1" x14ac:dyDescent="0.2"/>
    <row r="1995" s="325" customFormat="1" x14ac:dyDescent="0.2"/>
    <row r="1996" s="325" customFormat="1" x14ac:dyDescent="0.2"/>
    <row r="1997" s="325" customFormat="1" x14ac:dyDescent="0.2"/>
    <row r="1998" s="325" customFormat="1" x14ac:dyDescent="0.2"/>
    <row r="1999" s="325" customFormat="1" x14ac:dyDescent="0.2"/>
    <row r="2000" s="325" customFormat="1" x14ac:dyDescent="0.2"/>
    <row r="2001" s="325" customFormat="1" x14ac:dyDescent="0.2"/>
    <row r="2002" s="325" customFormat="1" x14ac:dyDescent="0.2"/>
    <row r="2003" s="325" customFormat="1" x14ac:dyDescent="0.2"/>
    <row r="2004" s="325" customFormat="1" x14ac:dyDescent="0.2"/>
    <row r="2005" s="325" customFormat="1" x14ac:dyDescent="0.2"/>
    <row r="2006" s="325" customFormat="1" x14ac:dyDescent="0.2"/>
    <row r="2007" s="325" customFormat="1" x14ac:dyDescent="0.2"/>
    <row r="2008" s="325" customFormat="1" x14ac:dyDescent="0.2"/>
    <row r="2009" s="325" customFormat="1" x14ac:dyDescent="0.2"/>
    <row r="2010" s="325" customFormat="1" x14ac:dyDescent="0.2"/>
    <row r="2011" s="325" customFormat="1" x14ac:dyDescent="0.2"/>
    <row r="2012" s="325" customFormat="1" x14ac:dyDescent="0.2"/>
    <row r="2013" s="325" customFormat="1" x14ac:dyDescent="0.2"/>
    <row r="2014" s="325" customFormat="1" x14ac:dyDescent="0.2"/>
    <row r="2015" s="325" customFormat="1" x14ac:dyDescent="0.2"/>
    <row r="2016" s="325" customFormat="1" x14ac:dyDescent="0.2"/>
    <row r="2017" s="325" customFormat="1" x14ac:dyDescent="0.2"/>
    <row r="2018" s="325" customFormat="1" x14ac:dyDescent="0.2"/>
    <row r="2019" s="325" customFormat="1" x14ac:dyDescent="0.2"/>
    <row r="2020" s="325" customFormat="1" x14ac:dyDescent="0.2"/>
    <row r="2021" s="325" customFormat="1" x14ac:dyDescent="0.2"/>
    <row r="2022" s="325" customFormat="1" x14ac:dyDescent="0.2"/>
    <row r="2023" s="325" customFormat="1" x14ac:dyDescent="0.2"/>
    <row r="2024" s="325" customFormat="1" x14ac:dyDescent="0.2"/>
    <row r="2025" s="325" customFormat="1" x14ac:dyDescent="0.2"/>
    <row r="2026" s="325" customFormat="1" x14ac:dyDescent="0.2"/>
    <row r="2027" s="325" customFormat="1" x14ac:dyDescent="0.2"/>
    <row r="2028" s="325" customFormat="1" x14ac:dyDescent="0.2"/>
    <row r="2029" s="325" customFormat="1" x14ac:dyDescent="0.2"/>
    <row r="2030" s="325" customFormat="1" x14ac:dyDescent="0.2"/>
    <row r="2031" s="325" customFormat="1" x14ac:dyDescent="0.2"/>
    <row r="2032" s="325" customFormat="1" x14ac:dyDescent="0.2"/>
    <row r="2033" s="325" customFormat="1" x14ac:dyDescent="0.2"/>
    <row r="2034" s="325" customFormat="1" x14ac:dyDescent="0.2"/>
    <row r="2035" s="325" customFormat="1" x14ac:dyDescent="0.2"/>
    <row r="2036" s="325" customFormat="1" x14ac:dyDescent="0.2"/>
    <row r="2037" s="325" customFormat="1" x14ac:dyDescent="0.2"/>
    <row r="2038" s="325" customFormat="1" x14ac:dyDescent="0.2"/>
    <row r="2039" s="325" customFormat="1" x14ac:dyDescent="0.2"/>
    <row r="2040" s="325" customFormat="1" x14ac:dyDescent="0.2"/>
    <row r="2041" s="325" customFormat="1" x14ac:dyDescent="0.2"/>
    <row r="2042" s="325" customFormat="1" x14ac:dyDescent="0.2"/>
  </sheetData>
  <mergeCells count="451">
    <mergeCell ref="M105:O105"/>
    <mergeCell ref="O120:Q120"/>
    <mergeCell ref="K119:M119"/>
    <mergeCell ref="O119:Q119"/>
    <mergeCell ref="K115:M115"/>
    <mergeCell ref="O115:Q115"/>
    <mergeCell ref="O268:Q268"/>
    <mergeCell ref="I199:J199"/>
    <mergeCell ref="O113:Q113"/>
    <mergeCell ref="O114:Q114"/>
    <mergeCell ref="K113:M114"/>
    <mergeCell ref="K117:M117"/>
    <mergeCell ref="O117:Q117"/>
    <mergeCell ref="K135:M135"/>
    <mergeCell ref="O135:Q135"/>
    <mergeCell ref="K134:M134"/>
    <mergeCell ref="O134:Q134"/>
    <mergeCell ref="K133:M133"/>
    <mergeCell ref="O133:Q133"/>
    <mergeCell ref="K132:M132"/>
    <mergeCell ref="O132:Q132"/>
    <mergeCell ref="K130:M130"/>
    <mergeCell ref="O130:Q130"/>
    <mergeCell ref="K129:M129"/>
    <mergeCell ref="K186:M186"/>
    <mergeCell ref="O202:Q202"/>
    <mergeCell ref="K324:M324"/>
    <mergeCell ref="O324:Q324"/>
    <mergeCell ref="O309:Q309"/>
    <mergeCell ref="K310:M310"/>
    <mergeCell ref="O310:Q310"/>
    <mergeCell ref="K305:M305"/>
    <mergeCell ref="O305:Q305"/>
    <mergeCell ref="K306:M306"/>
    <mergeCell ref="O306:Q306"/>
    <mergeCell ref="K254:M254"/>
    <mergeCell ref="O254:Q254"/>
    <mergeCell ref="O189:Q189"/>
    <mergeCell ref="K190:M190"/>
    <mergeCell ref="K200:M200"/>
    <mergeCell ref="O200:Q200"/>
    <mergeCell ref="K198:M198"/>
    <mergeCell ref="O198:Q198"/>
    <mergeCell ref="K199:M199"/>
    <mergeCell ref="O199:Q199"/>
    <mergeCell ref="K325:M325"/>
    <mergeCell ref="O325:Q325"/>
    <mergeCell ref="K323:M323"/>
    <mergeCell ref="O323:Q323"/>
    <mergeCell ref="D316:Q318"/>
    <mergeCell ref="K204:M204"/>
    <mergeCell ref="O204:Q204"/>
    <mergeCell ref="K207:M207"/>
    <mergeCell ref="O207:Q207"/>
    <mergeCell ref="K225:M225"/>
    <mergeCell ref="K226:M226"/>
    <mergeCell ref="I228:J228"/>
    <mergeCell ref="K228:M228"/>
    <mergeCell ref="O228:Q228"/>
    <mergeCell ref="I222:J222"/>
    <mergeCell ref="D312:H312"/>
    <mergeCell ref="K312:M312"/>
    <mergeCell ref="O312:Q312"/>
    <mergeCell ref="I306:J306"/>
    <mergeCell ref="H270:J270"/>
    <mergeCell ref="K268:M268"/>
    <mergeCell ref="K308:M308"/>
    <mergeCell ref="O308:Q308"/>
    <mergeCell ref="K309:M309"/>
    <mergeCell ref="R306:S306"/>
    <mergeCell ref="K298:M298"/>
    <mergeCell ref="O298:Q298"/>
    <mergeCell ref="K299:M299"/>
    <mergeCell ref="O299:Q299"/>
    <mergeCell ref="K300:M300"/>
    <mergeCell ref="O300:Q300"/>
    <mergeCell ref="R242:S242"/>
    <mergeCell ref="K275:M275"/>
    <mergeCell ref="O275:Q275"/>
    <mergeCell ref="K276:M276"/>
    <mergeCell ref="O276:Q276"/>
    <mergeCell ref="K270:M270"/>
    <mergeCell ref="O270:Q270"/>
    <mergeCell ref="R270:S270"/>
    <mergeCell ref="K263:M263"/>
    <mergeCell ref="O263:Q263"/>
    <mergeCell ref="R255:S255"/>
    <mergeCell ref="R257:S257"/>
    <mergeCell ref="R261:S261"/>
    <mergeCell ref="R266:S266"/>
    <mergeCell ref="K285:M285"/>
    <mergeCell ref="K255:M255"/>
    <mergeCell ref="O255:Q255"/>
    <mergeCell ref="R199:S199"/>
    <mergeCell ref="K201:M201"/>
    <mergeCell ref="O201:Q201"/>
    <mergeCell ref="K203:M203"/>
    <mergeCell ref="O203:Q203"/>
    <mergeCell ref="R222:S222"/>
    <mergeCell ref="K224:M224"/>
    <mergeCell ref="K221:M221"/>
    <mergeCell ref="O221:Q221"/>
    <mergeCell ref="K222:M222"/>
    <mergeCell ref="K205:M205"/>
    <mergeCell ref="O205:Q205"/>
    <mergeCell ref="K206:M206"/>
    <mergeCell ref="O206:Q206"/>
    <mergeCell ref="O208:Q208"/>
    <mergeCell ref="K208:M208"/>
    <mergeCell ref="K210:M210"/>
    <mergeCell ref="O210:Q210"/>
    <mergeCell ref="D214:Q216"/>
    <mergeCell ref="K209:M209"/>
    <mergeCell ref="O209:Q209"/>
    <mergeCell ref="K211:M211"/>
    <mergeCell ref="O211:Q211"/>
    <mergeCell ref="K212:M212"/>
    <mergeCell ref="R228:S228"/>
    <mergeCell ref="I230:J230"/>
    <mergeCell ref="K230:M230"/>
    <mergeCell ref="R230:S230"/>
    <mergeCell ref="I233:J233"/>
    <mergeCell ref="K233:M233"/>
    <mergeCell ref="O233:Q233"/>
    <mergeCell ref="R233:S233"/>
    <mergeCell ref="D238:H238"/>
    <mergeCell ref="K238:M238"/>
    <mergeCell ref="O238:Q238"/>
    <mergeCell ref="O230:Q230"/>
    <mergeCell ref="H261:J261"/>
    <mergeCell ref="K267:M267"/>
    <mergeCell ref="O267:Q267"/>
    <mergeCell ref="H266:J266"/>
    <mergeCell ref="K257:M257"/>
    <mergeCell ref="O257:Q257"/>
    <mergeCell ref="K259:M259"/>
    <mergeCell ref="O259:Q259"/>
    <mergeCell ref="K258:M258"/>
    <mergeCell ref="O258:Q258"/>
    <mergeCell ref="H257:J257"/>
    <mergeCell ref="K266:M266"/>
    <mergeCell ref="O266:Q266"/>
    <mergeCell ref="K261:M261"/>
    <mergeCell ref="O261:Q261"/>
    <mergeCell ref="K262:M262"/>
    <mergeCell ref="O262:Q262"/>
    <mergeCell ref="K264:M264"/>
    <mergeCell ref="O264:Q264"/>
    <mergeCell ref="H255:J255"/>
    <mergeCell ref="K242:M242"/>
    <mergeCell ref="O242:Q242"/>
    <mergeCell ref="K235:M235"/>
    <mergeCell ref="O235:Q235"/>
    <mergeCell ref="K236:M236"/>
    <mergeCell ref="O236:Q236"/>
    <mergeCell ref="I242:J242"/>
    <mergeCell ref="K240:M240"/>
    <mergeCell ref="O240:Q240"/>
    <mergeCell ref="D247:Q249"/>
    <mergeCell ref="D210:I210"/>
    <mergeCell ref="O225:Q225"/>
    <mergeCell ref="O226:Q226"/>
    <mergeCell ref="O222:Q222"/>
    <mergeCell ref="O224:Q224"/>
    <mergeCell ref="K160:M160"/>
    <mergeCell ref="K155:M155"/>
    <mergeCell ref="D187:I187"/>
    <mergeCell ref="D191:Q193"/>
    <mergeCell ref="K176:M176"/>
    <mergeCell ref="I169:J169"/>
    <mergeCell ref="K172:M172"/>
    <mergeCell ref="O172:Q172"/>
    <mergeCell ref="D179:I179"/>
    <mergeCell ref="O187:Q187"/>
    <mergeCell ref="K187:M187"/>
    <mergeCell ref="O186:Q186"/>
    <mergeCell ref="K188:M188"/>
    <mergeCell ref="K189:M189"/>
    <mergeCell ref="O188:Q188"/>
    <mergeCell ref="K184:M184"/>
    <mergeCell ref="O184:Q184"/>
    <mergeCell ref="O176:Q176"/>
    <mergeCell ref="K177:M177"/>
    <mergeCell ref="K152:M152"/>
    <mergeCell ref="K153:M153"/>
    <mergeCell ref="K154:M154"/>
    <mergeCell ref="K167:M167"/>
    <mergeCell ref="K171:M171"/>
    <mergeCell ref="O171:Q171"/>
    <mergeCell ref="O167:Q167"/>
    <mergeCell ref="K169:M169"/>
    <mergeCell ref="O169:Q169"/>
    <mergeCell ref="O177:Q177"/>
    <mergeCell ref="K173:M173"/>
    <mergeCell ref="O173:Q173"/>
    <mergeCell ref="K174:M174"/>
    <mergeCell ref="O174:Q174"/>
    <mergeCell ref="K175:M175"/>
    <mergeCell ref="O175:Q175"/>
    <mergeCell ref="K183:M183"/>
    <mergeCell ref="O183:Q183"/>
    <mergeCell ref="O182:Q182"/>
    <mergeCell ref="K182:M182"/>
    <mergeCell ref="M60:N60"/>
    <mergeCell ref="J62:K62"/>
    <mergeCell ref="M65:N65"/>
    <mergeCell ref="M59:N59"/>
    <mergeCell ref="R146:S146"/>
    <mergeCell ref="D88:I88"/>
    <mergeCell ref="J88:K88"/>
    <mergeCell ref="D87:I87"/>
    <mergeCell ref="J87:K87"/>
    <mergeCell ref="D84:I84"/>
    <mergeCell ref="J84:K84"/>
    <mergeCell ref="D85:I85"/>
    <mergeCell ref="J85:K85"/>
    <mergeCell ref="M116:N116"/>
    <mergeCell ref="K121:M121"/>
    <mergeCell ref="O121:Q121"/>
    <mergeCell ref="M94:O94"/>
    <mergeCell ref="M96:O96"/>
    <mergeCell ref="M98:O98"/>
    <mergeCell ref="M100:O100"/>
    <mergeCell ref="M102:O102"/>
    <mergeCell ref="K126:M126"/>
    <mergeCell ref="O127:Q127"/>
    <mergeCell ref="K138:M138"/>
    <mergeCell ref="H66:I66"/>
    <mergeCell ref="E2:S5"/>
    <mergeCell ref="C27:J27"/>
    <mergeCell ref="L27:O27"/>
    <mergeCell ref="C29:J29"/>
    <mergeCell ref="L29:O29"/>
    <mergeCell ref="C31:J31"/>
    <mergeCell ref="L31:O31"/>
    <mergeCell ref="M50:N50"/>
    <mergeCell ref="M51:N51"/>
    <mergeCell ref="O39:R39"/>
    <mergeCell ref="O41:R41"/>
    <mergeCell ref="F41:G41"/>
    <mergeCell ref="O43:R43"/>
    <mergeCell ref="F45:G45"/>
    <mergeCell ref="O45:P45"/>
    <mergeCell ref="F43:G43"/>
    <mergeCell ref="J55:K55"/>
    <mergeCell ref="M55:N55"/>
    <mergeCell ref="J57:K57"/>
    <mergeCell ref="M57:N57"/>
    <mergeCell ref="J59:K59"/>
    <mergeCell ref="F39:G39"/>
    <mergeCell ref="F40:G40"/>
    <mergeCell ref="F42:G42"/>
    <mergeCell ref="F44:G44"/>
    <mergeCell ref="F38:G38"/>
    <mergeCell ref="O47:P47"/>
    <mergeCell ref="O40:R40"/>
    <mergeCell ref="O42:R42"/>
    <mergeCell ref="R169:S169"/>
    <mergeCell ref="O44:R44"/>
    <mergeCell ref="J79:K79"/>
    <mergeCell ref="J53:K53"/>
    <mergeCell ref="J51:K51"/>
    <mergeCell ref="J50:K50"/>
    <mergeCell ref="J49:K49"/>
    <mergeCell ref="J56:K56"/>
    <mergeCell ref="J58:K58"/>
    <mergeCell ref="J61:K61"/>
    <mergeCell ref="J63:K63"/>
    <mergeCell ref="J65:K65"/>
    <mergeCell ref="J66:K66"/>
    <mergeCell ref="J69:K69"/>
    <mergeCell ref="J52:K52"/>
    <mergeCell ref="M52:N52"/>
    <mergeCell ref="J54:K54"/>
    <mergeCell ref="M54:N54"/>
    <mergeCell ref="I181:J181"/>
    <mergeCell ref="R181:S181"/>
    <mergeCell ref="K156:M156"/>
    <mergeCell ref="O156:Q156"/>
    <mergeCell ref="D167:I167"/>
    <mergeCell ref="O158:Q158"/>
    <mergeCell ref="O159:Q159"/>
    <mergeCell ref="O160:Q160"/>
    <mergeCell ref="O161:Q161"/>
    <mergeCell ref="O157:Q157"/>
    <mergeCell ref="K181:M181"/>
    <mergeCell ref="O181:Q181"/>
    <mergeCell ref="K180:M180"/>
    <mergeCell ref="O180:Q180"/>
    <mergeCell ref="K157:M157"/>
    <mergeCell ref="K164:M164"/>
    <mergeCell ref="K165:M165"/>
    <mergeCell ref="K161:M161"/>
    <mergeCell ref="K162:M162"/>
    <mergeCell ref="K163:M163"/>
    <mergeCell ref="O165:Q165"/>
    <mergeCell ref="K158:M158"/>
    <mergeCell ref="K159:M159"/>
    <mergeCell ref="O164:Q164"/>
    <mergeCell ref="D293:I293"/>
    <mergeCell ref="I285:J285"/>
    <mergeCell ref="K288:M288"/>
    <mergeCell ref="O288:Q288"/>
    <mergeCell ref="K289:M289"/>
    <mergeCell ref="O289:Q289"/>
    <mergeCell ref="K290:M290"/>
    <mergeCell ref="O290:Q290"/>
    <mergeCell ref="K291:M291"/>
    <mergeCell ref="O291:Q291"/>
    <mergeCell ref="O285:Q285"/>
    <mergeCell ref="R285:S285"/>
    <mergeCell ref="R117:S117"/>
    <mergeCell ref="K284:M284"/>
    <mergeCell ref="O284:Q284"/>
    <mergeCell ref="K287:M287"/>
    <mergeCell ref="O287:Q287"/>
    <mergeCell ref="K293:M293"/>
    <mergeCell ref="R148:S148"/>
    <mergeCell ref="O152:Q152"/>
    <mergeCell ref="O153:Q153"/>
    <mergeCell ref="O154:Q154"/>
    <mergeCell ref="O155:Q155"/>
    <mergeCell ref="K202:M202"/>
    <mergeCell ref="O124:Q124"/>
    <mergeCell ref="K123:M123"/>
    <mergeCell ref="O123:Q123"/>
    <mergeCell ref="K122:M122"/>
    <mergeCell ref="O122:Q122"/>
    <mergeCell ref="K120:M120"/>
    <mergeCell ref="O212:Q212"/>
    <mergeCell ref="K213:M213"/>
    <mergeCell ref="O213:Q213"/>
    <mergeCell ref="O162:Q162"/>
    <mergeCell ref="O163:Q163"/>
    <mergeCell ref="M53:N53"/>
    <mergeCell ref="M56:N56"/>
    <mergeCell ref="M62:N62"/>
    <mergeCell ref="J64:K64"/>
    <mergeCell ref="M64:N64"/>
    <mergeCell ref="O150:Q150"/>
    <mergeCell ref="O151:Q151"/>
    <mergeCell ref="K146:M146"/>
    <mergeCell ref="O146:Q146"/>
    <mergeCell ref="K147:M147"/>
    <mergeCell ref="K150:M150"/>
    <mergeCell ref="K151:M151"/>
    <mergeCell ref="J67:K67"/>
    <mergeCell ref="J71:K71"/>
    <mergeCell ref="M66:N66"/>
    <mergeCell ref="M69:N69"/>
    <mergeCell ref="M71:N71"/>
    <mergeCell ref="M58:N58"/>
    <mergeCell ref="M61:N61"/>
    <mergeCell ref="M63:N63"/>
    <mergeCell ref="M67:N67"/>
    <mergeCell ref="J70:K70"/>
    <mergeCell ref="M70:N70"/>
    <mergeCell ref="J60:K60"/>
    <mergeCell ref="M104:O104"/>
    <mergeCell ref="M101:O101"/>
    <mergeCell ref="M103:O103"/>
    <mergeCell ref="M118:N118"/>
    <mergeCell ref="O131:Q131"/>
    <mergeCell ref="K149:M149"/>
    <mergeCell ref="I148:J148"/>
    <mergeCell ref="P116:Q116"/>
    <mergeCell ref="P118:Q118"/>
    <mergeCell ref="M141:N141"/>
    <mergeCell ref="P141:Q141"/>
    <mergeCell ref="O126:Q126"/>
    <mergeCell ref="K125:M125"/>
    <mergeCell ref="O125:Q125"/>
    <mergeCell ref="O129:Q129"/>
    <mergeCell ref="O148:Q148"/>
    <mergeCell ref="C110:Q112"/>
    <mergeCell ref="K128:M128"/>
    <mergeCell ref="O128:Q128"/>
    <mergeCell ref="K127:M127"/>
    <mergeCell ref="K131:M131"/>
    <mergeCell ref="K145:M145"/>
    <mergeCell ref="O145:Q145"/>
    <mergeCell ref="I146:J146"/>
    <mergeCell ref="H69:I69"/>
    <mergeCell ref="J68:K68"/>
    <mergeCell ref="M68:N68"/>
    <mergeCell ref="D80:I80"/>
    <mergeCell ref="J80:K80"/>
    <mergeCell ref="M93:O93"/>
    <mergeCell ref="M95:O95"/>
    <mergeCell ref="M97:O97"/>
    <mergeCell ref="M99:O99"/>
    <mergeCell ref="D81:I81"/>
    <mergeCell ref="D83:I83"/>
    <mergeCell ref="J83:K83"/>
    <mergeCell ref="J81:K81"/>
    <mergeCell ref="D82:I82"/>
    <mergeCell ref="J82:K82"/>
    <mergeCell ref="C76:F76"/>
    <mergeCell ref="J76:K76"/>
    <mergeCell ref="D77:I77"/>
    <mergeCell ref="J77:K77"/>
    <mergeCell ref="D78:I78"/>
    <mergeCell ref="J78:K78"/>
    <mergeCell ref="H63:I63"/>
    <mergeCell ref="K124:M124"/>
    <mergeCell ref="K294:M294"/>
    <mergeCell ref="O294:Q294"/>
    <mergeCell ref="O147:Q147"/>
    <mergeCell ref="O149:Q149"/>
    <mergeCell ref="K166:M166"/>
    <mergeCell ref="O166:Q166"/>
    <mergeCell ref="K168:M168"/>
    <mergeCell ref="O168:Q168"/>
    <mergeCell ref="K170:M170"/>
    <mergeCell ref="O170:Q170"/>
    <mergeCell ref="K178:M178"/>
    <mergeCell ref="O178:Q178"/>
    <mergeCell ref="K185:M185"/>
    <mergeCell ref="O185:Q185"/>
    <mergeCell ref="K179:M179"/>
    <mergeCell ref="O179:Q179"/>
    <mergeCell ref="O293:Q293"/>
    <mergeCell ref="K286:M286"/>
    <mergeCell ref="O286:Q286"/>
    <mergeCell ref="K292:M292"/>
    <mergeCell ref="O292:Q292"/>
    <mergeCell ref="K148:M148"/>
    <mergeCell ref="H65:I65"/>
    <mergeCell ref="O190:Q190"/>
    <mergeCell ref="F47:G47"/>
    <mergeCell ref="C28:J28"/>
    <mergeCell ref="C30:J30"/>
    <mergeCell ref="L28:O28"/>
    <mergeCell ref="L30:O30"/>
    <mergeCell ref="K301:M301"/>
    <mergeCell ref="O301:Q301"/>
    <mergeCell ref="H52:I52"/>
    <mergeCell ref="H53:I53"/>
    <mergeCell ref="H54:I54"/>
    <mergeCell ref="H55:I55"/>
    <mergeCell ref="H57:I57"/>
    <mergeCell ref="H59:I59"/>
    <mergeCell ref="H60:I60"/>
    <mergeCell ref="H62:I62"/>
    <mergeCell ref="H64:I64"/>
    <mergeCell ref="H67:I67"/>
    <mergeCell ref="H68:I68"/>
    <mergeCell ref="H70:I70"/>
    <mergeCell ref="H56:I56"/>
    <mergeCell ref="H58:I58"/>
    <mergeCell ref="H61:I61"/>
  </mergeCells>
  <dataValidations count="14">
    <dataValidation type="list" allowBlank="1" showInputMessage="1" showErrorMessage="1" sqref="M100:N100">
      <formula1>$A$367:$A$372</formula1>
    </dataValidation>
    <dataValidation type="list" allowBlank="1" showInputMessage="1" showErrorMessage="1" sqref="O39:R39">
      <formula1>$A$489:$A$495</formula1>
    </dataValidation>
    <dataValidation type="list" allowBlank="1" showInputMessage="1" showErrorMessage="1" sqref="M96">
      <formula1>$A$921:$A$930</formula1>
    </dataValidation>
    <dataValidation type="list" allowBlank="1" showInputMessage="1" showErrorMessage="1" sqref="M98">
      <formula1>$A$915:$A$918</formula1>
    </dataValidation>
    <dataValidation type="list" allowBlank="1" showInputMessage="1" showErrorMessage="1" sqref="M94">
      <formula1>$A$908:$A$911</formula1>
    </dataValidation>
    <dataValidation type="list" allowBlank="1" showInputMessage="1" showErrorMessage="1" sqref="O41">
      <formula1>$A$895:$A$905</formula1>
    </dataValidation>
    <dataValidation type="list" allowBlank="1" showInputMessage="1" showErrorMessage="1" sqref="M52:N52 M67:N68 M54:N55 M62:N62 M57:N57 M59:N60 M64:N64 M70:N70">
      <formula1>$A$886:$A$893</formula1>
    </dataValidation>
    <dataValidation type="whole" allowBlank="1" showInputMessage="1" showErrorMessage="1" sqref="F39">
      <formula1>10</formula1>
      <formula2>1000000000</formula2>
    </dataValidation>
    <dataValidation type="list" allowBlank="1" showInputMessage="1" showErrorMessage="1" sqref="O43:R43">
      <formula1>$A$730:$A$884</formula1>
    </dataValidation>
    <dataValidation type="list" allowBlank="1" showInputMessage="1" showErrorMessage="1" sqref="K279">
      <formula1>$A$1333:$A$1355</formula1>
    </dataValidation>
    <dataValidation type="list" allowBlank="1" showInputMessage="1" showErrorMessage="1" sqref="M279">
      <formula1>$C$1333:$C$1355</formula1>
    </dataValidation>
    <dataValidation type="list" allowBlank="1" showInputMessage="1" showErrorMessage="1" sqref="O279">
      <formula1>$D$1333:$D$1353</formula1>
    </dataValidation>
    <dataValidation type="list" allowBlank="1" showInputMessage="1" showErrorMessage="1" sqref="Q279">
      <formula1>$E$1333:$E$1343</formula1>
    </dataValidation>
    <dataValidation type="list" allowBlank="1" showInputMessage="1" showErrorMessage="1" sqref="M104:N104">
      <formula1>$A$1187:$A$1189</formula1>
    </dataValidation>
  </dataValidations>
  <hyperlinks>
    <hyperlink ref="N6" r:id="rId1"/>
  </hyperlinks>
  <pageMargins left="0.23622047244094491" right="0.23622047244094491" top="0" bottom="0" header="0" footer="0"/>
  <pageSetup paperSize="9" scale="58"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4162" r:id="rId5" name="Check Box 130">
              <controlPr defaultSize="0" autoFill="0" autoLine="0" autoPict="0">
                <anchor moveWithCells="1">
                  <from>
                    <xdr:col>7</xdr:col>
                    <xdr:colOff>190500</xdr:colOff>
                    <xdr:row>118</xdr:row>
                    <xdr:rowOff>0</xdr:rowOff>
                  </from>
                  <to>
                    <xdr:col>7</xdr:col>
                    <xdr:colOff>400050</xdr:colOff>
                    <xdr:row>119</xdr:row>
                    <xdr:rowOff>9525</xdr:rowOff>
                  </to>
                </anchor>
              </controlPr>
            </control>
          </mc:Choice>
        </mc:AlternateContent>
        <mc:AlternateContent xmlns:mc="http://schemas.openxmlformats.org/markup-compatibility/2006">
          <mc:Choice Requires="x14">
            <control shapeId="44163" r:id="rId6" name="Check Box 131">
              <controlPr defaultSize="0" autoFill="0" autoLine="0" autoPict="0">
                <anchor moveWithCells="1">
                  <from>
                    <xdr:col>8</xdr:col>
                    <xdr:colOff>190500</xdr:colOff>
                    <xdr:row>118</xdr:row>
                    <xdr:rowOff>0</xdr:rowOff>
                  </from>
                  <to>
                    <xdr:col>8</xdr:col>
                    <xdr:colOff>400050</xdr:colOff>
                    <xdr:row>119</xdr:row>
                    <xdr:rowOff>9525</xdr:rowOff>
                  </to>
                </anchor>
              </controlPr>
            </control>
          </mc:Choice>
        </mc:AlternateContent>
        <mc:AlternateContent xmlns:mc="http://schemas.openxmlformats.org/markup-compatibility/2006">
          <mc:Choice Requires="x14">
            <control shapeId="44164" r:id="rId7" name="Check Box 132">
              <controlPr defaultSize="0" autoFill="0" autoLine="0" autoPict="0">
                <anchor moveWithCells="1">
                  <from>
                    <xdr:col>7</xdr:col>
                    <xdr:colOff>190500</xdr:colOff>
                    <xdr:row>119</xdr:row>
                    <xdr:rowOff>0</xdr:rowOff>
                  </from>
                  <to>
                    <xdr:col>7</xdr:col>
                    <xdr:colOff>400050</xdr:colOff>
                    <xdr:row>120</xdr:row>
                    <xdr:rowOff>9525</xdr:rowOff>
                  </to>
                </anchor>
              </controlPr>
            </control>
          </mc:Choice>
        </mc:AlternateContent>
        <mc:AlternateContent xmlns:mc="http://schemas.openxmlformats.org/markup-compatibility/2006">
          <mc:Choice Requires="x14">
            <control shapeId="44165" r:id="rId8" name="Check Box 133">
              <controlPr defaultSize="0" autoFill="0" autoLine="0" autoPict="0">
                <anchor moveWithCells="1">
                  <from>
                    <xdr:col>8</xdr:col>
                    <xdr:colOff>190500</xdr:colOff>
                    <xdr:row>119</xdr:row>
                    <xdr:rowOff>0</xdr:rowOff>
                  </from>
                  <to>
                    <xdr:col>8</xdr:col>
                    <xdr:colOff>400050</xdr:colOff>
                    <xdr:row>120</xdr:row>
                    <xdr:rowOff>9525</xdr:rowOff>
                  </to>
                </anchor>
              </controlPr>
            </control>
          </mc:Choice>
        </mc:AlternateContent>
        <mc:AlternateContent xmlns:mc="http://schemas.openxmlformats.org/markup-compatibility/2006">
          <mc:Choice Requires="x14">
            <control shapeId="44166" r:id="rId9" name="Check Box 134">
              <controlPr defaultSize="0" autoFill="0" autoLine="0" autoPict="0">
                <anchor moveWithCells="1">
                  <from>
                    <xdr:col>7</xdr:col>
                    <xdr:colOff>190500</xdr:colOff>
                    <xdr:row>121</xdr:row>
                    <xdr:rowOff>0</xdr:rowOff>
                  </from>
                  <to>
                    <xdr:col>7</xdr:col>
                    <xdr:colOff>400050</xdr:colOff>
                    <xdr:row>122</xdr:row>
                    <xdr:rowOff>9525</xdr:rowOff>
                  </to>
                </anchor>
              </controlPr>
            </control>
          </mc:Choice>
        </mc:AlternateContent>
        <mc:AlternateContent xmlns:mc="http://schemas.openxmlformats.org/markup-compatibility/2006">
          <mc:Choice Requires="x14">
            <control shapeId="44167" r:id="rId10" name="Check Box 135">
              <controlPr defaultSize="0" autoFill="0" autoLine="0" autoPict="0">
                <anchor moveWithCells="1">
                  <from>
                    <xdr:col>8</xdr:col>
                    <xdr:colOff>190500</xdr:colOff>
                    <xdr:row>121</xdr:row>
                    <xdr:rowOff>0</xdr:rowOff>
                  </from>
                  <to>
                    <xdr:col>8</xdr:col>
                    <xdr:colOff>400050</xdr:colOff>
                    <xdr:row>122</xdr:row>
                    <xdr:rowOff>9525</xdr:rowOff>
                  </to>
                </anchor>
              </controlPr>
            </control>
          </mc:Choice>
        </mc:AlternateContent>
        <mc:AlternateContent xmlns:mc="http://schemas.openxmlformats.org/markup-compatibility/2006">
          <mc:Choice Requires="x14">
            <control shapeId="44168" r:id="rId11" name="Check Box 136">
              <controlPr defaultSize="0" autoFill="0" autoLine="0" autoPict="0">
                <anchor moveWithCells="1">
                  <from>
                    <xdr:col>7</xdr:col>
                    <xdr:colOff>190500</xdr:colOff>
                    <xdr:row>122</xdr:row>
                    <xdr:rowOff>0</xdr:rowOff>
                  </from>
                  <to>
                    <xdr:col>7</xdr:col>
                    <xdr:colOff>400050</xdr:colOff>
                    <xdr:row>123</xdr:row>
                    <xdr:rowOff>9525</xdr:rowOff>
                  </to>
                </anchor>
              </controlPr>
            </control>
          </mc:Choice>
        </mc:AlternateContent>
        <mc:AlternateContent xmlns:mc="http://schemas.openxmlformats.org/markup-compatibility/2006">
          <mc:Choice Requires="x14">
            <control shapeId="44169" r:id="rId12" name="Check Box 137">
              <controlPr defaultSize="0" autoFill="0" autoLine="0" autoPict="0">
                <anchor moveWithCells="1">
                  <from>
                    <xdr:col>8</xdr:col>
                    <xdr:colOff>190500</xdr:colOff>
                    <xdr:row>122</xdr:row>
                    <xdr:rowOff>0</xdr:rowOff>
                  </from>
                  <to>
                    <xdr:col>8</xdr:col>
                    <xdr:colOff>400050</xdr:colOff>
                    <xdr:row>123</xdr:row>
                    <xdr:rowOff>9525</xdr:rowOff>
                  </to>
                </anchor>
              </controlPr>
            </control>
          </mc:Choice>
        </mc:AlternateContent>
        <mc:AlternateContent xmlns:mc="http://schemas.openxmlformats.org/markup-compatibility/2006">
          <mc:Choice Requires="x14">
            <control shapeId="44170" r:id="rId13" name="Check Box 138">
              <controlPr defaultSize="0" autoFill="0" autoLine="0" autoPict="0">
                <anchor moveWithCells="1">
                  <from>
                    <xdr:col>7</xdr:col>
                    <xdr:colOff>190500</xdr:colOff>
                    <xdr:row>123</xdr:row>
                    <xdr:rowOff>0</xdr:rowOff>
                  </from>
                  <to>
                    <xdr:col>7</xdr:col>
                    <xdr:colOff>400050</xdr:colOff>
                    <xdr:row>124</xdr:row>
                    <xdr:rowOff>9525</xdr:rowOff>
                  </to>
                </anchor>
              </controlPr>
            </control>
          </mc:Choice>
        </mc:AlternateContent>
        <mc:AlternateContent xmlns:mc="http://schemas.openxmlformats.org/markup-compatibility/2006">
          <mc:Choice Requires="x14">
            <control shapeId="44171" r:id="rId14" name="Check Box 139">
              <controlPr defaultSize="0" autoFill="0" autoLine="0" autoPict="0">
                <anchor moveWithCells="1">
                  <from>
                    <xdr:col>8</xdr:col>
                    <xdr:colOff>190500</xdr:colOff>
                    <xdr:row>123</xdr:row>
                    <xdr:rowOff>0</xdr:rowOff>
                  </from>
                  <to>
                    <xdr:col>8</xdr:col>
                    <xdr:colOff>400050</xdr:colOff>
                    <xdr:row>124</xdr:row>
                    <xdr:rowOff>9525</xdr:rowOff>
                  </to>
                </anchor>
              </controlPr>
            </control>
          </mc:Choice>
        </mc:AlternateContent>
        <mc:AlternateContent xmlns:mc="http://schemas.openxmlformats.org/markup-compatibility/2006">
          <mc:Choice Requires="x14">
            <control shapeId="44172" r:id="rId15" name="Check Box 140">
              <controlPr defaultSize="0" autoFill="0" autoLine="0" autoPict="0">
                <anchor moveWithCells="1">
                  <from>
                    <xdr:col>7</xdr:col>
                    <xdr:colOff>190500</xdr:colOff>
                    <xdr:row>124</xdr:row>
                    <xdr:rowOff>0</xdr:rowOff>
                  </from>
                  <to>
                    <xdr:col>7</xdr:col>
                    <xdr:colOff>400050</xdr:colOff>
                    <xdr:row>125</xdr:row>
                    <xdr:rowOff>9525</xdr:rowOff>
                  </to>
                </anchor>
              </controlPr>
            </control>
          </mc:Choice>
        </mc:AlternateContent>
        <mc:AlternateContent xmlns:mc="http://schemas.openxmlformats.org/markup-compatibility/2006">
          <mc:Choice Requires="x14">
            <control shapeId="44173" r:id="rId16" name="Check Box 141">
              <controlPr defaultSize="0" autoFill="0" autoLine="0" autoPict="0">
                <anchor moveWithCells="1">
                  <from>
                    <xdr:col>8</xdr:col>
                    <xdr:colOff>190500</xdr:colOff>
                    <xdr:row>124</xdr:row>
                    <xdr:rowOff>0</xdr:rowOff>
                  </from>
                  <to>
                    <xdr:col>8</xdr:col>
                    <xdr:colOff>400050</xdr:colOff>
                    <xdr:row>125</xdr:row>
                    <xdr:rowOff>9525</xdr:rowOff>
                  </to>
                </anchor>
              </controlPr>
            </control>
          </mc:Choice>
        </mc:AlternateContent>
        <mc:AlternateContent xmlns:mc="http://schemas.openxmlformats.org/markup-compatibility/2006">
          <mc:Choice Requires="x14">
            <control shapeId="44174" r:id="rId17" name="Check Box 142">
              <controlPr defaultSize="0" autoFill="0" autoLine="0" autoPict="0">
                <anchor moveWithCells="1">
                  <from>
                    <xdr:col>8</xdr:col>
                    <xdr:colOff>190500</xdr:colOff>
                    <xdr:row>125</xdr:row>
                    <xdr:rowOff>0</xdr:rowOff>
                  </from>
                  <to>
                    <xdr:col>8</xdr:col>
                    <xdr:colOff>400050</xdr:colOff>
                    <xdr:row>126</xdr:row>
                    <xdr:rowOff>9525</xdr:rowOff>
                  </to>
                </anchor>
              </controlPr>
            </control>
          </mc:Choice>
        </mc:AlternateContent>
        <mc:AlternateContent xmlns:mc="http://schemas.openxmlformats.org/markup-compatibility/2006">
          <mc:Choice Requires="x14">
            <control shapeId="44175" r:id="rId18" name="Check Box 143">
              <controlPr defaultSize="0" autoFill="0" autoLine="0" autoPict="0">
                <anchor moveWithCells="1">
                  <from>
                    <xdr:col>7</xdr:col>
                    <xdr:colOff>190500</xdr:colOff>
                    <xdr:row>125</xdr:row>
                    <xdr:rowOff>0</xdr:rowOff>
                  </from>
                  <to>
                    <xdr:col>7</xdr:col>
                    <xdr:colOff>400050</xdr:colOff>
                    <xdr:row>126</xdr:row>
                    <xdr:rowOff>9525</xdr:rowOff>
                  </to>
                </anchor>
              </controlPr>
            </control>
          </mc:Choice>
        </mc:AlternateContent>
        <mc:AlternateContent xmlns:mc="http://schemas.openxmlformats.org/markup-compatibility/2006">
          <mc:Choice Requires="x14">
            <control shapeId="44176" r:id="rId19" name="Check Box 144">
              <controlPr defaultSize="0" autoFill="0" autoLine="0" autoPict="0">
                <anchor moveWithCells="1">
                  <from>
                    <xdr:col>7</xdr:col>
                    <xdr:colOff>190500</xdr:colOff>
                    <xdr:row>126</xdr:row>
                    <xdr:rowOff>0</xdr:rowOff>
                  </from>
                  <to>
                    <xdr:col>7</xdr:col>
                    <xdr:colOff>400050</xdr:colOff>
                    <xdr:row>127</xdr:row>
                    <xdr:rowOff>9525</xdr:rowOff>
                  </to>
                </anchor>
              </controlPr>
            </control>
          </mc:Choice>
        </mc:AlternateContent>
        <mc:AlternateContent xmlns:mc="http://schemas.openxmlformats.org/markup-compatibility/2006">
          <mc:Choice Requires="x14">
            <control shapeId="44177" r:id="rId20" name="Check Box 145">
              <controlPr defaultSize="0" autoFill="0" autoLine="0" autoPict="0">
                <anchor moveWithCells="1">
                  <from>
                    <xdr:col>8</xdr:col>
                    <xdr:colOff>190500</xdr:colOff>
                    <xdr:row>126</xdr:row>
                    <xdr:rowOff>0</xdr:rowOff>
                  </from>
                  <to>
                    <xdr:col>8</xdr:col>
                    <xdr:colOff>400050</xdr:colOff>
                    <xdr:row>127</xdr:row>
                    <xdr:rowOff>9525</xdr:rowOff>
                  </to>
                </anchor>
              </controlPr>
            </control>
          </mc:Choice>
        </mc:AlternateContent>
        <mc:AlternateContent xmlns:mc="http://schemas.openxmlformats.org/markup-compatibility/2006">
          <mc:Choice Requires="x14">
            <control shapeId="44178" r:id="rId21" name="Check Box 146">
              <controlPr defaultSize="0" autoFill="0" autoLine="0" autoPict="0">
                <anchor moveWithCells="1">
                  <from>
                    <xdr:col>8</xdr:col>
                    <xdr:colOff>190500</xdr:colOff>
                    <xdr:row>127</xdr:row>
                    <xdr:rowOff>0</xdr:rowOff>
                  </from>
                  <to>
                    <xdr:col>8</xdr:col>
                    <xdr:colOff>400050</xdr:colOff>
                    <xdr:row>128</xdr:row>
                    <xdr:rowOff>9525</xdr:rowOff>
                  </to>
                </anchor>
              </controlPr>
            </control>
          </mc:Choice>
        </mc:AlternateContent>
        <mc:AlternateContent xmlns:mc="http://schemas.openxmlformats.org/markup-compatibility/2006">
          <mc:Choice Requires="x14">
            <control shapeId="44179" r:id="rId22" name="Check Box 147">
              <controlPr defaultSize="0" autoFill="0" autoLine="0" autoPict="0">
                <anchor moveWithCells="1">
                  <from>
                    <xdr:col>7</xdr:col>
                    <xdr:colOff>190500</xdr:colOff>
                    <xdr:row>127</xdr:row>
                    <xdr:rowOff>0</xdr:rowOff>
                  </from>
                  <to>
                    <xdr:col>7</xdr:col>
                    <xdr:colOff>400050</xdr:colOff>
                    <xdr:row>128</xdr:row>
                    <xdr:rowOff>9525</xdr:rowOff>
                  </to>
                </anchor>
              </controlPr>
            </control>
          </mc:Choice>
        </mc:AlternateContent>
        <mc:AlternateContent xmlns:mc="http://schemas.openxmlformats.org/markup-compatibility/2006">
          <mc:Choice Requires="x14">
            <control shapeId="44180" r:id="rId23" name="Check Box 148">
              <controlPr defaultSize="0" autoFill="0" autoLine="0" autoPict="0">
                <anchor moveWithCells="1">
                  <from>
                    <xdr:col>7</xdr:col>
                    <xdr:colOff>190500</xdr:colOff>
                    <xdr:row>128</xdr:row>
                    <xdr:rowOff>0</xdr:rowOff>
                  </from>
                  <to>
                    <xdr:col>7</xdr:col>
                    <xdr:colOff>400050</xdr:colOff>
                    <xdr:row>129</xdr:row>
                    <xdr:rowOff>9525</xdr:rowOff>
                  </to>
                </anchor>
              </controlPr>
            </control>
          </mc:Choice>
        </mc:AlternateContent>
        <mc:AlternateContent xmlns:mc="http://schemas.openxmlformats.org/markup-compatibility/2006">
          <mc:Choice Requires="x14">
            <control shapeId="44181" r:id="rId24" name="Check Box 149">
              <controlPr defaultSize="0" autoFill="0" autoLine="0" autoPict="0">
                <anchor moveWithCells="1">
                  <from>
                    <xdr:col>8</xdr:col>
                    <xdr:colOff>190500</xdr:colOff>
                    <xdr:row>128</xdr:row>
                    <xdr:rowOff>0</xdr:rowOff>
                  </from>
                  <to>
                    <xdr:col>8</xdr:col>
                    <xdr:colOff>400050</xdr:colOff>
                    <xdr:row>129</xdr:row>
                    <xdr:rowOff>9525</xdr:rowOff>
                  </to>
                </anchor>
              </controlPr>
            </control>
          </mc:Choice>
        </mc:AlternateContent>
        <mc:AlternateContent xmlns:mc="http://schemas.openxmlformats.org/markup-compatibility/2006">
          <mc:Choice Requires="x14">
            <control shapeId="44182" r:id="rId25" name="Check Box 150">
              <controlPr defaultSize="0" autoFill="0" autoLine="0" autoPict="0">
                <anchor moveWithCells="1">
                  <from>
                    <xdr:col>8</xdr:col>
                    <xdr:colOff>190500</xdr:colOff>
                    <xdr:row>129</xdr:row>
                    <xdr:rowOff>0</xdr:rowOff>
                  </from>
                  <to>
                    <xdr:col>8</xdr:col>
                    <xdr:colOff>400050</xdr:colOff>
                    <xdr:row>130</xdr:row>
                    <xdr:rowOff>9525</xdr:rowOff>
                  </to>
                </anchor>
              </controlPr>
            </control>
          </mc:Choice>
        </mc:AlternateContent>
        <mc:AlternateContent xmlns:mc="http://schemas.openxmlformats.org/markup-compatibility/2006">
          <mc:Choice Requires="x14">
            <control shapeId="44183" r:id="rId26" name="Check Box 151">
              <controlPr defaultSize="0" autoFill="0" autoLine="0" autoPict="0">
                <anchor moveWithCells="1">
                  <from>
                    <xdr:col>7</xdr:col>
                    <xdr:colOff>190500</xdr:colOff>
                    <xdr:row>129</xdr:row>
                    <xdr:rowOff>0</xdr:rowOff>
                  </from>
                  <to>
                    <xdr:col>7</xdr:col>
                    <xdr:colOff>400050</xdr:colOff>
                    <xdr:row>130</xdr:row>
                    <xdr:rowOff>9525</xdr:rowOff>
                  </to>
                </anchor>
              </controlPr>
            </control>
          </mc:Choice>
        </mc:AlternateContent>
        <mc:AlternateContent xmlns:mc="http://schemas.openxmlformats.org/markup-compatibility/2006">
          <mc:Choice Requires="x14">
            <control shapeId="44184" r:id="rId27" name="Check Box 152">
              <controlPr defaultSize="0" autoFill="0" autoLine="0" autoPict="0">
                <anchor moveWithCells="1">
                  <from>
                    <xdr:col>7</xdr:col>
                    <xdr:colOff>190500</xdr:colOff>
                    <xdr:row>131</xdr:row>
                    <xdr:rowOff>0</xdr:rowOff>
                  </from>
                  <to>
                    <xdr:col>7</xdr:col>
                    <xdr:colOff>400050</xdr:colOff>
                    <xdr:row>132</xdr:row>
                    <xdr:rowOff>9525</xdr:rowOff>
                  </to>
                </anchor>
              </controlPr>
            </control>
          </mc:Choice>
        </mc:AlternateContent>
        <mc:AlternateContent xmlns:mc="http://schemas.openxmlformats.org/markup-compatibility/2006">
          <mc:Choice Requires="x14">
            <control shapeId="44185" r:id="rId28" name="Check Box 153">
              <controlPr defaultSize="0" autoFill="0" autoLine="0" autoPict="0">
                <anchor moveWithCells="1">
                  <from>
                    <xdr:col>8</xdr:col>
                    <xdr:colOff>190500</xdr:colOff>
                    <xdr:row>131</xdr:row>
                    <xdr:rowOff>0</xdr:rowOff>
                  </from>
                  <to>
                    <xdr:col>8</xdr:col>
                    <xdr:colOff>400050</xdr:colOff>
                    <xdr:row>132</xdr:row>
                    <xdr:rowOff>9525</xdr:rowOff>
                  </to>
                </anchor>
              </controlPr>
            </control>
          </mc:Choice>
        </mc:AlternateContent>
        <mc:AlternateContent xmlns:mc="http://schemas.openxmlformats.org/markup-compatibility/2006">
          <mc:Choice Requires="x14">
            <control shapeId="44186" r:id="rId29" name="Check Box 154">
              <controlPr defaultSize="0" autoFill="0" autoLine="0" autoPict="0">
                <anchor moveWithCells="1">
                  <from>
                    <xdr:col>7</xdr:col>
                    <xdr:colOff>190500</xdr:colOff>
                    <xdr:row>132</xdr:row>
                    <xdr:rowOff>0</xdr:rowOff>
                  </from>
                  <to>
                    <xdr:col>7</xdr:col>
                    <xdr:colOff>400050</xdr:colOff>
                    <xdr:row>133</xdr:row>
                    <xdr:rowOff>9525</xdr:rowOff>
                  </to>
                </anchor>
              </controlPr>
            </control>
          </mc:Choice>
        </mc:AlternateContent>
        <mc:AlternateContent xmlns:mc="http://schemas.openxmlformats.org/markup-compatibility/2006">
          <mc:Choice Requires="x14">
            <control shapeId="44187" r:id="rId30" name="Check Box 155">
              <controlPr defaultSize="0" autoFill="0" autoLine="0" autoPict="0">
                <anchor moveWithCells="1">
                  <from>
                    <xdr:col>8</xdr:col>
                    <xdr:colOff>190500</xdr:colOff>
                    <xdr:row>132</xdr:row>
                    <xdr:rowOff>0</xdr:rowOff>
                  </from>
                  <to>
                    <xdr:col>8</xdr:col>
                    <xdr:colOff>400050</xdr:colOff>
                    <xdr:row>133</xdr:row>
                    <xdr:rowOff>9525</xdr:rowOff>
                  </to>
                </anchor>
              </controlPr>
            </control>
          </mc:Choice>
        </mc:AlternateContent>
        <mc:AlternateContent xmlns:mc="http://schemas.openxmlformats.org/markup-compatibility/2006">
          <mc:Choice Requires="x14">
            <control shapeId="44188" r:id="rId31" name="Check Box 156">
              <controlPr defaultSize="0" autoFill="0" autoLine="0" autoPict="0">
                <anchor moveWithCells="1">
                  <from>
                    <xdr:col>7</xdr:col>
                    <xdr:colOff>190500</xdr:colOff>
                    <xdr:row>133</xdr:row>
                    <xdr:rowOff>0</xdr:rowOff>
                  </from>
                  <to>
                    <xdr:col>7</xdr:col>
                    <xdr:colOff>400050</xdr:colOff>
                    <xdr:row>134</xdr:row>
                    <xdr:rowOff>9525</xdr:rowOff>
                  </to>
                </anchor>
              </controlPr>
            </control>
          </mc:Choice>
        </mc:AlternateContent>
        <mc:AlternateContent xmlns:mc="http://schemas.openxmlformats.org/markup-compatibility/2006">
          <mc:Choice Requires="x14">
            <control shapeId="44189" r:id="rId32" name="Check Box 157">
              <controlPr defaultSize="0" autoFill="0" autoLine="0" autoPict="0">
                <anchor moveWithCells="1">
                  <from>
                    <xdr:col>8</xdr:col>
                    <xdr:colOff>190500</xdr:colOff>
                    <xdr:row>133</xdr:row>
                    <xdr:rowOff>0</xdr:rowOff>
                  </from>
                  <to>
                    <xdr:col>8</xdr:col>
                    <xdr:colOff>400050</xdr:colOff>
                    <xdr:row>134</xdr:row>
                    <xdr:rowOff>9525</xdr:rowOff>
                  </to>
                </anchor>
              </controlPr>
            </control>
          </mc:Choice>
        </mc:AlternateContent>
        <mc:AlternateContent xmlns:mc="http://schemas.openxmlformats.org/markup-compatibility/2006">
          <mc:Choice Requires="x14">
            <control shapeId="44190" r:id="rId33" name="Check Box 158">
              <controlPr defaultSize="0" autoFill="0" autoLine="0" autoPict="0">
                <anchor moveWithCells="1">
                  <from>
                    <xdr:col>7</xdr:col>
                    <xdr:colOff>190500</xdr:colOff>
                    <xdr:row>134</xdr:row>
                    <xdr:rowOff>0</xdr:rowOff>
                  </from>
                  <to>
                    <xdr:col>7</xdr:col>
                    <xdr:colOff>400050</xdr:colOff>
                    <xdr:row>135</xdr:row>
                    <xdr:rowOff>9525</xdr:rowOff>
                  </to>
                </anchor>
              </controlPr>
            </control>
          </mc:Choice>
        </mc:AlternateContent>
        <mc:AlternateContent xmlns:mc="http://schemas.openxmlformats.org/markup-compatibility/2006">
          <mc:Choice Requires="x14">
            <control shapeId="44191" r:id="rId34" name="Check Box 159">
              <controlPr defaultSize="0" autoFill="0" autoLine="0" autoPict="0">
                <anchor moveWithCells="1">
                  <from>
                    <xdr:col>8</xdr:col>
                    <xdr:colOff>190500</xdr:colOff>
                    <xdr:row>134</xdr:row>
                    <xdr:rowOff>0</xdr:rowOff>
                  </from>
                  <to>
                    <xdr:col>8</xdr:col>
                    <xdr:colOff>400050</xdr:colOff>
                    <xdr:row>135</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3" tint="0.79998168889431442"/>
    <pageSetUpPr fitToPage="1"/>
  </sheetPr>
  <dimension ref="A1:S2042"/>
  <sheetViews>
    <sheetView workbookViewId="0">
      <selection activeCell="C27" sqref="C27:J27"/>
    </sheetView>
  </sheetViews>
  <sheetFormatPr defaultRowHeight="14.25" x14ac:dyDescent="0.2"/>
  <cols>
    <col min="1" max="1" width="4" style="1" customWidth="1"/>
    <col min="2" max="5" width="9.42578125" style="1" customWidth="1"/>
    <col min="6" max="6" width="9.7109375" style="1" customWidth="1"/>
    <col min="7" max="19" width="9.42578125" style="1" customWidth="1"/>
    <col min="20" max="16384" width="9.140625" style="1"/>
  </cols>
  <sheetData>
    <row r="1" spans="2:19" ht="15" thickBot="1" x14ac:dyDescent="0.25"/>
    <row r="2" spans="2:19" ht="15" thickTop="1" x14ac:dyDescent="0.2">
      <c r="B2" s="2"/>
      <c r="C2" s="3"/>
      <c r="D2" s="3"/>
      <c r="E2" s="636" t="s">
        <v>1086</v>
      </c>
      <c r="F2" s="636"/>
      <c r="G2" s="636"/>
      <c r="H2" s="636"/>
      <c r="I2" s="636"/>
      <c r="J2" s="636"/>
      <c r="K2" s="636"/>
      <c r="L2" s="636"/>
      <c r="M2" s="636"/>
      <c r="N2" s="636"/>
      <c r="O2" s="636"/>
      <c r="P2" s="636"/>
      <c r="Q2" s="636"/>
      <c r="R2" s="636"/>
      <c r="S2" s="637"/>
    </row>
    <row r="3" spans="2:19" x14ac:dyDescent="0.2">
      <c r="B3" s="4"/>
      <c r="C3" s="5"/>
      <c r="D3" s="5"/>
      <c r="E3" s="638"/>
      <c r="F3" s="638"/>
      <c r="G3" s="638"/>
      <c r="H3" s="638"/>
      <c r="I3" s="638"/>
      <c r="J3" s="638"/>
      <c r="K3" s="638"/>
      <c r="L3" s="638"/>
      <c r="M3" s="638"/>
      <c r="N3" s="638"/>
      <c r="O3" s="638"/>
      <c r="P3" s="638"/>
      <c r="Q3" s="638"/>
      <c r="R3" s="638"/>
      <c r="S3" s="639"/>
    </row>
    <row r="4" spans="2:19" x14ac:dyDescent="0.2">
      <c r="B4" s="4"/>
      <c r="C4" s="5"/>
      <c r="D4" s="5"/>
      <c r="E4" s="638"/>
      <c r="F4" s="638"/>
      <c r="G4" s="638"/>
      <c r="H4" s="638"/>
      <c r="I4" s="638"/>
      <c r="J4" s="638"/>
      <c r="K4" s="638"/>
      <c r="L4" s="638"/>
      <c r="M4" s="638"/>
      <c r="N4" s="638"/>
      <c r="O4" s="638"/>
      <c r="P4" s="638"/>
      <c r="Q4" s="638"/>
      <c r="R4" s="638"/>
      <c r="S4" s="639"/>
    </row>
    <row r="5" spans="2:19" x14ac:dyDescent="0.2">
      <c r="B5" s="4"/>
      <c r="C5" s="5"/>
      <c r="D5" s="5"/>
      <c r="E5" s="638"/>
      <c r="F5" s="638"/>
      <c r="G5" s="638"/>
      <c r="H5" s="638"/>
      <c r="I5" s="638"/>
      <c r="J5" s="638"/>
      <c r="K5" s="638"/>
      <c r="L5" s="638"/>
      <c r="M5" s="638"/>
      <c r="N5" s="638"/>
      <c r="O5" s="638"/>
      <c r="P5" s="638"/>
      <c r="Q5" s="638"/>
      <c r="R5" s="638"/>
      <c r="S5" s="639"/>
    </row>
    <row r="6" spans="2:19" ht="21" x14ac:dyDescent="0.35">
      <c r="B6" s="4"/>
      <c r="C6" s="5"/>
      <c r="D6" s="5"/>
      <c r="E6" s="5"/>
      <c r="F6" s="5" t="s">
        <v>1915</v>
      </c>
      <c r="G6" s="5"/>
      <c r="H6" s="5"/>
      <c r="I6" s="5"/>
      <c r="J6" s="5"/>
      <c r="K6" s="5"/>
      <c r="L6" s="5"/>
      <c r="M6" s="5"/>
      <c r="N6" s="5"/>
      <c r="O6" s="5"/>
      <c r="P6" s="127" t="s">
        <v>1085</v>
      </c>
      <c r="Q6" s="5"/>
      <c r="R6" s="5"/>
      <c r="S6" s="6"/>
    </row>
    <row r="7" spans="2:19" ht="15" x14ac:dyDescent="0.25">
      <c r="B7" s="4"/>
      <c r="C7" s="5"/>
      <c r="D7" s="5"/>
      <c r="E7" s="5"/>
      <c r="F7" s="59" t="s">
        <v>1087</v>
      </c>
      <c r="G7" s="59"/>
      <c r="H7" s="59"/>
      <c r="I7" s="59" t="s">
        <v>839</v>
      </c>
      <c r="J7" s="5"/>
      <c r="K7" s="5"/>
      <c r="L7" s="5"/>
      <c r="M7" s="5"/>
      <c r="N7" s="5"/>
      <c r="O7" s="121"/>
      <c r="P7" s="5"/>
      <c r="Q7" s="5"/>
      <c r="R7" s="5"/>
      <c r="S7" s="6"/>
    </row>
    <row r="8" spans="2:19" ht="15" x14ac:dyDescent="0.25">
      <c r="B8" s="4"/>
      <c r="C8" s="5"/>
      <c r="D8" s="5"/>
      <c r="E8" s="5"/>
      <c r="F8" s="5"/>
      <c r="G8" s="5"/>
      <c r="H8" s="5"/>
      <c r="I8" s="5"/>
      <c r="J8" s="5"/>
      <c r="K8" s="5"/>
      <c r="L8" s="5"/>
      <c r="M8" s="5"/>
      <c r="N8" s="5"/>
      <c r="O8" s="121"/>
      <c r="P8" s="5"/>
      <c r="Q8" s="5"/>
      <c r="R8" s="5"/>
      <c r="S8" s="6"/>
    </row>
    <row r="9" spans="2:19" x14ac:dyDescent="0.2">
      <c r="B9" s="4"/>
      <c r="C9" s="5"/>
      <c r="D9" s="5"/>
      <c r="E9" s="5"/>
      <c r="F9" s="8" t="s">
        <v>830</v>
      </c>
      <c r="G9" s="9"/>
      <c r="H9" s="10"/>
      <c r="I9" s="10"/>
      <c r="J9" s="10"/>
      <c r="K9" s="10"/>
      <c r="L9" s="10"/>
      <c r="M9" s="10"/>
      <c r="N9" s="10"/>
      <c r="O9" s="10"/>
      <c r="P9" s="10"/>
      <c r="Q9" s="5"/>
      <c r="R9" s="5"/>
      <c r="S9" s="6"/>
    </row>
    <row r="10" spans="2:19" x14ac:dyDescent="0.2">
      <c r="B10" s="4"/>
      <c r="C10" s="5"/>
      <c r="D10" s="5"/>
      <c r="E10" s="5"/>
      <c r="F10" s="11" t="s">
        <v>1088</v>
      </c>
      <c r="G10" s="9"/>
      <c r="H10" s="10"/>
      <c r="I10" s="10"/>
      <c r="J10" s="10"/>
      <c r="K10" s="10"/>
      <c r="L10" s="10"/>
      <c r="M10" s="10"/>
      <c r="N10" s="10"/>
      <c r="O10" s="10"/>
      <c r="P10" s="10"/>
      <c r="Q10" s="5"/>
      <c r="R10" s="5"/>
      <c r="S10" s="6"/>
    </row>
    <row r="11" spans="2:19" ht="15" x14ac:dyDescent="0.25">
      <c r="B11" s="7"/>
      <c r="C11" s="5"/>
      <c r="D11" s="5"/>
      <c r="E11" s="5"/>
      <c r="F11" s="12" t="s">
        <v>837</v>
      </c>
      <c r="G11" s="13" t="s">
        <v>1089</v>
      </c>
      <c r="H11" s="9"/>
      <c r="I11" s="10"/>
      <c r="J11" s="10"/>
      <c r="K11" s="10"/>
      <c r="L11" s="10"/>
      <c r="M11" s="10"/>
      <c r="N11" s="10"/>
      <c r="O11" s="10"/>
      <c r="P11" s="10"/>
      <c r="Q11" s="5"/>
      <c r="R11" s="5"/>
      <c r="S11" s="6"/>
    </row>
    <row r="12" spans="2:19" ht="15" x14ac:dyDescent="0.25">
      <c r="B12" s="7"/>
      <c r="C12" s="5"/>
      <c r="D12" s="5"/>
      <c r="E12" s="5"/>
      <c r="F12" s="12" t="s">
        <v>837</v>
      </c>
      <c r="G12" s="13" t="s">
        <v>1340</v>
      </c>
      <c r="H12" s="9"/>
      <c r="I12" s="10"/>
      <c r="J12" s="10"/>
      <c r="K12" s="10"/>
      <c r="L12" s="10"/>
      <c r="M12" s="10"/>
      <c r="N12" s="10"/>
      <c r="O12" s="10"/>
      <c r="P12" s="10"/>
      <c r="Q12" s="5"/>
      <c r="R12" s="5"/>
      <c r="S12" s="6"/>
    </row>
    <row r="13" spans="2:19" ht="15" x14ac:dyDescent="0.25">
      <c r="B13" s="7"/>
      <c r="C13" s="5"/>
      <c r="D13" s="5"/>
      <c r="E13" s="5"/>
      <c r="F13" s="12" t="s">
        <v>837</v>
      </c>
      <c r="G13" s="13" t="s">
        <v>1091</v>
      </c>
      <c r="H13" s="9"/>
      <c r="I13" s="10"/>
      <c r="J13" s="10"/>
      <c r="K13" s="10"/>
      <c r="L13" s="10"/>
      <c r="M13" s="10"/>
      <c r="N13" s="10"/>
      <c r="O13" s="10"/>
      <c r="P13" s="10"/>
      <c r="Q13" s="5"/>
      <c r="R13" s="5"/>
      <c r="S13" s="6"/>
    </row>
    <row r="14" spans="2:19" ht="15" x14ac:dyDescent="0.25">
      <c r="B14" s="7"/>
      <c r="C14" s="5"/>
      <c r="D14" s="5"/>
      <c r="E14" s="5"/>
      <c r="F14" s="12" t="s">
        <v>837</v>
      </c>
      <c r="G14" s="13" t="s">
        <v>1090</v>
      </c>
      <c r="H14" s="9"/>
      <c r="I14" s="10"/>
      <c r="J14" s="10"/>
      <c r="K14" s="10"/>
      <c r="L14" s="10"/>
      <c r="M14" s="10"/>
      <c r="N14" s="10"/>
      <c r="O14" s="10"/>
      <c r="P14" s="10"/>
      <c r="Q14" s="5"/>
      <c r="R14" s="5"/>
      <c r="S14" s="6"/>
    </row>
    <row r="15" spans="2:19" x14ac:dyDescent="0.2">
      <c r="B15" s="7"/>
      <c r="C15" s="5"/>
      <c r="D15" s="5"/>
      <c r="E15" s="5"/>
      <c r="F15" s="5"/>
      <c r="G15" s="9"/>
      <c r="H15" s="10"/>
      <c r="I15" s="10"/>
      <c r="J15" s="10"/>
      <c r="K15" s="10"/>
      <c r="L15" s="10"/>
      <c r="M15" s="10"/>
      <c r="N15" s="60"/>
      <c r="O15" s="10"/>
      <c r="P15" s="10"/>
      <c r="Q15" s="5"/>
      <c r="R15" s="5"/>
      <c r="S15" s="6"/>
    </row>
    <row r="16" spans="2:19" x14ac:dyDescent="0.2">
      <c r="B16" s="7"/>
      <c r="C16" s="5"/>
      <c r="D16" s="5"/>
      <c r="E16" s="5"/>
      <c r="F16" s="11" t="s">
        <v>1092</v>
      </c>
      <c r="G16" s="9"/>
      <c r="H16" s="10"/>
      <c r="I16" s="10"/>
      <c r="J16" s="10"/>
      <c r="K16" s="10"/>
      <c r="L16" s="10"/>
      <c r="M16" s="10"/>
      <c r="N16" s="10"/>
      <c r="O16" s="10"/>
      <c r="P16" s="10"/>
      <c r="Q16" s="5"/>
      <c r="R16" s="337"/>
      <c r="S16" s="6"/>
    </row>
    <row r="17" spans="2:19" x14ac:dyDescent="0.2">
      <c r="B17" s="7"/>
      <c r="C17" s="5"/>
      <c r="D17" s="5"/>
      <c r="E17" s="5"/>
      <c r="F17" s="10" t="s">
        <v>1094</v>
      </c>
      <c r="G17" s="10"/>
      <c r="H17" s="10"/>
      <c r="I17" s="10"/>
      <c r="J17" s="10"/>
      <c r="K17" s="10"/>
      <c r="L17" s="10"/>
      <c r="M17" s="10"/>
      <c r="N17" s="10"/>
      <c r="O17" s="10"/>
      <c r="P17" s="10"/>
      <c r="Q17" s="5"/>
      <c r="R17" s="5"/>
      <c r="S17" s="6"/>
    </row>
    <row r="18" spans="2:19" x14ac:dyDescent="0.2">
      <c r="B18" s="7"/>
      <c r="C18" s="5"/>
      <c r="D18" s="5"/>
      <c r="E18" s="5"/>
      <c r="F18" s="11" t="s">
        <v>1093</v>
      </c>
      <c r="G18" s="9"/>
      <c r="H18" s="10"/>
      <c r="I18" s="10"/>
      <c r="J18" s="10"/>
      <c r="K18" s="10"/>
      <c r="L18" s="10"/>
      <c r="M18" s="10"/>
      <c r="N18" s="10"/>
      <c r="O18" s="10"/>
      <c r="P18" s="10"/>
      <c r="Q18" s="5"/>
      <c r="R18" s="5"/>
      <c r="S18" s="6"/>
    </row>
    <row r="19" spans="2:19" x14ac:dyDescent="0.2">
      <c r="B19" s="7"/>
      <c r="C19" s="5"/>
      <c r="D19" s="5"/>
      <c r="E19" s="5"/>
      <c r="F19" s="11"/>
      <c r="G19" s="9"/>
      <c r="H19" s="10"/>
      <c r="I19" s="10"/>
      <c r="J19" s="10"/>
      <c r="K19" s="10"/>
      <c r="L19" s="10"/>
      <c r="M19" s="10"/>
      <c r="N19" s="10"/>
      <c r="O19" s="10"/>
      <c r="P19" s="10"/>
      <c r="Q19" s="5"/>
      <c r="R19" s="5"/>
      <c r="S19" s="6"/>
    </row>
    <row r="20" spans="2:19" x14ac:dyDescent="0.2">
      <c r="B20" s="7"/>
      <c r="C20" s="5"/>
      <c r="D20" s="5"/>
      <c r="E20" s="5"/>
      <c r="F20" s="184" t="s">
        <v>1248</v>
      </c>
      <c r="G20" s="171"/>
      <c r="H20" s="170"/>
      <c r="I20" s="170"/>
      <c r="J20" s="170"/>
      <c r="K20" s="170"/>
      <c r="L20" s="170"/>
      <c r="M20" s="170"/>
      <c r="N20" s="170"/>
      <c r="O20" s="170"/>
      <c r="P20" s="10"/>
      <c r="Q20" s="5"/>
      <c r="R20" s="5"/>
      <c r="S20" s="6"/>
    </row>
    <row r="21" spans="2:19" ht="15" thickBot="1" x14ac:dyDescent="0.25">
      <c r="B21" s="14"/>
      <c r="C21" s="15"/>
      <c r="D21" s="15"/>
      <c r="E21" s="15"/>
      <c r="F21" s="15"/>
      <c r="G21" s="15"/>
      <c r="H21" s="15"/>
      <c r="I21" s="15"/>
      <c r="J21" s="15"/>
      <c r="K21" s="15"/>
      <c r="L21" s="15"/>
      <c r="M21" s="15"/>
      <c r="N21" s="16"/>
      <c r="O21" s="16"/>
      <c r="P21" s="16"/>
      <c r="Q21" s="16"/>
      <c r="R21" s="16"/>
      <c r="S21" s="17"/>
    </row>
    <row r="22" spans="2:19" ht="15.75" thickTop="1" thickBot="1" x14ac:dyDescent="0.25">
      <c r="B22" s="18"/>
      <c r="C22" s="18"/>
      <c r="D22" s="18"/>
      <c r="E22" s="18"/>
      <c r="F22" s="18"/>
      <c r="G22" s="18"/>
      <c r="H22" s="18"/>
      <c r="I22" s="18"/>
      <c r="J22" s="18"/>
      <c r="K22" s="18"/>
      <c r="L22" s="18"/>
      <c r="M22" s="18"/>
      <c r="N22" s="18"/>
      <c r="O22" s="18"/>
      <c r="P22" s="18"/>
      <c r="Q22" s="18"/>
      <c r="R22" s="18"/>
    </row>
    <row r="23" spans="2:19" ht="15" thickTop="1" x14ac:dyDescent="0.2">
      <c r="B23" s="2"/>
      <c r="C23" s="3"/>
      <c r="D23" s="3"/>
      <c r="E23" s="3"/>
      <c r="F23" s="3"/>
      <c r="G23" s="3"/>
      <c r="H23" s="3"/>
      <c r="I23" s="3"/>
      <c r="J23" s="3"/>
      <c r="K23" s="3"/>
      <c r="L23" s="3"/>
      <c r="M23" s="3"/>
      <c r="N23" s="3"/>
      <c r="O23" s="3"/>
      <c r="P23" s="3"/>
      <c r="Q23" s="3"/>
      <c r="R23" s="3"/>
      <c r="S23" s="19"/>
    </row>
    <row r="24" spans="2:19" ht="15.75" x14ac:dyDescent="0.25">
      <c r="B24" s="4"/>
      <c r="C24" s="20" t="s">
        <v>1137</v>
      </c>
      <c r="D24" s="21"/>
      <c r="E24" s="5"/>
      <c r="F24" s="5"/>
      <c r="G24" s="5"/>
      <c r="H24" s="5"/>
      <c r="I24" s="5"/>
      <c r="J24" s="5"/>
      <c r="K24" s="5"/>
      <c r="L24" s="5"/>
      <c r="M24" s="5"/>
      <c r="N24" s="5"/>
      <c r="O24" s="5"/>
      <c r="P24" s="5"/>
      <c r="Q24" s="5"/>
      <c r="R24" s="5"/>
      <c r="S24" s="6"/>
    </row>
    <row r="25" spans="2:19" x14ac:dyDescent="0.2">
      <c r="B25" s="4"/>
      <c r="C25" s="22"/>
      <c r="D25" s="23"/>
      <c r="E25" s="22"/>
      <c r="F25" s="22"/>
      <c r="G25" s="22"/>
      <c r="H25" s="22"/>
      <c r="I25" s="22"/>
      <c r="J25" s="24"/>
      <c r="K25" s="25"/>
      <c r="L25" s="24" t="s">
        <v>1098</v>
      </c>
      <c r="M25" s="25"/>
      <c r="N25" s="22"/>
      <c r="O25" s="22"/>
      <c r="P25" s="22"/>
      <c r="Q25" s="5"/>
      <c r="R25" s="5"/>
      <c r="S25" s="6"/>
    </row>
    <row r="26" spans="2:19" ht="15" thickBot="1" x14ac:dyDescent="0.25">
      <c r="B26" s="4"/>
      <c r="C26" s="24" t="s">
        <v>1095</v>
      </c>
      <c r="D26" s="22"/>
      <c r="E26" s="22"/>
      <c r="F26" s="22"/>
      <c r="G26" s="22"/>
      <c r="H26" s="22"/>
      <c r="I26" s="22"/>
      <c r="J26" s="22"/>
      <c r="K26" s="22"/>
      <c r="L26" s="26" t="s">
        <v>1255</v>
      </c>
      <c r="M26" s="25"/>
      <c r="N26" s="22"/>
      <c r="O26" s="22"/>
      <c r="P26" s="22"/>
      <c r="Q26" s="5"/>
      <c r="R26" s="5"/>
      <c r="S26" s="6"/>
    </row>
    <row r="27" spans="2:19" ht="15" thickBot="1" x14ac:dyDescent="0.25">
      <c r="B27" s="4"/>
      <c r="C27" s="385"/>
      <c r="D27" s="454"/>
      <c r="E27" s="454"/>
      <c r="F27" s="454"/>
      <c r="G27" s="455"/>
      <c r="H27" s="455"/>
      <c r="I27" s="455"/>
      <c r="J27" s="449"/>
      <c r="K27" s="22"/>
      <c r="L27" s="456"/>
      <c r="M27" s="457"/>
      <c r="N27" s="457"/>
      <c r="O27" s="458"/>
      <c r="P27" s="22"/>
      <c r="Q27" s="5"/>
      <c r="R27" s="5"/>
      <c r="S27" s="6"/>
    </row>
    <row r="28" spans="2:19" ht="15" x14ac:dyDescent="0.25">
      <c r="B28" s="4"/>
      <c r="C28" s="634" t="s">
        <v>1096</v>
      </c>
      <c r="D28" s="560"/>
      <c r="E28" s="560"/>
      <c r="F28" s="560"/>
      <c r="G28" s="560"/>
      <c r="H28" s="560"/>
      <c r="I28" s="560"/>
      <c r="J28" s="560"/>
      <c r="K28" s="22"/>
      <c r="L28" s="640" t="s">
        <v>1099</v>
      </c>
      <c r="M28" s="565"/>
      <c r="N28" s="565"/>
      <c r="O28" s="565"/>
      <c r="P28" s="22"/>
      <c r="Q28" s="5"/>
      <c r="R28" s="5"/>
      <c r="S28" s="6"/>
    </row>
    <row r="29" spans="2:19" x14ac:dyDescent="0.2">
      <c r="B29" s="4"/>
      <c r="C29" s="385"/>
      <c r="D29" s="454"/>
      <c r="E29" s="454"/>
      <c r="F29" s="454"/>
      <c r="G29" s="455"/>
      <c r="H29" s="455"/>
      <c r="I29" s="455"/>
      <c r="J29" s="449"/>
      <c r="K29" s="22"/>
      <c r="L29" s="459"/>
      <c r="M29" s="460"/>
      <c r="N29" s="460"/>
      <c r="O29" s="461"/>
      <c r="P29" s="22"/>
      <c r="Q29" s="5"/>
      <c r="R29" s="5"/>
      <c r="S29" s="6"/>
    </row>
    <row r="30" spans="2:19" ht="15" x14ac:dyDescent="0.25">
      <c r="B30" s="4"/>
      <c r="C30" s="634" t="s">
        <v>1097</v>
      </c>
      <c r="D30" s="560"/>
      <c r="E30" s="560"/>
      <c r="F30" s="560"/>
      <c r="G30" s="560"/>
      <c r="H30" s="560"/>
      <c r="I30" s="560"/>
      <c r="J30" s="560"/>
      <c r="K30" s="22"/>
      <c r="L30" s="632" t="s">
        <v>1100</v>
      </c>
      <c r="M30" s="560"/>
      <c r="N30" s="560"/>
      <c r="O30" s="560"/>
      <c r="P30" s="22"/>
      <c r="Q30" s="5"/>
      <c r="R30" s="5"/>
      <c r="S30" s="6"/>
    </row>
    <row r="31" spans="2:19" ht="15" x14ac:dyDescent="0.25">
      <c r="B31" s="4"/>
      <c r="C31" s="385"/>
      <c r="D31" s="454"/>
      <c r="E31" s="454"/>
      <c r="F31" s="454"/>
      <c r="G31" s="455"/>
      <c r="H31" s="455"/>
      <c r="I31" s="455"/>
      <c r="J31" s="449"/>
      <c r="K31" s="22"/>
      <c r="L31" s="462"/>
      <c r="M31" s="463"/>
      <c r="N31" s="463"/>
      <c r="O31" s="464"/>
      <c r="P31" s="22"/>
      <c r="Q31" s="5"/>
      <c r="R31" s="5"/>
      <c r="S31" s="6"/>
    </row>
    <row r="32" spans="2:19" ht="15" thickBot="1" x14ac:dyDescent="0.25">
      <c r="B32" s="27"/>
      <c r="C32" s="16"/>
      <c r="D32" s="16"/>
      <c r="E32" s="16"/>
      <c r="F32" s="16"/>
      <c r="G32" s="16"/>
      <c r="H32" s="16"/>
      <c r="I32" s="16"/>
      <c r="J32" s="16"/>
      <c r="K32" s="16"/>
      <c r="L32" s="16"/>
      <c r="M32" s="16"/>
      <c r="N32" s="16"/>
      <c r="O32" s="16"/>
      <c r="P32" s="16"/>
      <c r="Q32" s="16"/>
      <c r="R32" s="16"/>
      <c r="S32" s="17"/>
    </row>
    <row r="33" spans="2:19" ht="15.75" thickTop="1" thickBot="1" x14ac:dyDescent="0.25">
      <c r="B33" s="18"/>
      <c r="C33" s="18"/>
      <c r="D33" s="18"/>
      <c r="E33" s="18"/>
      <c r="F33" s="18"/>
      <c r="G33" s="18"/>
      <c r="H33" s="18"/>
      <c r="I33" s="18"/>
      <c r="J33" s="18"/>
      <c r="K33" s="18"/>
      <c r="L33" s="18"/>
      <c r="M33" s="18"/>
      <c r="N33" s="18"/>
      <c r="O33" s="18"/>
      <c r="P33" s="18"/>
      <c r="Q33" s="18"/>
      <c r="R33" s="18"/>
    </row>
    <row r="34" spans="2:19" ht="15" thickTop="1" x14ac:dyDescent="0.2">
      <c r="B34" s="2"/>
      <c r="C34" s="3"/>
      <c r="D34" s="3"/>
      <c r="E34" s="3"/>
      <c r="F34" s="3"/>
      <c r="G34" s="3"/>
      <c r="H34" s="3"/>
      <c r="I34" s="3"/>
      <c r="J34" s="3"/>
      <c r="K34" s="3"/>
      <c r="L34" s="3"/>
      <c r="M34" s="3"/>
      <c r="N34" s="3"/>
      <c r="O34" s="3"/>
      <c r="P34" s="3"/>
      <c r="Q34" s="3"/>
      <c r="R34" s="3"/>
      <c r="S34" s="19"/>
    </row>
    <row r="35" spans="2:19" ht="15.75" x14ac:dyDescent="0.25">
      <c r="B35" s="4"/>
      <c r="C35" s="20" t="s">
        <v>1138</v>
      </c>
      <c r="D35" s="21"/>
      <c r="E35" s="5"/>
      <c r="F35" s="5"/>
      <c r="G35" s="5"/>
      <c r="H35" s="5"/>
      <c r="I35" s="5"/>
      <c r="J35" s="5"/>
      <c r="K35" s="5"/>
      <c r="L35" s="5"/>
      <c r="M35" s="5"/>
      <c r="N35" s="5"/>
      <c r="O35" s="5"/>
      <c r="P35" s="5"/>
      <c r="Q35" s="5"/>
      <c r="R35" s="5"/>
      <c r="S35" s="6"/>
    </row>
    <row r="36" spans="2:19" ht="15.75" x14ac:dyDescent="0.25">
      <c r="B36" s="4"/>
      <c r="C36" s="20"/>
      <c r="D36" s="21"/>
      <c r="E36" s="5"/>
      <c r="F36" s="5"/>
      <c r="G36" s="5"/>
      <c r="H36" s="5"/>
      <c r="I36" s="5"/>
      <c r="J36" s="5"/>
      <c r="K36" s="5"/>
      <c r="L36" s="5"/>
      <c r="M36" s="5"/>
      <c r="N36" s="5"/>
      <c r="O36" s="5"/>
      <c r="P36" s="5"/>
      <c r="Q36" s="5"/>
      <c r="R36" s="5"/>
      <c r="S36" s="6"/>
    </row>
    <row r="37" spans="2:19" x14ac:dyDescent="0.2">
      <c r="B37" s="28"/>
      <c r="C37" s="31" t="str">
        <f>"Trafic total pour l'année 2012"&amp;" "&amp;"("&amp;L27&amp;")"</f>
        <v>Trafic total pour l'année 2012 ()</v>
      </c>
      <c r="D37" s="29"/>
      <c r="E37" s="133"/>
      <c r="F37" s="133"/>
      <c r="G37" s="133"/>
      <c r="H37" s="133"/>
      <c r="I37" s="133"/>
      <c r="J37" s="30"/>
      <c r="K37" s="30"/>
      <c r="L37" s="30"/>
      <c r="M37" s="30"/>
      <c r="N37" s="30"/>
      <c r="O37" s="30"/>
      <c r="P37" s="129"/>
      <c r="Q37" s="129"/>
      <c r="R37" s="129"/>
      <c r="S37" s="6"/>
    </row>
    <row r="38" spans="2:19" ht="15" x14ac:dyDescent="0.25">
      <c r="B38" s="28"/>
      <c r="C38" s="31"/>
      <c r="D38" s="29"/>
      <c r="E38" s="133"/>
      <c r="F38" s="635"/>
      <c r="G38" s="576"/>
      <c r="H38" s="133"/>
      <c r="I38" s="133"/>
      <c r="J38" s="30"/>
      <c r="K38" s="30"/>
      <c r="L38" s="30"/>
      <c r="M38" s="30"/>
      <c r="N38" s="30"/>
      <c r="O38" s="30"/>
      <c r="P38" s="129"/>
      <c r="Q38" s="129"/>
      <c r="R38" s="129"/>
      <c r="S38" s="6"/>
    </row>
    <row r="39" spans="2:19" x14ac:dyDescent="0.2">
      <c r="B39" s="28"/>
      <c r="C39" s="82">
        <v>2.1</v>
      </c>
      <c r="D39" s="36" t="s">
        <v>1101</v>
      </c>
      <c r="E39" s="37"/>
      <c r="F39" s="385"/>
      <c r="G39" s="449"/>
      <c r="H39" s="32"/>
      <c r="I39" s="32"/>
      <c r="J39" s="82">
        <v>2.5</v>
      </c>
      <c r="K39" s="24" t="s">
        <v>1256</v>
      </c>
      <c r="L39" s="34"/>
      <c r="M39" s="136"/>
      <c r="N39" s="136"/>
      <c r="O39" s="385"/>
      <c r="P39" s="455"/>
      <c r="Q39" s="455"/>
      <c r="R39" s="449"/>
      <c r="S39" s="6"/>
    </row>
    <row r="40" spans="2:19" ht="15" x14ac:dyDescent="0.25">
      <c r="B40" s="4"/>
      <c r="C40" s="122"/>
      <c r="D40" s="36"/>
      <c r="E40" s="37"/>
      <c r="F40" s="632"/>
      <c r="G40" s="632"/>
      <c r="H40" s="136"/>
      <c r="I40" s="136"/>
      <c r="J40" s="112"/>
      <c r="K40" s="136"/>
      <c r="L40" s="136"/>
      <c r="M40" s="35"/>
      <c r="N40" s="35"/>
      <c r="O40" s="633"/>
      <c r="P40" s="560"/>
      <c r="Q40" s="560"/>
      <c r="R40" s="560"/>
      <c r="S40" s="6"/>
    </row>
    <row r="41" spans="2:19" x14ac:dyDescent="0.2">
      <c r="B41" s="4"/>
      <c r="C41" s="82">
        <v>2.2000000000000002</v>
      </c>
      <c r="D41" s="137" t="s">
        <v>1102</v>
      </c>
      <c r="E41" s="136"/>
      <c r="F41" s="385"/>
      <c r="G41" s="449"/>
      <c r="H41" s="136"/>
      <c r="I41" s="22"/>
      <c r="J41" s="82">
        <v>2.6</v>
      </c>
      <c r="K41" s="34" t="s">
        <v>1106</v>
      </c>
      <c r="L41" s="34"/>
      <c r="M41" s="34"/>
      <c r="N41" s="34"/>
      <c r="O41" s="385"/>
      <c r="P41" s="455"/>
      <c r="Q41" s="455"/>
      <c r="R41" s="449"/>
      <c r="S41" s="6"/>
    </row>
    <row r="42" spans="2:19" ht="15" x14ac:dyDescent="0.25">
      <c r="B42" s="4"/>
      <c r="C42" s="123"/>
      <c r="D42" s="22"/>
      <c r="E42" s="5"/>
      <c r="F42" s="632"/>
      <c r="G42" s="560"/>
      <c r="H42" s="136"/>
      <c r="I42" s="32"/>
      <c r="J42" s="126"/>
      <c r="K42" s="35"/>
      <c r="L42" s="35"/>
      <c r="M42" s="35"/>
      <c r="N42" s="35"/>
      <c r="O42" s="633"/>
      <c r="P42" s="560"/>
      <c r="Q42" s="560"/>
      <c r="R42" s="560"/>
      <c r="S42" s="6"/>
    </row>
    <row r="43" spans="2:19" x14ac:dyDescent="0.2">
      <c r="B43" s="4"/>
      <c r="C43" s="82">
        <v>2.2999999999999998</v>
      </c>
      <c r="D43" s="22" t="s">
        <v>1103</v>
      </c>
      <c r="E43" s="5"/>
      <c r="F43" s="385"/>
      <c r="G43" s="449"/>
      <c r="H43" s="136"/>
      <c r="I43" s="32"/>
      <c r="J43" s="82">
        <v>2.7</v>
      </c>
      <c r="K43" s="136" t="s">
        <v>1107</v>
      </c>
      <c r="L43" s="136"/>
      <c r="M43" s="136"/>
      <c r="N43" s="136"/>
      <c r="O43" s="385"/>
      <c r="P43" s="455"/>
      <c r="Q43" s="455"/>
      <c r="R43" s="449"/>
      <c r="S43" s="6"/>
    </row>
    <row r="44" spans="2:19" ht="15" x14ac:dyDescent="0.25">
      <c r="B44" s="4"/>
      <c r="C44" s="124"/>
      <c r="D44" s="137"/>
      <c r="E44" s="136"/>
      <c r="F44" s="632"/>
      <c r="G44" s="560"/>
      <c r="H44" s="136"/>
      <c r="I44" s="136"/>
      <c r="J44" s="112"/>
      <c r="K44" s="136"/>
      <c r="L44" s="136"/>
      <c r="M44" s="136"/>
      <c r="N44" s="136"/>
      <c r="O44" s="633"/>
      <c r="P44" s="560"/>
      <c r="Q44" s="581"/>
      <c r="R44" s="581"/>
      <c r="S44" s="6"/>
    </row>
    <row r="45" spans="2:19" x14ac:dyDescent="0.2">
      <c r="B45" s="4"/>
      <c r="C45" s="125">
        <v>2.4</v>
      </c>
      <c r="D45" s="137" t="s">
        <v>1105</v>
      </c>
      <c r="E45" s="136"/>
      <c r="F45" s="385" t="str">
        <f>IF(AND(ISNUMBER(F39), ISNUMBER(F41)), (F39+10*F41), "")</f>
        <v/>
      </c>
      <c r="G45" s="449"/>
      <c r="H45" s="136"/>
      <c r="I45" s="34"/>
      <c r="J45" s="82">
        <v>2.8</v>
      </c>
      <c r="K45" s="136" t="s">
        <v>1108</v>
      </c>
      <c r="L45" s="136"/>
      <c r="M45" s="136"/>
      <c r="N45" s="136" t="s">
        <v>1109</v>
      </c>
      <c r="O45" s="466"/>
      <c r="P45" s="467"/>
      <c r="Q45" s="22" t="str">
        <f>IF(ISTEXT(O43), O43, "")</f>
        <v/>
      </c>
      <c r="R45" s="22"/>
      <c r="S45" s="6"/>
    </row>
    <row r="46" spans="2:19" x14ac:dyDescent="0.2">
      <c r="B46" s="4"/>
      <c r="C46" s="38"/>
      <c r="D46" s="141" t="s">
        <v>1104</v>
      </c>
      <c r="E46" s="37"/>
      <c r="F46" s="136"/>
      <c r="G46" s="136"/>
      <c r="H46" s="136"/>
      <c r="I46" s="35"/>
      <c r="J46" s="39"/>
      <c r="K46" s="35"/>
      <c r="L46" s="35"/>
      <c r="M46" s="136"/>
      <c r="N46" s="136"/>
      <c r="O46" s="136"/>
      <c r="P46" s="34"/>
      <c r="Q46" s="34"/>
      <c r="R46" s="34"/>
      <c r="S46" s="6"/>
    </row>
    <row r="47" spans="2:19" ht="15.75" thickBot="1" x14ac:dyDescent="0.3">
      <c r="B47" s="27"/>
      <c r="C47" s="16"/>
      <c r="D47" s="16"/>
      <c r="E47" s="16"/>
      <c r="F47" s="590"/>
      <c r="G47" s="591"/>
      <c r="H47" s="16"/>
      <c r="I47" s="16"/>
      <c r="J47" s="16"/>
      <c r="K47" s="16"/>
      <c r="L47" s="16"/>
      <c r="M47" s="16"/>
      <c r="N47" s="16"/>
      <c r="O47" s="590"/>
      <c r="P47" s="591"/>
      <c r="Q47" s="16"/>
      <c r="R47" s="16"/>
      <c r="S47" s="17"/>
    </row>
    <row r="48" spans="2:19" ht="15.75" thickTop="1" thickBot="1" x14ac:dyDescent="0.25"/>
    <row r="49" spans="2:19" ht="15.75" thickTop="1" x14ac:dyDescent="0.25">
      <c r="B49" s="2"/>
      <c r="C49" s="3"/>
      <c r="D49" s="3"/>
      <c r="E49" s="3"/>
      <c r="F49" s="3"/>
      <c r="G49" s="3"/>
      <c r="H49" s="3"/>
      <c r="I49" s="3"/>
      <c r="J49" s="629"/>
      <c r="K49" s="630"/>
      <c r="L49" s="3"/>
      <c r="M49" s="3"/>
      <c r="N49" s="3"/>
      <c r="O49" s="3"/>
      <c r="P49" s="3"/>
      <c r="Q49" s="3"/>
      <c r="R49" s="3"/>
      <c r="S49" s="19"/>
    </row>
    <row r="50" spans="2:19" ht="15.75" x14ac:dyDescent="0.25">
      <c r="B50" s="4"/>
      <c r="C50" s="20" t="s">
        <v>1139</v>
      </c>
      <c r="D50" s="21"/>
      <c r="E50" s="5"/>
      <c r="F50" s="5"/>
      <c r="G50" s="5"/>
      <c r="H50" s="5"/>
      <c r="I50" s="5"/>
      <c r="J50" s="573"/>
      <c r="K50" s="574"/>
      <c r="L50" s="5"/>
      <c r="M50" s="631" t="s">
        <v>1110</v>
      </c>
      <c r="N50" s="631"/>
      <c r="O50" s="5"/>
      <c r="P50" s="5"/>
      <c r="Q50" s="5"/>
      <c r="R50" s="5"/>
      <c r="S50" s="6"/>
    </row>
    <row r="51" spans="2:19" ht="15" x14ac:dyDescent="0.25">
      <c r="B51" s="28"/>
      <c r="C51" s="40"/>
      <c r="D51" s="133"/>
      <c r="E51" s="133"/>
      <c r="F51" s="133"/>
      <c r="G51" s="5"/>
      <c r="H51" s="5"/>
      <c r="I51" s="5"/>
      <c r="J51" s="626"/>
      <c r="K51" s="576"/>
      <c r="L51" s="133"/>
      <c r="M51" s="624" t="s">
        <v>1111</v>
      </c>
      <c r="N51" s="624"/>
      <c r="O51" s="129"/>
      <c r="P51" s="129"/>
      <c r="Q51" s="129"/>
      <c r="R51" s="129"/>
      <c r="S51" s="6"/>
    </row>
    <row r="52" spans="2:19" s="101" customFormat="1" ht="15" x14ac:dyDescent="0.25">
      <c r="B52" s="98"/>
      <c r="C52" s="33" t="s">
        <v>19</v>
      </c>
      <c r="D52" s="142" t="s">
        <v>1112</v>
      </c>
      <c r="E52" s="99"/>
      <c r="F52" s="99"/>
      <c r="G52" s="50"/>
      <c r="H52" s="621"/>
      <c r="I52" s="627"/>
      <c r="J52" s="417"/>
      <c r="K52" s="418"/>
      <c r="L52" s="128"/>
      <c r="M52" s="417"/>
      <c r="N52" s="418"/>
      <c r="O52" s="128"/>
      <c r="P52" s="128"/>
      <c r="Q52" s="128"/>
      <c r="R52" s="128"/>
      <c r="S52" s="100"/>
    </row>
    <row r="53" spans="2:19" ht="15" x14ac:dyDescent="0.25">
      <c r="B53" s="28"/>
      <c r="C53" s="41"/>
      <c r="D53" s="42" t="s">
        <v>1113</v>
      </c>
      <c r="E53" s="32"/>
      <c r="F53" s="32"/>
      <c r="G53" s="5"/>
      <c r="H53" s="573"/>
      <c r="I53" s="574"/>
      <c r="J53" s="625"/>
      <c r="K53" s="560"/>
      <c r="L53" s="133"/>
      <c r="M53" s="625"/>
      <c r="N53" s="560"/>
      <c r="O53" s="129"/>
      <c r="P53" s="129"/>
      <c r="Q53" s="129"/>
      <c r="R53" s="129"/>
      <c r="S53" s="6"/>
    </row>
    <row r="54" spans="2:19" ht="15" x14ac:dyDescent="0.25">
      <c r="B54" s="28"/>
      <c r="C54" s="43" t="s">
        <v>784</v>
      </c>
      <c r="D54" s="32" t="s">
        <v>1777</v>
      </c>
      <c r="E54" s="32"/>
      <c r="F54" s="32"/>
      <c r="G54" s="5"/>
      <c r="H54" s="621"/>
      <c r="I54" s="627"/>
      <c r="J54" s="372"/>
      <c r="K54" s="390"/>
      <c r="L54" s="133"/>
      <c r="M54" s="372"/>
      <c r="N54" s="390"/>
      <c r="O54" s="129"/>
      <c r="P54" s="129"/>
      <c r="Q54" s="129"/>
      <c r="R54" s="129"/>
      <c r="S54" s="6"/>
    </row>
    <row r="55" spans="2:19" ht="15" x14ac:dyDescent="0.25">
      <c r="B55" s="28"/>
      <c r="C55" s="43" t="s">
        <v>785</v>
      </c>
      <c r="D55" s="32" t="s">
        <v>1778</v>
      </c>
      <c r="E55" s="32"/>
      <c r="F55" s="32"/>
      <c r="G55" s="5"/>
      <c r="H55" s="621"/>
      <c r="I55" s="627"/>
      <c r="J55" s="372"/>
      <c r="K55" s="390"/>
      <c r="L55" s="133"/>
      <c r="M55" s="372"/>
      <c r="N55" s="390"/>
      <c r="O55" s="129"/>
      <c r="P55" s="129"/>
      <c r="Q55" s="129"/>
      <c r="R55" s="129"/>
      <c r="S55" s="6"/>
    </row>
    <row r="56" spans="2:19" ht="15" x14ac:dyDescent="0.25">
      <c r="B56" s="28"/>
      <c r="C56" s="41"/>
      <c r="D56" s="32"/>
      <c r="E56" s="32"/>
      <c r="F56" s="32"/>
      <c r="G56" s="5"/>
      <c r="H56" s="573"/>
      <c r="I56" s="574"/>
      <c r="J56" s="625"/>
      <c r="K56" s="560"/>
      <c r="L56" s="133"/>
      <c r="M56" s="625"/>
      <c r="N56" s="560"/>
      <c r="O56" s="129"/>
      <c r="P56" s="129"/>
      <c r="Q56" s="129"/>
      <c r="R56" s="129"/>
      <c r="S56" s="6"/>
    </row>
    <row r="57" spans="2:19" s="101" customFormat="1" ht="15" x14ac:dyDescent="0.25">
      <c r="B57" s="98"/>
      <c r="C57" s="33" t="s">
        <v>20</v>
      </c>
      <c r="D57" s="142" t="s">
        <v>1115</v>
      </c>
      <c r="E57" s="99"/>
      <c r="F57" s="99"/>
      <c r="G57" s="50"/>
      <c r="H57" s="621"/>
      <c r="I57" s="627"/>
      <c r="J57" s="417"/>
      <c r="K57" s="418"/>
      <c r="L57" s="128"/>
      <c r="M57" s="417"/>
      <c r="N57" s="418"/>
      <c r="O57" s="128"/>
      <c r="P57" s="128"/>
      <c r="Q57" s="128"/>
      <c r="R57" s="128"/>
      <c r="S57" s="100"/>
    </row>
    <row r="58" spans="2:19" ht="15" x14ac:dyDescent="0.25">
      <c r="B58" s="28"/>
      <c r="C58" s="41"/>
      <c r="D58" s="42" t="s">
        <v>1113</v>
      </c>
      <c r="E58" s="32"/>
      <c r="F58" s="32"/>
      <c r="G58" s="5"/>
      <c r="H58" s="573"/>
      <c r="I58" s="574"/>
      <c r="J58" s="625"/>
      <c r="K58" s="560"/>
      <c r="L58" s="133"/>
      <c r="M58" s="625"/>
      <c r="N58" s="560"/>
      <c r="O58" s="129"/>
      <c r="P58" s="129"/>
      <c r="Q58" s="129"/>
      <c r="R58" s="129"/>
      <c r="S58" s="6"/>
    </row>
    <row r="59" spans="2:19" s="47" customFormat="1" ht="15" x14ac:dyDescent="0.25">
      <c r="B59" s="44"/>
      <c r="C59" s="43" t="s">
        <v>786</v>
      </c>
      <c r="D59" s="32" t="s">
        <v>1779</v>
      </c>
      <c r="E59" s="32"/>
      <c r="F59" s="32"/>
      <c r="G59" s="5"/>
      <c r="H59" s="621"/>
      <c r="I59" s="627"/>
      <c r="J59" s="372"/>
      <c r="K59" s="390"/>
      <c r="L59" s="133"/>
      <c r="M59" s="372"/>
      <c r="N59" s="390"/>
      <c r="O59" s="45"/>
      <c r="P59" s="45"/>
      <c r="Q59" s="45"/>
      <c r="R59" s="45"/>
      <c r="S59" s="46"/>
    </row>
    <row r="60" spans="2:19" s="47" customFormat="1" ht="15" x14ac:dyDescent="0.25">
      <c r="B60" s="44"/>
      <c r="C60" s="43" t="s">
        <v>787</v>
      </c>
      <c r="D60" s="32" t="s">
        <v>1114</v>
      </c>
      <c r="E60" s="32"/>
      <c r="F60" s="32"/>
      <c r="G60" s="5"/>
      <c r="H60" s="621"/>
      <c r="I60" s="627"/>
      <c r="J60" s="372"/>
      <c r="K60" s="390"/>
      <c r="L60" s="133"/>
      <c r="M60" s="372"/>
      <c r="N60" s="390"/>
      <c r="O60" s="45"/>
      <c r="P60" s="45"/>
      <c r="Q60" s="45"/>
      <c r="R60" s="45"/>
      <c r="S60" s="46"/>
    </row>
    <row r="61" spans="2:19" s="47" customFormat="1" ht="15" x14ac:dyDescent="0.25">
      <c r="B61" s="44"/>
      <c r="C61" s="43"/>
      <c r="D61" s="32"/>
      <c r="E61" s="32"/>
      <c r="F61" s="32"/>
      <c r="G61" s="5"/>
      <c r="H61" s="573"/>
      <c r="I61" s="574"/>
      <c r="J61" s="625"/>
      <c r="K61" s="560"/>
      <c r="L61" s="133"/>
      <c r="M61" s="625"/>
      <c r="N61" s="560"/>
      <c r="O61" s="45"/>
      <c r="P61" s="45"/>
      <c r="Q61" s="45"/>
      <c r="R61" s="45"/>
      <c r="S61" s="46"/>
    </row>
    <row r="62" spans="2:19" s="80" customFormat="1" ht="15" x14ac:dyDescent="0.25">
      <c r="B62" s="28"/>
      <c r="C62" s="33" t="s">
        <v>21</v>
      </c>
      <c r="D62" s="32" t="s">
        <v>1117</v>
      </c>
      <c r="E62" s="32"/>
      <c r="F62" s="32"/>
      <c r="G62" s="67"/>
      <c r="H62" s="621"/>
      <c r="I62" s="627"/>
      <c r="J62" s="468"/>
      <c r="K62" s="469"/>
      <c r="L62" s="133"/>
      <c r="M62" s="468"/>
      <c r="N62" s="469"/>
      <c r="O62" s="133"/>
      <c r="P62" s="133"/>
      <c r="Q62" s="133"/>
      <c r="R62" s="133"/>
      <c r="S62" s="96"/>
    </row>
    <row r="63" spans="2:19" ht="15" x14ac:dyDescent="0.25">
      <c r="B63" s="28"/>
      <c r="C63" s="41"/>
      <c r="D63" s="32"/>
      <c r="E63" s="32"/>
      <c r="F63" s="32"/>
      <c r="G63" s="5"/>
      <c r="H63" s="573"/>
      <c r="I63" s="574"/>
      <c r="J63" s="625"/>
      <c r="K63" s="560"/>
      <c r="L63" s="133"/>
      <c r="M63" s="625"/>
      <c r="N63" s="560"/>
      <c r="O63" s="129"/>
      <c r="P63" s="129"/>
      <c r="Q63" s="129"/>
      <c r="R63" s="129"/>
      <c r="S63" s="6"/>
    </row>
    <row r="64" spans="2:19" s="101" customFormat="1" ht="15" x14ac:dyDescent="0.25">
      <c r="B64" s="98"/>
      <c r="C64" s="33" t="s">
        <v>22</v>
      </c>
      <c r="D64" s="99" t="s">
        <v>1116</v>
      </c>
      <c r="E64" s="99"/>
      <c r="F64" s="99"/>
      <c r="G64" s="50"/>
      <c r="H64" s="621"/>
      <c r="I64" s="627"/>
      <c r="J64" s="417"/>
      <c r="K64" s="418"/>
      <c r="L64" s="128"/>
      <c r="M64" s="417"/>
      <c r="N64" s="418"/>
      <c r="O64" s="128"/>
      <c r="P64" s="128"/>
      <c r="Q64" s="128"/>
      <c r="R64" s="128"/>
      <c r="S64" s="100"/>
    </row>
    <row r="65" spans="2:19" s="80" customFormat="1" ht="15" x14ac:dyDescent="0.25">
      <c r="B65" s="28"/>
      <c r="C65" s="41"/>
      <c r="D65" s="143" t="s">
        <v>1119</v>
      </c>
      <c r="E65" s="32"/>
      <c r="F65" s="32"/>
      <c r="G65" s="67"/>
      <c r="H65" s="573"/>
      <c r="I65" s="574"/>
      <c r="J65" s="628"/>
      <c r="K65" s="593"/>
      <c r="L65" s="133"/>
      <c r="M65" s="628"/>
      <c r="N65" s="593"/>
      <c r="O65" s="133"/>
      <c r="P65" s="133"/>
      <c r="Q65" s="133"/>
      <c r="R65" s="133"/>
      <c r="S65" s="96"/>
    </row>
    <row r="66" spans="2:19" ht="15" x14ac:dyDescent="0.25">
      <c r="B66" s="28"/>
      <c r="C66" s="41"/>
      <c r="D66" s="42" t="s">
        <v>1113</v>
      </c>
      <c r="E66" s="32"/>
      <c r="F66" s="32"/>
      <c r="G66" s="5"/>
      <c r="H66" s="573"/>
      <c r="I66" s="574"/>
      <c r="J66" s="626"/>
      <c r="K66" s="576"/>
      <c r="L66" s="133"/>
      <c r="M66" s="626"/>
      <c r="N66" s="576"/>
      <c r="O66" s="129"/>
      <c r="P66" s="129"/>
      <c r="Q66" s="129"/>
      <c r="R66" s="129"/>
      <c r="S66" s="6"/>
    </row>
    <row r="67" spans="2:19" ht="15" x14ac:dyDescent="0.25">
      <c r="B67" s="4"/>
      <c r="C67" s="11" t="s">
        <v>788</v>
      </c>
      <c r="D67" s="25" t="s">
        <v>1118</v>
      </c>
      <c r="E67" s="5"/>
      <c r="F67" s="5"/>
      <c r="G67" s="5"/>
      <c r="H67" s="621"/>
      <c r="I67" s="622"/>
      <c r="J67" s="372"/>
      <c r="K67" s="374"/>
      <c r="L67" s="133"/>
      <c r="M67" s="372"/>
      <c r="N67" s="374"/>
      <c r="O67" s="5"/>
      <c r="P67" s="5"/>
      <c r="Q67" s="5"/>
      <c r="R67" s="5"/>
      <c r="S67" s="6"/>
    </row>
    <row r="68" spans="2:19" ht="15" x14ac:dyDescent="0.25">
      <c r="B68" s="28"/>
      <c r="C68" s="43" t="s">
        <v>789</v>
      </c>
      <c r="D68" s="32" t="s">
        <v>1120</v>
      </c>
      <c r="E68" s="32"/>
      <c r="F68" s="32"/>
      <c r="G68" s="5"/>
      <c r="H68" s="621"/>
      <c r="I68" s="622"/>
      <c r="J68" s="372"/>
      <c r="K68" s="374"/>
      <c r="L68" s="133"/>
      <c r="M68" s="372"/>
      <c r="N68" s="374"/>
      <c r="O68" s="129"/>
      <c r="P68" s="129"/>
      <c r="Q68" s="129"/>
      <c r="R68" s="129"/>
      <c r="S68" s="6"/>
    </row>
    <row r="69" spans="2:19" x14ac:dyDescent="0.2">
      <c r="B69" s="28"/>
      <c r="C69" s="48"/>
      <c r="D69" s="42" t="s">
        <v>1113</v>
      </c>
      <c r="E69" s="32"/>
      <c r="F69" s="32"/>
      <c r="G69" s="5"/>
      <c r="H69" s="573"/>
      <c r="I69" s="573"/>
      <c r="J69" s="625"/>
      <c r="K69" s="625"/>
      <c r="L69" s="133"/>
      <c r="M69" s="625"/>
      <c r="N69" s="625"/>
      <c r="O69" s="129"/>
      <c r="P69" s="129"/>
      <c r="Q69" s="129"/>
      <c r="R69" s="129"/>
      <c r="S69" s="6"/>
    </row>
    <row r="70" spans="2:19" ht="15" x14ac:dyDescent="0.25">
      <c r="B70" s="28"/>
      <c r="C70" s="48" t="s">
        <v>1052</v>
      </c>
      <c r="D70" s="49" t="s">
        <v>1121</v>
      </c>
      <c r="E70" s="32"/>
      <c r="F70" s="32"/>
      <c r="G70" s="5"/>
      <c r="H70" s="621"/>
      <c r="I70" s="622"/>
      <c r="J70" s="372"/>
      <c r="K70" s="374"/>
      <c r="L70" s="133"/>
      <c r="M70" s="372"/>
      <c r="N70" s="374"/>
      <c r="O70" s="129"/>
      <c r="P70" s="129"/>
      <c r="Q70" s="129"/>
      <c r="R70" s="129"/>
      <c r="S70" s="6"/>
    </row>
    <row r="71" spans="2:19" ht="15" thickBot="1" x14ac:dyDescent="0.25">
      <c r="B71" s="27"/>
      <c r="C71" s="16"/>
      <c r="D71" s="16"/>
      <c r="E71" s="16"/>
      <c r="F71" s="16"/>
      <c r="G71" s="16"/>
      <c r="H71" s="16"/>
      <c r="I71" s="16"/>
      <c r="J71" s="555"/>
      <c r="K71" s="555"/>
      <c r="L71" s="16"/>
      <c r="M71" s="555"/>
      <c r="N71" s="555"/>
      <c r="O71" s="16"/>
      <c r="P71" s="16"/>
      <c r="Q71" s="16"/>
      <c r="R71" s="16"/>
      <c r="S71" s="17"/>
    </row>
    <row r="72" spans="2:19" ht="15.75" thickTop="1" thickBot="1" x14ac:dyDescent="0.25"/>
    <row r="73" spans="2:19" ht="15" thickTop="1" x14ac:dyDescent="0.2">
      <c r="B73" s="2"/>
      <c r="C73" s="3"/>
      <c r="D73" s="3"/>
      <c r="E73" s="3"/>
      <c r="F73" s="3"/>
      <c r="G73" s="3"/>
      <c r="H73" s="3"/>
      <c r="I73" s="3"/>
      <c r="J73" s="3"/>
      <c r="K73" s="3"/>
      <c r="L73" s="3"/>
      <c r="M73" s="3"/>
      <c r="N73" s="3"/>
      <c r="O73" s="3"/>
      <c r="P73" s="3"/>
      <c r="Q73" s="3"/>
      <c r="R73" s="3"/>
      <c r="S73" s="19"/>
    </row>
    <row r="74" spans="2:19" ht="15.75" x14ac:dyDescent="0.25">
      <c r="B74" s="4"/>
      <c r="C74" s="20" t="s">
        <v>1140</v>
      </c>
      <c r="D74" s="21"/>
      <c r="E74" s="5"/>
      <c r="F74" s="5"/>
      <c r="G74" s="5"/>
      <c r="H74" s="5"/>
      <c r="I74" s="5"/>
      <c r="J74" s="5"/>
      <c r="K74" s="5"/>
      <c r="L74" s="5"/>
      <c r="M74" s="5"/>
      <c r="N74" s="5"/>
      <c r="O74" s="5"/>
      <c r="P74" s="5"/>
      <c r="Q74" s="5"/>
      <c r="R74" s="5"/>
      <c r="S74" s="6"/>
    </row>
    <row r="75" spans="2:19" ht="15" x14ac:dyDescent="0.25">
      <c r="B75" s="4"/>
      <c r="C75" s="50"/>
      <c r="D75" s="21"/>
      <c r="E75" s="5"/>
      <c r="F75" s="5"/>
      <c r="G75" s="5"/>
      <c r="H75" s="5"/>
      <c r="I75" s="5"/>
      <c r="J75" s="5"/>
      <c r="K75" s="5"/>
      <c r="L75" s="5"/>
      <c r="M75" s="5"/>
      <c r="N75" s="5"/>
      <c r="O75" s="5"/>
      <c r="P75" s="5"/>
      <c r="Q75" s="5"/>
      <c r="R75" s="5"/>
      <c r="S75" s="6"/>
    </row>
    <row r="76" spans="2:19" ht="15" x14ac:dyDescent="0.25">
      <c r="B76" s="28"/>
      <c r="C76" s="623" t="s">
        <v>1136</v>
      </c>
      <c r="D76" s="623"/>
      <c r="E76" s="623"/>
      <c r="F76" s="623"/>
      <c r="G76" s="133"/>
      <c r="H76" s="133"/>
      <c r="I76" s="133"/>
      <c r="J76" s="624" t="s">
        <v>1135</v>
      </c>
      <c r="K76" s="624"/>
      <c r="L76" s="29"/>
      <c r="M76" s="29"/>
      <c r="N76" s="129"/>
      <c r="O76" s="129"/>
      <c r="P76" s="129"/>
      <c r="Q76" s="129"/>
      <c r="R76" s="129"/>
      <c r="S76" s="6"/>
    </row>
    <row r="77" spans="2:19" ht="14.25" customHeight="1" x14ac:dyDescent="0.2">
      <c r="B77" s="28"/>
      <c r="C77" s="41" t="s">
        <v>23</v>
      </c>
      <c r="D77" s="620" t="s">
        <v>1126</v>
      </c>
      <c r="E77" s="615"/>
      <c r="F77" s="615"/>
      <c r="G77" s="615"/>
      <c r="H77" s="615"/>
      <c r="I77" s="616"/>
      <c r="J77" s="372"/>
      <c r="K77" s="390"/>
      <c r="L77" s="5"/>
      <c r="M77" s="29"/>
      <c r="N77" s="129"/>
      <c r="O77" s="129"/>
      <c r="P77" s="129"/>
      <c r="Q77" s="129"/>
      <c r="R77" s="129"/>
      <c r="S77" s="6"/>
    </row>
    <row r="78" spans="2:19" ht="14.25" customHeight="1" x14ac:dyDescent="0.2">
      <c r="B78" s="28"/>
      <c r="C78" s="41" t="s">
        <v>24</v>
      </c>
      <c r="D78" s="619" t="s">
        <v>1170</v>
      </c>
      <c r="E78" s="615"/>
      <c r="F78" s="615"/>
      <c r="G78" s="615"/>
      <c r="H78" s="615"/>
      <c r="I78" s="616"/>
      <c r="J78" s="372"/>
      <c r="K78" s="390"/>
      <c r="L78" s="5"/>
      <c r="M78" s="29"/>
      <c r="N78" s="129"/>
      <c r="O78" s="129"/>
      <c r="P78" s="129"/>
      <c r="Q78" s="129"/>
      <c r="R78" s="129"/>
      <c r="S78" s="6"/>
    </row>
    <row r="79" spans="2:19" ht="14.25" customHeight="1" x14ac:dyDescent="0.2">
      <c r="B79" s="28"/>
      <c r="C79" s="41" t="s">
        <v>25</v>
      </c>
      <c r="D79" s="32" t="s">
        <v>1127</v>
      </c>
      <c r="E79" s="32"/>
      <c r="F79" s="130"/>
      <c r="G79" s="130"/>
      <c r="H79" s="136"/>
      <c r="I79" s="131"/>
      <c r="J79" s="372"/>
      <c r="K79" s="390"/>
      <c r="L79" s="5"/>
      <c r="M79" s="29"/>
      <c r="N79" s="129"/>
      <c r="O79" s="129"/>
      <c r="P79" s="129"/>
      <c r="Q79" s="129"/>
      <c r="R79" s="129"/>
      <c r="S79" s="6"/>
    </row>
    <row r="80" spans="2:19" ht="14.25" customHeight="1" x14ac:dyDescent="0.2">
      <c r="B80" s="28"/>
      <c r="C80" s="41" t="s">
        <v>26</v>
      </c>
      <c r="D80" s="619" t="s">
        <v>1122</v>
      </c>
      <c r="E80" s="615"/>
      <c r="F80" s="615"/>
      <c r="G80" s="615"/>
      <c r="H80" s="615"/>
      <c r="I80" s="616"/>
      <c r="J80" s="372"/>
      <c r="K80" s="390"/>
      <c r="L80" s="5"/>
      <c r="M80" s="29"/>
      <c r="N80" s="129"/>
      <c r="O80" s="129"/>
      <c r="P80" s="129"/>
      <c r="Q80" s="129"/>
      <c r="R80" s="129"/>
      <c r="S80" s="6"/>
    </row>
    <row r="81" spans="2:19" ht="14.25" customHeight="1" x14ac:dyDescent="0.2">
      <c r="B81" s="28"/>
      <c r="C81" s="41" t="s">
        <v>790</v>
      </c>
      <c r="D81" s="619" t="s">
        <v>1123</v>
      </c>
      <c r="E81" s="615"/>
      <c r="F81" s="615"/>
      <c r="G81" s="615"/>
      <c r="H81" s="615"/>
      <c r="I81" s="616"/>
      <c r="J81" s="372"/>
      <c r="K81" s="390"/>
      <c r="L81" s="5"/>
      <c r="M81" s="29"/>
      <c r="N81" s="129"/>
      <c r="O81" s="129"/>
      <c r="P81" s="129"/>
      <c r="Q81" s="129"/>
      <c r="R81" s="129"/>
      <c r="S81" s="6"/>
    </row>
    <row r="82" spans="2:19" ht="14.25" customHeight="1" x14ac:dyDescent="0.2">
      <c r="B82" s="28"/>
      <c r="C82" s="41" t="s">
        <v>791</v>
      </c>
      <c r="D82" s="619" t="s">
        <v>1124</v>
      </c>
      <c r="E82" s="615"/>
      <c r="F82" s="615"/>
      <c r="G82" s="615"/>
      <c r="H82" s="615"/>
      <c r="I82" s="616"/>
      <c r="J82" s="372"/>
      <c r="K82" s="390"/>
      <c r="L82" s="5"/>
      <c r="M82" s="29"/>
      <c r="N82" s="129"/>
      <c r="O82" s="129"/>
      <c r="P82" s="129"/>
      <c r="Q82" s="129"/>
      <c r="R82" s="129"/>
      <c r="S82" s="6"/>
    </row>
    <row r="83" spans="2:19" ht="14.25" customHeight="1" x14ac:dyDescent="0.2">
      <c r="B83" s="28"/>
      <c r="C83" s="41" t="s">
        <v>1016</v>
      </c>
      <c r="D83" s="619" t="s">
        <v>1125</v>
      </c>
      <c r="E83" s="615"/>
      <c r="F83" s="615"/>
      <c r="G83" s="615"/>
      <c r="H83" s="615"/>
      <c r="I83" s="616"/>
      <c r="J83" s="372"/>
      <c r="K83" s="390"/>
      <c r="L83" s="5"/>
      <c r="M83" s="29"/>
      <c r="N83" s="129"/>
      <c r="O83" s="129"/>
      <c r="P83" s="129"/>
      <c r="Q83" s="129"/>
      <c r="R83" s="129"/>
      <c r="S83" s="6"/>
    </row>
    <row r="84" spans="2:19" ht="14.25" customHeight="1" x14ac:dyDescent="0.2">
      <c r="B84" s="28"/>
      <c r="C84" s="41" t="s">
        <v>1017</v>
      </c>
      <c r="D84" s="619" t="s">
        <v>1128</v>
      </c>
      <c r="E84" s="615"/>
      <c r="F84" s="615"/>
      <c r="G84" s="615"/>
      <c r="H84" s="615"/>
      <c r="I84" s="616"/>
      <c r="J84" s="372"/>
      <c r="K84" s="390"/>
      <c r="L84" s="5"/>
      <c r="M84" s="29"/>
      <c r="N84" s="129"/>
      <c r="O84" s="129"/>
      <c r="P84" s="129"/>
      <c r="Q84" s="129"/>
      <c r="R84" s="129"/>
      <c r="S84" s="6"/>
    </row>
    <row r="85" spans="2:19" ht="14.25" customHeight="1" x14ac:dyDescent="0.2">
      <c r="B85" s="28"/>
      <c r="C85" s="41" t="s">
        <v>1018</v>
      </c>
      <c r="D85" s="619" t="s">
        <v>1133</v>
      </c>
      <c r="E85" s="615"/>
      <c r="F85" s="615"/>
      <c r="G85" s="615"/>
      <c r="H85" s="615"/>
      <c r="I85" s="616"/>
      <c r="J85" s="372"/>
      <c r="K85" s="390"/>
      <c r="L85" s="5"/>
      <c r="M85" s="29"/>
      <c r="N85" s="129"/>
      <c r="O85" s="129"/>
      <c r="P85" s="129"/>
      <c r="Q85" s="129"/>
      <c r="R85" s="129"/>
      <c r="S85" s="6"/>
    </row>
    <row r="86" spans="2:19" ht="14.25" customHeight="1" x14ac:dyDescent="0.2">
      <c r="B86" s="28"/>
      <c r="C86" s="41"/>
      <c r="D86" s="94" t="s">
        <v>1129</v>
      </c>
      <c r="E86" s="130"/>
      <c r="F86" s="130"/>
      <c r="G86" s="130"/>
      <c r="H86" s="29"/>
      <c r="I86" s="129"/>
      <c r="J86" s="29"/>
      <c r="K86" s="129"/>
      <c r="L86" s="5"/>
      <c r="M86" s="29"/>
      <c r="N86" s="129"/>
      <c r="O86" s="129"/>
      <c r="P86" s="129"/>
      <c r="Q86" s="129"/>
      <c r="R86" s="129"/>
      <c r="S86" s="6"/>
    </row>
    <row r="87" spans="2:19" ht="14.25" customHeight="1" x14ac:dyDescent="0.2">
      <c r="B87" s="28"/>
      <c r="C87" s="43" t="s">
        <v>1054</v>
      </c>
      <c r="D87" s="619" t="s">
        <v>1134</v>
      </c>
      <c r="E87" s="615"/>
      <c r="F87" s="615"/>
      <c r="G87" s="615"/>
      <c r="H87" s="615"/>
      <c r="I87" s="616"/>
      <c r="J87" s="372"/>
      <c r="K87" s="390"/>
      <c r="L87" s="5"/>
      <c r="M87" s="29"/>
      <c r="N87" s="129"/>
      <c r="O87" s="129"/>
      <c r="P87" s="129"/>
      <c r="Q87" s="129"/>
      <c r="R87" s="129"/>
      <c r="S87" s="6"/>
    </row>
    <row r="88" spans="2:19" ht="14.25" customHeight="1" x14ac:dyDescent="0.2">
      <c r="B88" s="28"/>
      <c r="C88" s="41" t="s">
        <v>1019</v>
      </c>
      <c r="D88" s="614" t="s">
        <v>1132</v>
      </c>
      <c r="E88" s="615"/>
      <c r="F88" s="615"/>
      <c r="G88" s="615"/>
      <c r="H88" s="615"/>
      <c r="I88" s="616"/>
      <c r="J88" s="372"/>
      <c r="K88" s="390"/>
      <c r="L88" s="5"/>
      <c r="M88" s="29"/>
      <c r="N88" s="129"/>
      <c r="O88" s="129"/>
      <c r="P88" s="129"/>
      <c r="Q88" s="129"/>
      <c r="R88" s="129"/>
      <c r="S88" s="6"/>
    </row>
    <row r="89" spans="2:19" ht="15" thickBot="1" x14ac:dyDescent="0.25">
      <c r="B89" s="27"/>
      <c r="C89" s="16"/>
      <c r="D89" s="16"/>
      <c r="E89" s="16"/>
      <c r="F89" s="16"/>
      <c r="G89" s="16"/>
      <c r="H89" s="16"/>
      <c r="I89" s="16"/>
      <c r="J89" s="16"/>
      <c r="K89" s="16"/>
      <c r="L89" s="16"/>
      <c r="M89" s="16"/>
      <c r="N89" s="16"/>
      <c r="O89" s="16"/>
      <c r="P89" s="16"/>
      <c r="Q89" s="16"/>
      <c r="R89" s="16"/>
      <c r="S89" s="17"/>
    </row>
    <row r="90" spans="2:19" ht="15.75" thickTop="1" thickBot="1" x14ac:dyDescent="0.25"/>
    <row r="91" spans="2:19" ht="15" thickTop="1" x14ac:dyDescent="0.2">
      <c r="B91" s="2"/>
      <c r="C91" s="3"/>
      <c r="D91" s="3"/>
      <c r="E91" s="3"/>
      <c r="F91" s="3"/>
      <c r="G91" s="3"/>
      <c r="H91" s="3"/>
      <c r="I91" s="3"/>
      <c r="J91" s="3"/>
      <c r="K91" s="3"/>
      <c r="L91" s="3"/>
      <c r="M91" s="3"/>
      <c r="N91" s="3"/>
      <c r="O91" s="3"/>
      <c r="P91" s="3"/>
      <c r="Q91" s="3"/>
      <c r="R91" s="3"/>
      <c r="S91" s="19"/>
    </row>
    <row r="92" spans="2:19" ht="15.75" x14ac:dyDescent="0.25">
      <c r="B92" s="4"/>
      <c r="C92" s="20" t="s">
        <v>1141</v>
      </c>
      <c r="D92" s="21"/>
      <c r="E92" s="5"/>
      <c r="F92" s="5"/>
      <c r="G92" s="5"/>
      <c r="H92" s="5"/>
      <c r="I92" s="5"/>
      <c r="J92" s="5"/>
      <c r="K92" s="5"/>
      <c r="L92" s="5"/>
      <c r="M92" s="5"/>
      <c r="N92" s="5"/>
      <c r="O92" s="5"/>
      <c r="P92" s="5"/>
      <c r="Q92" s="5"/>
      <c r="R92" s="5"/>
      <c r="S92" s="6"/>
    </row>
    <row r="93" spans="2:19" ht="15" x14ac:dyDescent="0.25">
      <c r="B93" s="28"/>
      <c r="C93" s="133"/>
      <c r="D93" s="29"/>
      <c r="E93" s="133"/>
      <c r="F93" s="133"/>
      <c r="G93" s="133"/>
      <c r="H93" s="133"/>
      <c r="I93" s="133"/>
      <c r="J93" s="30"/>
      <c r="K93" s="30"/>
      <c r="L93" s="30"/>
      <c r="M93" s="617" t="s">
        <v>1186</v>
      </c>
      <c r="N93" s="618"/>
      <c r="O93" s="576"/>
      <c r="P93" s="129"/>
      <c r="Q93" s="129"/>
      <c r="R93" s="129"/>
      <c r="S93" s="6"/>
    </row>
    <row r="94" spans="2:19" ht="15" x14ac:dyDescent="0.25">
      <c r="B94" s="28"/>
      <c r="C94" s="82">
        <v>4.0999999999999996</v>
      </c>
      <c r="D94" s="51" t="s">
        <v>1143</v>
      </c>
      <c r="E94" s="32"/>
      <c r="F94" s="32"/>
      <c r="G94" s="32"/>
      <c r="H94" s="32"/>
      <c r="I94" s="32"/>
      <c r="J94" s="32"/>
      <c r="K94" s="24"/>
      <c r="L94" s="22"/>
      <c r="M94" s="474"/>
      <c r="N94" s="475"/>
      <c r="O94" s="476"/>
      <c r="P94" s="45"/>
      <c r="Q94" s="129"/>
      <c r="R94" s="129"/>
      <c r="S94" s="6"/>
    </row>
    <row r="95" spans="2:19" ht="15" x14ac:dyDescent="0.25">
      <c r="B95" s="4"/>
      <c r="C95" s="112"/>
      <c r="D95" s="37"/>
      <c r="E95" s="32"/>
      <c r="F95" s="32"/>
      <c r="G95" s="32"/>
      <c r="H95" s="32"/>
      <c r="I95" s="136"/>
      <c r="J95" s="136"/>
      <c r="K95" s="136"/>
      <c r="L95" s="136"/>
      <c r="M95" s="599"/>
      <c r="N95" s="600"/>
      <c r="O95" s="601"/>
      <c r="P95" s="129"/>
      <c r="Q95" s="129"/>
      <c r="R95" s="129"/>
      <c r="S95" s="6"/>
    </row>
    <row r="96" spans="2:19" ht="15" x14ac:dyDescent="0.25">
      <c r="B96" s="4"/>
      <c r="C96" s="82">
        <v>4.2</v>
      </c>
      <c r="D96" s="24" t="s">
        <v>1144</v>
      </c>
      <c r="E96" s="130"/>
      <c r="F96" s="130"/>
      <c r="G96" s="130"/>
      <c r="H96" s="130"/>
      <c r="I96" s="130"/>
      <c r="J96" s="130"/>
      <c r="K96" s="130"/>
      <c r="L96" s="130"/>
      <c r="M96" s="474"/>
      <c r="N96" s="475"/>
      <c r="O96" s="476"/>
      <c r="P96" s="129"/>
      <c r="Q96" s="129"/>
      <c r="R96" s="129"/>
      <c r="S96" s="6"/>
    </row>
    <row r="97" spans="2:19" ht="15" x14ac:dyDescent="0.25">
      <c r="B97" s="4"/>
      <c r="C97" s="112"/>
      <c r="D97" s="37"/>
      <c r="E97" s="32"/>
      <c r="F97" s="32"/>
      <c r="G97" s="32"/>
      <c r="H97" s="32"/>
      <c r="I97" s="136"/>
      <c r="J97" s="136"/>
      <c r="K97" s="136"/>
      <c r="L97" s="136"/>
      <c r="M97" s="599"/>
      <c r="N97" s="600"/>
      <c r="O97" s="601"/>
      <c r="P97" s="129"/>
      <c r="Q97" s="129"/>
      <c r="R97" s="129"/>
      <c r="S97" s="6"/>
    </row>
    <row r="98" spans="2:19" ht="15" x14ac:dyDescent="0.25">
      <c r="B98" s="4"/>
      <c r="C98" s="82">
        <v>4.3</v>
      </c>
      <c r="D98" s="24" t="s">
        <v>1142</v>
      </c>
      <c r="E98" s="130"/>
      <c r="F98" s="130"/>
      <c r="G98" s="130"/>
      <c r="H98" s="130"/>
      <c r="I98" s="130"/>
      <c r="J98" s="130"/>
      <c r="K98" s="130"/>
      <c r="L98" s="130"/>
      <c r="M98" s="474"/>
      <c r="N98" s="475"/>
      <c r="O98" s="476"/>
      <c r="P98" s="5"/>
      <c r="Q98" s="5"/>
      <c r="R98" s="5"/>
      <c r="S98" s="6"/>
    </row>
    <row r="99" spans="2:19" ht="15" x14ac:dyDescent="0.25">
      <c r="B99" s="4"/>
      <c r="C99" s="82"/>
      <c r="D99" s="24"/>
      <c r="E99" s="130"/>
      <c r="F99" s="130"/>
      <c r="G99" s="130"/>
      <c r="H99" s="130"/>
      <c r="I99" s="130"/>
      <c r="J99" s="130"/>
      <c r="K99" s="130"/>
      <c r="L99" s="130"/>
      <c r="M99" s="599"/>
      <c r="N99" s="600"/>
      <c r="O99" s="601"/>
      <c r="P99" s="5"/>
      <c r="Q99" s="5"/>
      <c r="R99" s="5"/>
      <c r="S99" s="6"/>
    </row>
    <row r="100" spans="2:19" ht="15" x14ac:dyDescent="0.25">
      <c r="B100" s="4"/>
      <c r="C100" s="82">
        <v>4.4000000000000004</v>
      </c>
      <c r="D100" s="24" t="s">
        <v>1153</v>
      </c>
      <c r="E100" s="130"/>
      <c r="F100" s="130"/>
      <c r="G100" s="130"/>
      <c r="H100" s="130"/>
      <c r="I100" s="130"/>
      <c r="J100" s="130"/>
      <c r="K100" s="130"/>
      <c r="L100" s="130"/>
      <c r="M100" s="474"/>
      <c r="N100" s="475"/>
      <c r="O100" s="476"/>
      <c r="P100" s="5"/>
      <c r="Q100" s="337"/>
      <c r="R100" s="5"/>
      <c r="S100" s="6"/>
    </row>
    <row r="101" spans="2:19" ht="15" x14ac:dyDescent="0.25">
      <c r="B101" s="4"/>
      <c r="C101" s="82"/>
      <c r="D101" s="24"/>
      <c r="E101" s="130"/>
      <c r="F101" s="130"/>
      <c r="G101" s="130"/>
      <c r="H101" s="130"/>
      <c r="I101" s="130"/>
      <c r="J101" s="130"/>
      <c r="K101" s="130"/>
      <c r="L101" s="130"/>
      <c r="M101" s="599"/>
      <c r="N101" s="600"/>
      <c r="O101" s="601"/>
      <c r="P101" s="5"/>
      <c r="Q101" s="5"/>
      <c r="R101" s="5"/>
      <c r="S101" s="6"/>
    </row>
    <row r="102" spans="2:19" ht="15" x14ac:dyDescent="0.25">
      <c r="B102" s="4"/>
      <c r="C102" s="82">
        <v>4.5</v>
      </c>
      <c r="D102" s="138" t="s">
        <v>1152</v>
      </c>
      <c r="E102" s="102"/>
      <c r="F102" s="102"/>
      <c r="G102" s="102"/>
      <c r="H102" s="102"/>
      <c r="I102" s="102"/>
      <c r="J102" s="102"/>
      <c r="K102" s="130"/>
      <c r="L102" s="130"/>
      <c r="M102" s="372"/>
      <c r="N102" s="478"/>
      <c r="O102" s="479"/>
      <c r="P102" s="5" t="s">
        <v>1084</v>
      </c>
      <c r="Q102" s="5"/>
      <c r="R102" s="5"/>
      <c r="S102" s="6"/>
    </row>
    <row r="103" spans="2:19" ht="15" x14ac:dyDescent="0.25">
      <c r="B103" s="4"/>
      <c r="C103" s="82"/>
      <c r="D103" s="52" t="s">
        <v>1151</v>
      </c>
      <c r="E103" s="102"/>
      <c r="F103" s="102"/>
      <c r="G103" s="102"/>
      <c r="H103" s="102"/>
      <c r="I103" s="102"/>
      <c r="J103" s="102"/>
      <c r="K103" s="130"/>
      <c r="L103" s="130"/>
      <c r="M103" s="599"/>
      <c r="N103" s="600"/>
      <c r="O103" s="601"/>
      <c r="P103" s="130"/>
      <c r="Q103" s="5"/>
      <c r="R103" s="5"/>
      <c r="S103" s="6"/>
    </row>
    <row r="104" spans="2:19" ht="15" x14ac:dyDescent="0.25">
      <c r="B104" s="4"/>
      <c r="C104" s="82">
        <v>4.5999999999999996</v>
      </c>
      <c r="D104" s="52" t="s">
        <v>1154</v>
      </c>
      <c r="E104" s="130"/>
      <c r="F104" s="130"/>
      <c r="G104" s="130"/>
      <c r="H104" s="130"/>
      <c r="I104" s="130"/>
      <c r="J104" s="130"/>
      <c r="K104" s="130"/>
      <c r="L104" s="130"/>
      <c r="M104" s="398"/>
      <c r="N104" s="399"/>
      <c r="O104" s="476"/>
      <c r="P104" s="130"/>
      <c r="Q104" s="5"/>
      <c r="R104" s="5"/>
      <c r="S104" s="6"/>
    </row>
    <row r="105" spans="2:19" ht="15" x14ac:dyDescent="0.25">
      <c r="B105" s="4"/>
      <c r="C105" s="81"/>
      <c r="D105" s="52" t="s">
        <v>1155</v>
      </c>
      <c r="E105" s="130"/>
      <c r="F105" s="130"/>
      <c r="G105" s="130"/>
      <c r="H105" s="130"/>
      <c r="I105" s="130"/>
      <c r="J105" s="130"/>
      <c r="K105" s="130"/>
      <c r="L105" s="130"/>
      <c r="M105" s="602"/>
      <c r="N105" s="603"/>
      <c r="O105" s="581"/>
      <c r="P105" s="130"/>
      <c r="Q105" s="5"/>
      <c r="R105" s="5"/>
      <c r="S105" s="6"/>
    </row>
    <row r="106" spans="2:19" ht="15" thickBot="1" x14ac:dyDescent="0.25">
      <c r="B106" s="27"/>
      <c r="C106" s="16"/>
      <c r="D106" s="16"/>
      <c r="E106" s="16"/>
      <c r="F106" s="16"/>
      <c r="G106" s="16"/>
      <c r="H106" s="16"/>
      <c r="I106" s="16"/>
      <c r="J106" s="16"/>
      <c r="K106" s="16"/>
      <c r="L106" s="16"/>
      <c r="M106" s="16"/>
      <c r="N106" s="16"/>
      <c r="O106" s="16"/>
      <c r="P106" s="16"/>
      <c r="Q106" s="16"/>
      <c r="R106" s="16"/>
      <c r="S106" s="17"/>
    </row>
    <row r="107" spans="2:19" ht="15.75" thickTop="1" thickBot="1" x14ac:dyDescent="0.25"/>
    <row r="108" spans="2:19" ht="15" customHeight="1" thickTop="1" x14ac:dyDescent="0.25">
      <c r="B108" s="2"/>
      <c r="C108" s="3"/>
      <c r="D108" s="3"/>
      <c r="E108" s="3"/>
      <c r="F108" s="3"/>
      <c r="G108" s="3"/>
      <c r="H108" s="3"/>
      <c r="I108" s="3"/>
      <c r="J108" s="3"/>
      <c r="K108" s="3"/>
      <c r="L108" s="3"/>
      <c r="M108" s="3"/>
      <c r="N108" s="3"/>
      <c r="O108" s="3"/>
      <c r="P108" s="53"/>
      <c r="Q108" s="132"/>
      <c r="R108" s="54"/>
      <c r="S108" s="55"/>
    </row>
    <row r="109" spans="2:19" ht="15" customHeight="1" x14ac:dyDescent="0.25">
      <c r="B109" s="4"/>
      <c r="C109" s="20" t="s">
        <v>1148</v>
      </c>
      <c r="D109" s="5"/>
      <c r="E109" s="5"/>
      <c r="F109" s="5"/>
      <c r="G109" s="5"/>
      <c r="H109" s="5"/>
      <c r="I109" s="5"/>
      <c r="J109" s="5"/>
      <c r="K109" s="5"/>
      <c r="L109" s="5"/>
      <c r="M109" s="140"/>
      <c r="N109" s="129"/>
      <c r="O109" s="5"/>
      <c r="P109" s="129"/>
      <c r="Q109" s="129"/>
      <c r="R109" s="129"/>
      <c r="S109" s="57"/>
    </row>
    <row r="110" spans="2:19" ht="15" customHeight="1" x14ac:dyDescent="0.2">
      <c r="B110" s="4"/>
      <c r="C110" s="604" t="s">
        <v>1755</v>
      </c>
      <c r="D110" s="605"/>
      <c r="E110" s="605"/>
      <c r="F110" s="605"/>
      <c r="G110" s="605"/>
      <c r="H110" s="605"/>
      <c r="I110" s="605"/>
      <c r="J110" s="605"/>
      <c r="K110" s="605"/>
      <c r="L110" s="606"/>
      <c r="M110" s="606"/>
      <c r="N110" s="606"/>
      <c r="O110" s="606"/>
      <c r="P110" s="606"/>
      <c r="Q110" s="606"/>
      <c r="R110" s="129"/>
      <c r="S110" s="57"/>
    </row>
    <row r="111" spans="2:19" ht="15" customHeight="1" x14ac:dyDescent="0.2">
      <c r="B111" s="4"/>
      <c r="C111" s="605"/>
      <c r="D111" s="605"/>
      <c r="E111" s="605"/>
      <c r="F111" s="605"/>
      <c r="G111" s="605"/>
      <c r="H111" s="605"/>
      <c r="I111" s="605"/>
      <c r="J111" s="605"/>
      <c r="K111" s="605"/>
      <c r="L111" s="606"/>
      <c r="M111" s="606"/>
      <c r="N111" s="606"/>
      <c r="O111" s="606"/>
      <c r="P111" s="606"/>
      <c r="Q111" s="606"/>
      <c r="R111" s="129"/>
      <c r="S111" s="57"/>
    </row>
    <row r="112" spans="2:19" ht="15" customHeight="1" x14ac:dyDescent="0.2">
      <c r="B112" s="4"/>
      <c r="C112" s="605"/>
      <c r="D112" s="605"/>
      <c r="E112" s="605"/>
      <c r="F112" s="605"/>
      <c r="G112" s="605"/>
      <c r="H112" s="605"/>
      <c r="I112" s="605"/>
      <c r="J112" s="605"/>
      <c r="K112" s="605"/>
      <c r="L112" s="606"/>
      <c r="M112" s="606"/>
      <c r="N112" s="606"/>
      <c r="O112" s="606"/>
      <c r="P112" s="606"/>
      <c r="Q112" s="606"/>
      <c r="R112" s="129"/>
      <c r="S112" s="57"/>
    </row>
    <row r="113" spans="2:19" ht="15" customHeight="1" x14ac:dyDescent="0.25">
      <c r="B113" s="4"/>
      <c r="C113" s="20"/>
      <c r="D113" s="5"/>
      <c r="E113" s="5"/>
      <c r="F113" s="5"/>
      <c r="G113" s="5"/>
      <c r="H113" s="5"/>
      <c r="I113" s="5"/>
      <c r="J113" s="5"/>
      <c r="K113" s="607" t="s">
        <v>1145</v>
      </c>
      <c r="L113" s="608"/>
      <c r="M113" s="608"/>
      <c r="N113" s="5"/>
      <c r="O113" s="610" t="s">
        <v>1146</v>
      </c>
      <c r="P113" s="611"/>
      <c r="Q113" s="611"/>
      <c r="R113" s="129"/>
      <c r="S113" s="57"/>
    </row>
    <row r="114" spans="2:19" ht="15" customHeight="1" thickBot="1" x14ac:dyDescent="0.3">
      <c r="B114" s="4"/>
      <c r="C114" s="20"/>
      <c r="D114" s="5"/>
      <c r="E114" s="5"/>
      <c r="F114" s="5"/>
      <c r="G114" s="5"/>
      <c r="H114" s="5"/>
      <c r="I114" s="5"/>
      <c r="J114" s="5"/>
      <c r="K114" s="609"/>
      <c r="L114" s="609"/>
      <c r="M114" s="609"/>
      <c r="N114" s="5"/>
      <c r="O114" s="612" t="s">
        <v>1147</v>
      </c>
      <c r="P114" s="613"/>
      <c r="Q114" s="613"/>
      <c r="R114" s="129"/>
      <c r="S114" s="57"/>
    </row>
    <row r="115" spans="2:19" ht="15" customHeight="1" thickBot="1" x14ac:dyDescent="0.3">
      <c r="B115" s="4"/>
      <c r="C115" s="82">
        <v>5.0999999999999996</v>
      </c>
      <c r="D115" s="5" t="s">
        <v>1741</v>
      </c>
      <c r="E115" s="5"/>
      <c r="F115" s="5"/>
      <c r="G115" s="5"/>
      <c r="H115" s="5"/>
      <c r="I115" s="104"/>
      <c r="J115" s="104"/>
      <c r="K115" s="435"/>
      <c r="L115" s="480"/>
      <c r="M115" s="481"/>
      <c r="N115" s="129"/>
      <c r="O115" s="435"/>
      <c r="P115" s="480"/>
      <c r="Q115" s="481"/>
      <c r="R115" s="129"/>
      <c r="S115" s="57"/>
    </row>
    <row r="116" spans="2:19" ht="15" customHeight="1" x14ac:dyDescent="0.25">
      <c r="B116" s="4"/>
      <c r="C116" s="5"/>
      <c r="D116" s="5"/>
      <c r="E116" s="5"/>
      <c r="F116" s="5"/>
      <c r="G116" s="5"/>
      <c r="H116" s="5"/>
      <c r="I116" s="5"/>
      <c r="J116" s="5"/>
      <c r="K116" s="5"/>
      <c r="L116" s="5"/>
      <c r="M116" s="573"/>
      <c r="N116" s="593"/>
      <c r="O116" s="5"/>
      <c r="P116" s="595"/>
      <c r="Q116" s="596"/>
      <c r="R116" s="129"/>
      <c r="S116" s="57"/>
    </row>
    <row r="117" spans="2:19" ht="15" customHeight="1" x14ac:dyDescent="0.25">
      <c r="B117" s="7"/>
      <c r="C117" s="50" t="s">
        <v>1149</v>
      </c>
      <c r="D117" s="5"/>
      <c r="E117" s="5"/>
      <c r="F117" s="5"/>
      <c r="G117" s="5"/>
      <c r="H117" s="5"/>
      <c r="I117" s="5"/>
      <c r="J117" s="5"/>
      <c r="K117" s="597" t="s">
        <v>1130</v>
      </c>
      <c r="L117" s="598"/>
      <c r="M117" s="598"/>
      <c r="N117" s="134"/>
      <c r="O117" s="597" t="s">
        <v>1130</v>
      </c>
      <c r="P117" s="598"/>
      <c r="Q117" s="598"/>
      <c r="R117" s="557"/>
      <c r="S117" s="587"/>
    </row>
    <row r="118" spans="2:19" ht="15" customHeight="1" x14ac:dyDescent="0.25">
      <c r="B118" s="7"/>
      <c r="C118" s="10"/>
      <c r="D118" s="58"/>
      <c r="E118" s="5"/>
      <c r="F118" s="5"/>
      <c r="G118" s="5"/>
      <c r="H118" s="145" t="s">
        <v>1258</v>
      </c>
      <c r="I118" s="145" t="s">
        <v>1257</v>
      </c>
      <c r="J118" s="5"/>
      <c r="K118" s="5"/>
      <c r="L118" s="59"/>
      <c r="M118" s="575"/>
      <c r="N118" s="593"/>
      <c r="O118" s="5"/>
      <c r="P118" s="594"/>
      <c r="Q118" s="576"/>
      <c r="R118" s="56"/>
      <c r="S118" s="57"/>
    </row>
    <row r="119" spans="2:19" ht="15" customHeight="1" x14ac:dyDescent="0.25">
      <c r="B119" s="7"/>
      <c r="C119" s="33" t="s">
        <v>37</v>
      </c>
      <c r="D119" s="59" t="s">
        <v>1150</v>
      </c>
      <c r="E119" s="59"/>
      <c r="F119" s="59"/>
      <c r="G119" s="59"/>
      <c r="H119" s="5"/>
      <c r="I119" s="5"/>
      <c r="J119" s="5"/>
      <c r="K119" s="372"/>
      <c r="L119" s="373"/>
      <c r="M119" s="374"/>
      <c r="N119" s="5"/>
      <c r="O119" s="372"/>
      <c r="P119" s="373"/>
      <c r="Q119" s="374"/>
      <c r="R119" s="56"/>
      <c r="S119" s="57"/>
    </row>
    <row r="120" spans="2:19" ht="15" customHeight="1" x14ac:dyDescent="0.25">
      <c r="B120" s="7"/>
      <c r="C120" s="33" t="s">
        <v>38</v>
      </c>
      <c r="D120" s="59" t="s">
        <v>1195</v>
      </c>
      <c r="E120" s="59"/>
      <c r="F120" s="59"/>
      <c r="G120" s="59"/>
      <c r="H120" s="5"/>
      <c r="I120" s="5"/>
      <c r="J120" s="5"/>
      <c r="K120" s="372"/>
      <c r="L120" s="373"/>
      <c r="M120" s="374"/>
      <c r="N120" s="5"/>
      <c r="O120" s="372"/>
      <c r="P120" s="373"/>
      <c r="Q120" s="374"/>
      <c r="R120" s="56"/>
      <c r="S120" s="57"/>
    </row>
    <row r="121" spans="2:19" ht="15" customHeight="1" x14ac:dyDescent="0.25">
      <c r="B121" s="7"/>
      <c r="C121" s="10"/>
      <c r="D121" s="42" t="s">
        <v>1113</v>
      </c>
      <c r="E121" s="59"/>
      <c r="F121" s="59"/>
      <c r="G121" s="59"/>
      <c r="H121" s="5"/>
      <c r="I121" s="5"/>
      <c r="J121" s="5"/>
      <c r="K121" s="592"/>
      <c r="L121" s="560"/>
      <c r="M121" s="560"/>
      <c r="N121" s="129"/>
      <c r="O121" s="592"/>
      <c r="P121" s="560"/>
      <c r="Q121" s="560"/>
      <c r="R121" s="56"/>
      <c r="S121" s="57"/>
    </row>
    <row r="122" spans="2:19" ht="15" customHeight="1" x14ac:dyDescent="0.25">
      <c r="B122" s="7"/>
      <c r="C122" s="60" t="s">
        <v>6</v>
      </c>
      <c r="D122" s="59" t="s">
        <v>1196</v>
      </c>
      <c r="E122" s="59"/>
      <c r="F122" s="59"/>
      <c r="G122" s="59"/>
      <c r="H122" s="5"/>
      <c r="I122" s="5"/>
      <c r="J122" s="5"/>
      <c r="K122" s="372"/>
      <c r="L122" s="373"/>
      <c r="M122" s="374"/>
      <c r="N122" s="5"/>
      <c r="O122" s="372"/>
      <c r="P122" s="373"/>
      <c r="Q122" s="374"/>
      <c r="R122" s="56"/>
      <c r="S122" s="57"/>
    </row>
    <row r="123" spans="2:19" ht="15" customHeight="1" x14ac:dyDescent="0.25">
      <c r="B123" s="4"/>
      <c r="C123" s="60" t="s">
        <v>7</v>
      </c>
      <c r="D123" s="59" t="s">
        <v>1249</v>
      </c>
      <c r="E123" s="59"/>
      <c r="F123" s="59"/>
      <c r="G123" s="59"/>
      <c r="H123" s="5"/>
      <c r="I123" s="5"/>
      <c r="J123" s="5"/>
      <c r="K123" s="372"/>
      <c r="L123" s="373"/>
      <c r="M123" s="374"/>
      <c r="N123" s="5"/>
      <c r="O123" s="372"/>
      <c r="P123" s="373"/>
      <c r="Q123" s="374"/>
      <c r="R123" s="56"/>
      <c r="S123" s="57"/>
    </row>
    <row r="124" spans="2:19" ht="15" customHeight="1" x14ac:dyDescent="0.25">
      <c r="B124" s="4"/>
      <c r="C124" s="60" t="s">
        <v>8</v>
      </c>
      <c r="D124" s="59" t="s">
        <v>1250</v>
      </c>
      <c r="E124" s="59"/>
      <c r="F124" s="59"/>
      <c r="G124" s="59"/>
      <c r="H124" s="5"/>
      <c r="I124" s="5"/>
      <c r="J124" s="5"/>
      <c r="K124" s="372"/>
      <c r="L124" s="373"/>
      <c r="M124" s="374"/>
      <c r="N124" s="5"/>
      <c r="O124" s="372"/>
      <c r="P124" s="373"/>
      <c r="Q124" s="374"/>
      <c r="R124" s="56"/>
      <c r="S124" s="57"/>
    </row>
    <row r="125" spans="2:19" ht="15" customHeight="1" x14ac:dyDescent="0.25">
      <c r="B125" s="4"/>
      <c r="C125" s="33" t="s">
        <v>39</v>
      </c>
      <c r="D125" s="59" t="s">
        <v>1197</v>
      </c>
      <c r="E125" s="59"/>
      <c r="F125" s="59"/>
      <c r="G125" s="59"/>
      <c r="H125" s="5"/>
      <c r="I125" s="5"/>
      <c r="J125" s="5"/>
      <c r="K125" s="372"/>
      <c r="L125" s="373"/>
      <c r="M125" s="374"/>
      <c r="N125" s="5"/>
      <c r="O125" s="372"/>
      <c r="P125" s="373"/>
      <c r="Q125" s="374"/>
      <c r="R125" s="56"/>
      <c r="S125" s="338"/>
    </row>
    <row r="126" spans="2:19" ht="15" customHeight="1" x14ac:dyDescent="0.25">
      <c r="B126" s="4"/>
      <c r="C126" s="33" t="s">
        <v>800</v>
      </c>
      <c r="D126" s="59" t="s">
        <v>1198</v>
      </c>
      <c r="E126" s="59"/>
      <c r="F126" s="59"/>
      <c r="G126" s="59"/>
      <c r="H126" s="5"/>
      <c r="I126" s="5"/>
      <c r="J126" s="5"/>
      <c r="K126" s="372"/>
      <c r="L126" s="373"/>
      <c r="M126" s="374"/>
      <c r="N126" s="5"/>
      <c r="O126" s="372"/>
      <c r="P126" s="373"/>
      <c r="Q126" s="374"/>
      <c r="R126" s="56"/>
      <c r="S126" s="57"/>
    </row>
    <row r="127" spans="2:19" ht="15" customHeight="1" x14ac:dyDescent="0.25">
      <c r="B127" s="4"/>
      <c r="C127" s="33" t="s">
        <v>801</v>
      </c>
      <c r="D127" s="59" t="s">
        <v>1199</v>
      </c>
      <c r="E127" s="59"/>
      <c r="F127" s="59"/>
      <c r="G127" s="59"/>
      <c r="H127" s="5"/>
      <c r="I127" s="5"/>
      <c r="J127" s="5"/>
      <c r="K127" s="372"/>
      <c r="L127" s="373"/>
      <c r="M127" s="374"/>
      <c r="N127" s="5"/>
      <c r="O127" s="372"/>
      <c r="P127" s="373"/>
      <c r="Q127" s="374"/>
      <c r="R127" s="56"/>
      <c r="S127" s="57"/>
    </row>
    <row r="128" spans="2:19" ht="15" customHeight="1" x14ac:dyDescent="0.25">
      <c r="B128" s="4"/>
      <c r="C128" s="33" t="s">
        <v>802</v>
      </c>
      <c r="D128" s="59" t="s">
        <v>1200</v>
      </c>
      <c r="E128" s="59"/>
      <c r="F128" s="59"/>
      <c r="G128" s="59"/>
      <c r="H128" s="5"/>
      <c r="I128" s="5"/>
      <c r="J128" s="5"/>
      <c r="K128" s="372"/>
      <c r="L128" s="373"/>
      <c r="M128" s="374"/>
      <c r="N128" s="5"/>
      <c r="O128" s="372"/>
      <c r="P128" s="373"/>
      <c r="Q128" s="374"/>
      <c r="R128" s="56"/>
      <c r="S128" s="57"/>
    </row>
    <row r="129" spans="2:19" ht="15" customHeight="1" x14ac:dyDescent="0.25">
      <c r="B129" s="4"/>
      <c r="C129" s="33" t="s">
        <v>803</v>
      </c>
      <c r="D129" s="59" t="s">
        <v>1201</v>
      </c>
      <c r="E129" s="59"/>
      <c r="F129" s="59"/>
      <c r="G129" s="59"/>
      <c r="H129" s="5"/>
      <c r="I129" s="5"/>
      <c r="J129" s="5"/>
      <c r="K129" s="372"/>
      <c r="L129" s="373"/>
      <c r="M129" s="374"/>
      <c r="N129" s="5"/>
      <c r="O129" s="372"/>
      <c r="P129" s="373"/>
      <c r="Q129" s="374"/>
      <c r="R129" s="56"/>
      <c r="S129" s="57"/>
    </row>
    <row r="130" spans="2:19" ht="15" customHeight="1" x14ac:dyDescent="0.25">
      <c r="B130" s="4"/>
      <c r="C130" s="33" t="s">
        <v>804</v>
      </c>
      <c r="D130" s="103" t="s">
        <v>1202</v>
      </c>
      <c r="E130" s="103"/>
      <c r="F130" s="103"/>
      <c r="G130" s="103"/>
      <c r="H130" s="5"/>
      <c r="I130" s="5"/>
      <c r="J130" s="67"/>
      <c r="K130" s="372"/>
      <c r="L130" s="373"/>
      <c r="M130" s="374"/>
      <c r="N130" s="5"/>
      <c r="O130" s="372"/>
      <c r="P130" s="373"/>
      <c r="Q130" s="374"/>
      <c r="R130" s="56"/>
      <c r="S130" s="57"/>
    </row>
    <row r="131" spans="2:19" ht="15" customHeight="1" x14ac:dyDescent="0.25">
      <c r="B131" s="4"/>
      <c r="C131" s="67"/>
      <c r="D131" s="42" t="s">
        <v>1113</v>
      </c>
      <c r="E131" s="103"/>
      <c r="F131" s="103"/>
      <c r="G131" s="103"/>
      <c r="H131" s="67"/>
      <c r="I131" s="67"/>
      <c r="J131" s="67"/>
      <c r="K131" s="592"/>
      <c r="L131" s="560"/>
      <c r="M131" s="560"/>
      <c r="N131" s="129"/>
      <c r="O131" s="592"/>
      <c r="P131" s="560"/>
      <c r="Q131" s="560"/>
      <c r="R131" s="56"/>
      <c r="S131" s="57"/>
    </row>
    <row r="132" spans="2:19" ht="15" customHeight="1" x14ac:dyDescent="0.25">
      <c r="B132" s="4"/>
      <c r="C132" s="43" t="s">
        <v>1061</v>
      </c>
      <c r="D132" s="103" t="s">
        <v>1203</v>
      </c>
      <c r="E132" s="103"/>
      <c r="F132" s="103"/>
      <c r="G132" s="103"/>
      <c r="H132" s="5"/>
      <c r="I132" s="5"/>
      <c r="J132" s="67"/>
      <c r="K132" s="372"/>
      <c r="L132" s="373"/>
      <c r="M132" s="374"/>
      <c r="N132" s="5"/>
      <c r="O132" s="372"/>
      <c r="P132" s="373"/>
      <c r="Q132" s="374"/>
      <c r="R132" s="56"/>
      <c r="S132" s="57"/>
    </row>
    <row r="133" spans="2:19" ht="15" customHeight="1" x14ac:dyDescent="0.25">
      <c r="B133" s="4"/>
      <c r="C133" s="33" t="s">
        <v>1774</v>
      </c>
      <c r="D133" s="103" t="s">
        <v>1204</v>
      </c>
      <c r="E133" s="103"/>
      <c r="F133" s="103"/>
      <c r="G133" s="103"/>
      <c r="H133" s="5"/>
      <c r="I133" s="5"/>
      <c r="J133" s="67"/>
      <c r="K133" s="372"/>
      <c r="L133" s="373"/>
      <c r="M133" s="374"/>
      <c r="N133" s="5"/>
      <c r="O133" s="372"/>
      <c r="P133" s="373"/>
      <c r="Q133" s="374"/>
      <c r="R133" s="56"/>
      <c r="S133" s="57"/>
    </row>
    <row r="134" spans="2:19" ht="15" customHeight="1" x14ac:dyDescent="0.25">
      <c r="B134" s="4"/>
      <c r="C134" s="33" t="s">
        <v>897</v>
      </c>
      <c r="D134" s="103" t="s">
        <v>1205</v>
      </c>
      <c r="E134" s="103"/>
      <c r="F134" s="103"/>
      <c r="G134" s="103"/>
      <c r="H134" s="5"/>
      <c r="I134" s="5"/>
      <c r="J134" s="67"/>
      <c r="K134" s="372"/>
      <c r="L134" s="373"/>
      <c r="M134" s="374"/>
      <c r="N134" s="5"/>
      <c r="O134" s="372"/>
      <c r="P134" s="373"/>
      <c r="Q134" s="374"/>
      <c r="R134" s="56"/>
      <c r="S134" s="57"/>
    </row>
    <row r="135" spans="2:19" ht="15" customHeight="1" x14ac:dyDescent="0.25">
      <c r="B135" s="4"/>
      <c r="C135" s="33" t="s">
        <v>898</v>
      </c>
      <c r="D135" s="103" t="s">
        <v>1206</v>
      </c>
      <c r="E135" s="103"/>
      <c r="F135" s="103"/>
      <c r="G135" s="103"/>
      <c r="H135" s="5"/>
      <c r="I135" s="5"/>
      <c r="J135" s="67"/>
      <c r="K135" s="372"/>
      <c r="L135" s="373"/>
      <c r="M135" s="374"/>
      <c r="N135" s="5"/>
      <c r="O135" s="372"/>
      <c r="P135" s="373"/>
      <c r="Q135" s="374"/>
      <c r="R135" s="56"/>
      <c r="S135" s="57"/>
    </row>
    <row r="136" spans="2:19" ht="15" customHeight="1" thickBot="1" x14ac:dyDescent="0.3">
      <c r="B136" s="4"/>
      <c r="C136" s="33"/>
      <c r="D136" s="103"/>
      <c r="E136" s="103"/>
      <c r="F136" s="103"/>
      <c r="G136" s="103"/>
      <c r="H136" s="103"/>
      <c r="I136" s="67"/>
      <c r="J136" s="67"/>
      <c r="K136" s="67"/>
      <c r="L136" s="67"/>
      <c r="M136" s="129"/>
      <c r="N136" s="129"/>
      <c r="O136" s="5"/>
      <c r="P136" s="129"/>
      <c r="Q136" s="129"/>
      <c r="R136" s="56"/>
      <c r="S136" s="57"/>
    </row>
    <row r="137" spans="2:19" ht="15" customHeight="1" thickTop="1" thickBot="1" x14ac:dyDescent="0.3">
      <c r="B137" s="4"/>
      <c r="C137" s="115"/>
      <c r="D137" s="116"/>
      <c r="E137" s="116"/>
      <c r="F137" s="116"/>
      <c r="G137" s="116"/>
      <c r="H137" s="116"/>
      <c r="I137" s="117"/>
      <c r="J137" s="117"/>
      <c r="K137" s="117"/>
      <c r="L137" s="117"/>
      <c r="M137" s="118"/>
      <c r="N137" s="118"/>
      <c r="O137" s="119"/>
      <c r="P137" s="118"/>
      <c r="Q137" s="118"/>
      <c r="R137" s="56"/>
      <c r="S137" s="57"/>
    </row>
    <row r="138" spans="2:19" ht="15" customHeight="1" thickBot="1" x14ac:dyDescent="0.3">
      <c r="B138" s="4"/>
      <c r="C138" s="82">
        <v>5.2</v>
      </c>
      <c r="D138" s="5" t="s">
        <v>1740</v>
      </c>
      <c r="E138" s="5"/>
      <c r="F138" s="59"/>
      <c r="G138" s="59"/>
      <c r="H138" s="59"/>
      <c r="I138" s="104"/>
      <c r="J138" s="104"/>
      <c r="K138" s="435"/>
      <c r="L138" s="480"/>
      <c r="M138" s="481"/>
      <c r="N138" s="129"/>
      <c r="O138" s="129"/>
      <c r="P138" s="113"/>
      <c r="Q138" s="114"/>
      <c r="R138" s="56"/>
      <c r="S138" s="57"/>
    </row>
    <row r="139" spans="2:19" ht="15" customHeight="1" x14ac:dyDescent="0.25">
      <c r="B139" s="4"/>
      <c r="C139" s="82"/>
      <c r="D139" s="59" t="s">
        <v>1251</v>
      </c>
      <c r="E139" s="5"/>
      <c r="F139" s="59"/>
      <c r="G139" s="59"/>
      <c r="H139" s="59"/>
      <c r="I139" s="5"/>
      <c r="J139" s="5"/>
      <c r="K139" s="129"/>
      <c r="L139" s="129"/>
      <c r="M139" s="129"/>
      <c r="N139" s="129"/>
      <c r="O139" s="129"/>
      <c r="P139" s="113"/>
      <c r="Q139" s="114"/>
      <c r="R139" s="56"/>
      <c r="S139" s="57"/>
    </row>
    <row r="140" spans="2:19" ht="15" customHeight="1" x14ac:dyDescent="0.25">
      <c r="B140" s="4"/>
      <c r="C140" s="82"/>
      <c r="D140" s="59" t="s">
        <v>1252</v>
      </c>
      <c r="E140" s="5"/>
      <c r="F140" s="59"/>
      <c r="G140" s="59"/>
      <c r="H140" s="59"/>
      <c r="I140" s="5"/>
      <c r="J140" s="5"/>
      <c r="K140" s="129"/>
      <c r="L140" s="129"/>
      <c r="M140" s="129"/>
      <c r="N140" s="129"/>
      <c r="O140" s="129"/>
      <c r="P140" s="113"/>
      <c r="Q140" s="114"/>
      <c r="R140" s="56"/>
      <c r="S140" s="57"/>
    </row>
    <row r="141" spans="2:19" ht="15.75" thickBot="1" x14ac:dyDescent="0.3">
      <c r="B141" s="27"/>
      <c r="C141" s="16"/>
      <c r="D141" s="16"/>
      <c r="E141" s="16"/>
      <c r="F141" s="16"/>
      <c r="G141" s="16"/>
      <c r="H141" s="16"/>
      <c r="I141" s="16"/>
      <c r="J141" s="16"/>
      <c r="K141" s="16"/>
      <c r="L141" s="16"/>
      <c r="M141" s="590"/>
      <c r="N141" s="591"/>
      <c r="O141" s="16"/>
      <c r="P141" s="590"/>
      <c r="Q141" s="591"/>
      <c r="R141" s="16"/>
      <c r="S141" s="17"/>
    </row>
    <row r="142" spans="2:19" ht="15.75" thickTop="1" thickBot="1" x14ac:dyDescent="0.25"/>
    <row r="143" spans="2:19" ht="15" thickTop="1" x14ac:dyDescent="0.2">
      <c r="B143" s="2"/>
      <c r="C143" s="3"/>
      <c r="D143" s="3"/>
      <c r="E143" s="3"/>
      <c r="F143" s="3"/>
      <c r="G143" s="3"/>
      <c r="H143" s="3"/>
      <c r="I143" s="3"/>
      <c r="J143" s="3"/>
      <c r="K143" s="3"/>
      <c r="L143" s="3"/>
      <c r="M143" s="3"/>
      <c r="N143" s="3"/>
      <c r="O143" s="3"/>
      <c r="P143" s="3"/>
      <c r="Q143" s="3"/>
      <c r="R143" s="3"/>
      <c r="S143" s="19"/>
    </row>
    <row r="144" spans="2:19" ht="15.75" x14ac:dyDescent="0.25">
      <c r="B144" s="4"/>
      <c r="C144" s="20" t="s">
        <v>1253</v>
      </c>
      <c r="D144" s="61"/>
      <c r="E144" s="5"/>
      <c r="F144" s="5"/>
      <c r="G144" s="5"/>
      <c r="H144" s="5"/>
      <c r="I144" s="5"/>
      <c r="J144" s="5"/>
      <c r="K144" s="5"/>
      <c r="L144" s="5"/>
      <c r="M144" s="5"/>
      <c r="N144" s="5"/>
      <c r="O144" s="5"/>
      <c r="P144" s="5"/>
      <c r="Q144" s="5"/>
      <c r="R144" s="5"/>
      <c r="S144" s="6"/>
    </row>
    <row r="145" spans="2:19" ht="16.5" thickBot="1" x14ac:dyDescent="0.3">
      <c r="B145" s="4"/>
      <c r="C145" s="20"/>
      <c r="D145" s="61"/>
      <c r="E145" s="5"/>
      <c r="F145" s="5"/>
      <c r="G145" s="5"/>
      <c r="H145" s="5"/>
      <c r="I145" s="5"/>
      <c r="J145" s="5"/>
      <c r="K145" s="552" t="s">
        <v>1528</v>
      </c>
      <c r="L145" s="552"/>
      <c r="M145" s="552"/>
      <c r="N145" s="95"/>
      <c r="O145" s="552" t="s">
        <v>1529</v>
      </c>
      <c r="P145" s="552"/>
      <c r="Q145" s="552"/>
      <c r="R145" s="5"/>
      <c r="S145" s="6"/>
    </row>
    <row r="146" spans="2:19" ht="16.5" thickTop="1" thickBot="1" x14ac:dyDescent="0.3">
      <c r="B146" s="4"/>
      <c r="C146" s="83">
        <v>6.1</v>
      </c>
      <c r="D146" s="58" t="s">
        <v>1259</v>
      </c>
      <c r="E146" s="61"/>
      <c r="F146" s="5"/>
      <c r="G146" s="5"/>
      <c r="H146" s="5"/>
      <c r="I146" s="557" t="str">
        <f>IF((SUM(K148,K169,K181))&lt;&gt;K146,(SUM(K148,K169,K181)),"")</f>
        <v/>
      </c>
      <c r="J146" s="557"/>
      <c r="K146" s="421">
        <f>SUM(K148,K169,K181)</f>
        <v>0</v>
      </c>
      <c r="L146" s="422"/>
      <c r="M146" s="423"/>
      <c r="N146" s="139"/>
      <c r="O146" s="421">
        <f>SUM(O148,O169,O181)</f>
        <v>0</v>
      </c>
      <c r="P146" s="422"/>
      <c r="Q146" s="423"/>
      <c r="R146" s="553" t="str">
        <f>IF((SUM(O148,O169,O181))&lt;&gt;O146,(SUM(O148,O169,O181)),"")</f>
        <v/>
      </c>
      <c r="S146" s="587"/>
    </row>
    <row r="147" spans="2:19" ht="16.5" thickTop="1" thickBot="1" x14ac:dyDescent="0.3">
      <c r="B147" s="4"/>
      <c r="C147" s="58"/>
      <c r="D147" s="61"/>
      <c r="E147" s="5"/>
      <c r="F147" s="5"/>
      <c r="G147" s="5"/>
      <c r="H147" s="5"/>
      <c r="I147" s="134"/>
      <c r="J147" s="134"/>
      <c r="K147" s="588"/>
      <c r="L147" s="589"/>
      <c r="M147" s="589"/>
      <c r="N147" s="139"/>
      <c r="O147" s="588"/>
      <c r="P147" s="589"/>
      <c r="Q147" s="589"/>
      <c r="R147" s="134"/>
      <c r="S147" s="135"/>
    </row>
    <row r="148" spans="2:19" ht="15.75" thickBot="1" x14ac:dyDescent="0.3">
      <c r="B148" s="4"/>
      <c r="C148" s="62" t="s">
        <v>41</v>
      </c>
      <c r="D148" s="63" t="s">
        <v>1771</v>
      </c>
      <c r="E148" s="64"/>
      <c r="F148" s="64"/>
      <c r="G148" s="64"/>
      <c r="H148" s="64"/>
      <c r="I148" s="585" t="str">
        <f>IF((SUM(K150:K161,K163:K165,K167))&lt;&gt;K148,(SUM(K150:K161,K163:K165,K167)),"")</f>
        <v/>
      </c>
      <c r="J148" s="586"/>
      <c r="K148" s="382">
        <f>SUM(K150:M161, K163:M165,K167)</f>
        <v>0</v>
      </c>
      <c r="L148" s="383"/>
      <c r="M148" s="384"/>
      <c r="N148" s="64"/>
      <c r="O148" s="382">
        <f>SUM(O150:Q161, O163:Q165,O167)</f>
        <v>0</v>
      </c>
      <c r="P148" s="383"/>
      <c r="Q148" s="384"/>
      <c r="R148" s="557" t="str">
        <f>IF((SUM(O150:O161,O163:O165,O167))&lt;&gt;O148,(SUM(O150:O161,O163:O165,O167)),"")</f>
        <v/>
      </c>
      <c r="S148" s="582"/>
    </row>
    <row r="149" spans="2:19" ht="15" x14ac:dyDescent="0.25">
      <c r="B149" s="4"/>
      <c r="C149" s="58"/>
      <c r="D149" s="61"/>
      <c r="E149" s="5"/>
      <c r="F149" s="5"/>
      <c r="G149" s="5"/>
      <c r="H149" s="5"/>
      <c r="I149" s="134"/>
      <c r="J149" s="134"/>
      <c r="K149" s="564"/>
      <c r="L149" s="565"/>
      <c r="M149" s="565"/>
      <c r="N149" s="5"/>
      <c r="O149" s="564"/>
      <c r="P149" s="565"/>
      <c r="Q149" s="565"/>
      <c r="R149" s="134"/>
      <c r="S149" s="135"/>
    </row>
    <row r="150" spans="2:19" ht="15" x14ac:dyDescent="0.25">
      <c r="B150" s="4"/>
      <c r="C150" s="65" t="s">
        <v>866</v>
      </c>
      <c r="D150" s="66" t="s">
        <v>1167</v>
      </c>
      <c r="E150" s="67"/>
      <c r="F150" s="5"/>
      <c r="G150" s="5"/>
      <c r="H150" s="5"/>
      <c r="I150" s="134"/>
      <c r="J150" s="134"/>
      <c r="K150" s="372"/>
      <c r="L150" s="373"/>
      <c r="M150" s="374"/>
      <c r="N150" s="5"/>
      <c r="O150" s="372"/>
      <c r="P150" s="373"/>
      <c r="Q150" s="374"/>
      <c r="R150" s="134"/>
      <c r="S150" s="135"/>
    </row>
    <row r="151" spans="2:19" ht="15" x14ac:dyDescent="0.25">
      <c r="B151" s="4"/>
      <c r="C151" s="65" t="s">
        <v>867</v>
      </c>
      <c r="D151" s="66" t="s">
        <v>1174</v>
      </c>
      <c r="E151" s="67"/>
      <c r="F151" s="5"/>
      <c r="G151" s="5"/>
      <c r="H151" s="5"/>
      <c r="I151" s="134"/>
      <c r="J151" s="134"/>
      <c r="K151" s="372"/>
      <c r="L151" s="373"/>
      <c r="M151" s="374"/>
      <c r="N151" s="5"/>
      <c r="O151" s="372"/>
      <c r="P151" s="373"/>
      <c r="Q151" s="374"/>
      <c r="R151" s="134"/>
      <c r="S151" s="135"/>
    </row>
    <row r="152" spans="2:19" ht="15" x14ac:dyDescent="0.25">
      <c r="B152" s="4"/>
      <c r="C152" s="65" t="s">
        <v>868</v>
      </c>
      <c r="D152" s="66" t="s">
        <v>1166</v>
      </c>
      <c r="E152" s="67"/>
      <c r="F152" s="5"/>
      <c r="G152" s="5"/>
      <c r="H152" s="5"/>
      <c r="I152" s="134"/>
      <c r="J152" s="134"/>
      <c r="K152" s="372"/>
      <c r="L152" s="373"/>
      <c r="M152" s="374"/>
      <c r="N152" s="5"/>
      <c r="O152" s="372"/>
      <c r="P152" s="373"/>
      <c r="Q152" s="374"/>
      <c r="R152" s="134"/>
      <c r="S152" s="135"/>
    </row>
    <row r="153" spans="2:19" ht="15" x14ac:dyDescent="0.25">
      <c r="B153" s="4"/>
      <c r="C153" s="65" t="s">
        <v>869</v>
      </c>
      <c r="D153" s="66" t="s">
        <v>1164</v>
      </c>
      <c r="E153" s="67"/>
      <c r="F153" s="5"/>
      <c r="G153" s="5"/>
      <c r="H153" s="5"/>
      <c r="I153" s="134"/>
      <c r="J153" s="134"/>
      <c r="K153" s="372"/>
      <c r="L153" s="373"/>
      <c r="M153" s="374"/>
      <c r="N153" s="5"/>
      <c r="O153" s="372"/>
      <c r="P153" s="373"/>
      <c r="Q153" s="374"/>
      <c r="R153" s="134"/>
      <c r="S153" s="135"/>
    </row>
    <row r="154" spans="2:19" ht="15" x14ac:dyDescent="0.25">
      <c r="B154" s="4"/>
      <c r="C154" s="65" t="s">
        <v>870</v>
      </c>
      <c r="D154" s="66" t="s">
        <v>1169</v>
      </c>
      <c r="E154" s="67"/>
      <c r="F154" s="5"/>
      <c r="G154" s="5"/>
      <c r="H154" s="5"/>
      <c r="I154" s="134"/>
      <c r="J154" s="134"/>
      <c r="K154" s="372"/>
      <c r="L154" s="373"/>
      <c r="M154" s="374"/>
      <c r="N154" s="5"/>
      <c r="O154" s="372"/>
      <c r="P154" s="373"/>
      <c r="Q154" s="374"/>
      <c r="R154" s="134"/>
      <c r="S154" s="135"/>
    </row>
    <row r="155" spans="2:19" ht="15" x14ac:dyDescent="0.25">
      <c r="B155" s="4"/>
      <c r="C155" s="65" t="s">
        <v>871</v>
      </c>
      <c r="D155" s="66" t="s">
        <v>1168</v>
      </c>
      <c r="E155" s="67"/>
      <c r="F155" s="5"/>
      <c r="G155" s="5"/>
      <c r="H155" s="5"/>
      <c r="I155" s="134"/>
      <c r="J155" s="134"/>
      <c r="K155" s="372"/>
      <c r="L155" s="373"/>
      <c r="M155" s="374"/>
      <c r="N155" s="5"/>
      <c r="O155" s="372"/>
      <c r="P155" s="373"/>
      <c r="Q155" s="374"/>
      <c r="R155" s="134"/>
      <c r="S155" s="135"/>
    </row>
    <row r="156" spans="2:19" ht="15" x14ac:dyDescent="0.25">
      <c r="B156" s="4"/>
      <c r="C156" s="65" t="s">
        <v>872</v>
      </c>
      <c r="D156" s="66" t="s">
        <v>1171</v>
      </c>
      <c r="E156" s="67"/>
      <c r="F156" s="5"/>
      <c r="G156" s="5"/>
      <c r="H156" s="5"/>
      <c r="I156" s="134"/>
      <c r="J156" s="134"/>
      <c r="K156" s="372"/>
      <c r="L156" s="373"/>
      <c r="M156" s="374"/>
      <c r="N156" s="5"/>
      <c r="O156" s="372"/>
      <c r="P156" s="373"/>
      <c r="Q156" s="374"/>
      <c r="R156" s="134"/>
      <c r="S156" s="135"/>
    </row>
    <row r="157" spans="2:19" ht="15" x14ac:dyDescent="0.25">
      <c r="B157" s="4"/>
      <c r="C157" s="65" t="s">
        <v>873</v>
      </c>
      <c r="D157" s="66" t="s">
        <v>1172</v>
      </c>
      <c r="E157" s="67"/>
      <c r="F157" s="5"/>
      <c r="G157" s="5"/>
      <c r="H157" s="5"/>
      <c r="I157" s="134"/>
      <c r="J157" s="134"/>
      <c r="K157" s="372"/>
      <c r="L157" s="373"/>
      <c r="M157" s="374"/>
      <c r="N157" s="5"/>
      <c r="O157" s="372"/>
      <c r="P157" s="373"/>
      <c r="Q157" s="374"/>
      <c r="R157" s="134"/>
      <c r="S157" s="135"/>
    </row>
    <row r="158" spans="2:19" ht="15" x14ac:dyDescent="0.25">
      <c r="B158" s="4"/>
      <c r="C158" s="65" t="s">
        <v>874</v>
      </c>
      <c r="D158" s="66" t="s">
        <v>1165</v>
      </c>
      <c r="E158" s="67"/>
      <c r="F158" s="5"/>
      <c r="G158" s="5"/>
      <c r="H158" s="5"/>
      <c r="I158" s="134"/>
      <c r="J158" s="134"/>
      <c r="K158" s="372"/>
      <c r="L158" s="373"/>
      <c r="M158" s="374"/>
      <c r="N158" s="5"/>
      <c r="O158" s="372"/>
      <c r="P158" s="373"/>
      <c r="Q158" s="374"/>
      <c r="R158" s="134"/>
      <c r="S158" s="135"/>
    </row>
    <row r="159" spans="2:19" ht="15" x14ac:dyDescent="0.25">
      <c r="B159" s="4"/>
      <c r="C159" s="65" t="s">
        <v>875</v>
      </c>
      <c r="D159" s="66" t="s">
        <v>1173</v>
      </c>
      <c r="E159" s="67"/>
      <c r="F159" s="5"/>
      <c r="G159" s="5"/>
      <c r="H159" s="5"/>
      <c r="I159" s="134"/>
      <c r="J159" s="134"/>
      <c r="K159" s="372"/>
      <c r="L159" s="373"/>
      <c r="M159" s="374"/>
      <c r="N159" s="5"/>
      <c r="O159" s="372"/>
      <c r="P159" s="373"/>
      <c r="Q159" s="374"/>
      <c r="R159" s="134"/>
      <c r="S159" s="135"/>
    </row>
    <row r="160" spans="2:19" ht="15" x14ac:dyDescent="0.25">
      <c r="B160" s="4"/>
      <c r="C160" s="65" t="s">
        <v>876</v>
      </c>
      <c r="D160" s="66" t="s">
        <v>1175</v>
      </c>
      <c r="E160" s="67"/>
      <c r="F160" s="5"/>
      <c r="G160" s="5"/>
      <c r="H160" s="5"/>
      <c r="I160" s="134"/>
      <c r="J160" s="134"/>
      <c r="K160" s="372"/>
      <c r="L160" s="373"/>
      <c r="M160" s="374"/>
      <c r="N160" s="5"/>
      <c r="O160" s="372"/>
      <c r="P160" s="373"/>
      <c r="Q160" s="374"/>
      <c r="R160" s="134"/>
      <c r="S160" s="135"/>
    </row>
    <row r="161" spans="2:19" ht="15" x14ac:dyDescent="0.25">
      <c r="B161" s="4"/>
      <c r="C161" s="65" t="s">
        <v>877</v>
      </c>
      <c r="D161" s="66" t="s">
        <v>1176</v>
      </c>
      <c r="E161" s="67"/>
      <c r="F161" s="5"/>
      <c r="G161" s="5"/>
      <c r="H161" s="5"/>
      <c r="I161" s="134"/>
      <c r="J161" s="134"/>
      <c r="K161" s="372"/>
      <c r="L161" s="373"/>
      <c r="M161" s="374"/>
      <c r="N161" s="5"/>
      <c r="O161" s="372"/>
      <c r="P161" s="373"/>
      <c r="Q161" s="374"/>
      <c r="R161" s="134"/>
      <c r="S161" s="135"/>
    </row>
    <row r="162" spans="2:19" ht="15" x14ac:dyDescent="0.25">
      <c r="B162" s="4"/>
      <c r="C162" s="68" t="s">
        <v>893</v>
      </c>
      <c r="D162" s="66" t="s">
        <v>1776</v>
      </c>
      <c r="E162" s="67"/>
      <c r="F162" s="5"/>
      <c r="G162" s="5"/>
      <c r="H162" s="5"/>
      <c r="I162" s="134"/>
      <c r="J162" s="134"/>
      <c r="K162" s="372"/>
      <c r="L162" s="373"/>
      <c r="M162" s="374"/>
      <c r="N162" s="5"/>
      <c r="O162" s="372"/>
      <c r="P162" s="373"/>
      <c r="Q162" s="374"/>
      <c r="R162" s="134"/>
      <c r="S162" s="135"/>
    </row>
    <row r="163" spans="2:19" ht="15" x14ac:dyDescent="0.25">
      <c r="B163" s="4"/>
      <c r="C163" s="65" t="s">
        <v>878</v>
      </c>
      <c r="D163" s="66" t="s">
        <v>1177</v>
      </c>
      <c r="E163" s="67"/>
      <c r="F163" s="5"/>
      <c r="G163" s="5"/>
      <c r="H163" s="5"/>
      <c r="I163" s="134"/>
      <c r="J163" s="134"/>
      <c r="K163" s="372"/>
      <c r="L163" s="373"/>
      <c r="M163" s="374"/>
      <c r="N163" s="5"/>
      <c r="O163" s="372"/>
      <c r="P163" s="373"/>
      <c r="Q163" s="374"/>
      <c r="R163" s="134"/>
      <c r="S163" s="135"/>
    </row>
    <row r="164" spans="2:19" ht="15" x14ac:dyDescent="0.25">
      <c r="B164" s="4"/>
      <c r="C164" s="65" t="s">
        <v>879</v>
      </c>
      <c r="D164" s="66" t="s">
        <v>1178</v>
      </c>
      <c r="E164" s="67"/>
      <c r="F164" s="5"/>
      <c r="G164" s="5"/>
      <c r="H164" s="5"/>
      <c r="I164" s="134"/>
      <c r="J164" s="134"/>
      <c r="K164" s="372"/>
      <c r="L164" s="373"/>
      <c r="M164" s="374"/>
      <c r="N164" s="5"/>
      <c r="O164" s="372"/>
      <c r="P164" s="373"/>
      <c r="Q164" s="374"/>
      <c r="R164" s="134"/>
      <c r="S164" s="135"/>
    </row>
    <row r="165" spans="2:19" ht="15" x14ac:dyDescent="0.25">
      <c r="B165" s="4"/>
      <c r="C165" s="65" t="s">
        <v>880</v>
      </c>
      <c r="D165" s="66" t="s">
        <v>1179</v>
      </c>
      <c r="E165" s="67"/>
      <c r="F165" s="5"/>
      <c r="G165" s="5"/>
      <c r="H165" s="5"/>
      <c r="I165" s="134"/>
      <c r="J165" s="134"/>
      <c r="K165" s="372"/>
      <c r="L165" s="373"/>
      <c r="M165" s="374"/>
      <c r="N165" s="5"/>
      <c r="O165" s="372"/>
      <c r="P165" s="373"/>
      <c r="Q165" s="374"/>
      <c r="R165" s="134"/>
      <c r="S165" s="135"/>
    </row>
    <row r="166" spans="2:19" ht="15" x14ac:dyDescent="0.25">
      <c r="B166" s="4"/>
      <c r="C166" s="65" t="s">
        <v>881</v>
      </c>
      <c r="D166" s="66" t="s">
        <v>1163</v>
      </c>
      <c r="E166" s="67"/>
      <c r="F166" s="5"/>
      <c r="G166" s="5"/>
      <c r="H166" s="5"/>
      <c r="I166" s="134"/>
      <c r="J166" s="134"/>
      <c r="K166" s="579"/>
      <c r="L166" s="560"/>
      <c r="M166" s="560"/>
      <c r="N166" s="5"/>
      <c r="O166" s="579"/>
      <c r="P166" s="560"/>
      <c r="Q166" s="560"/>
      <c r="R166" s="134"/>
      <c r="S166" s="135"/>
    </row>
    <row r="167" spans="2:19" ht="15" x14ac:dyDescent="0.25">
      <c r="B167" s="4"/>
      <c r="C167" s="58"/>
      <c r="D167" s="438"/>
      <c r="E167" s="439"/>
      <c r="F167" s="439"/>
      <c r="G167" s="439"/>
      <c r="H167" s="439"/>
      <c r="I167" s="440"/>
      <c r="J167" s="5"/>
      <c r="K167" s="372"/>
      <c r="L167" s="373"/>
      <c r="M167" s="374"/>
      <c r="N167" s="134"/>
      <c r="O167" s="372"/>
      <c r="P167" s="373"/>
      <c r="Q167" s="374"/>
      <c r="R167" s="134"/>
      <c r="S167" s="135"/>
    </row>
    <row r="168" spans="2:19" ht="15.75" thickBot="1" x14ac:dyDescent="0.3">
      <c r="B168" s="4"/>
      <c r="C168" s="58"/>
      <c r="D168" s="61"/>
      <c r="E168" s="5"/>
      <c r="F168" s="5"/>
      <c r="G168" s="5"/>
      <c r="H168" s="5"/>
      <c r="I168" s="134"/>
      <c r="J168" s="5"/>
      <c r="K168" s="583"/>
      <c r="L168" s="584"/>
      <c r="M168" s="584"/>
      <c r="N168" s="134"/>
      <c r="O168" s="583"/>
      <c r="P168" s="584"/>
      <c r="Q168" s="584"/>
      <c r="R168" s="134"/>
      <c r="S168" s="135"/>
    </row>
    <row r="169" spans="2:19" ht="15.75" thickBot="1" x14ac:dyDescent="0.3">
      <c r="B169" s="4"/>
      <c r="C169" s="62" t="s">
        <v>42</v>
      </c>
      <c r="D169" s="63" t="s">
        <v>1733</v>
      </c>
      <c r="E169" s="64"/>
      <c r="F169" s="64"/>
      <c r="G169" s="64"/>
      <c r="H169" s="64"/>
      <c r="I169" s="585" t="str">
        <f>IF((SUM(K171:K177,K179))&lt;&gt;K169,(SUM(K171:K177,K179)),"")</f>
        <v/>
      </c>
      <c r="J169" s="586"/>
      <c r="K169" s="382">
        <f>SUM(K171:M177,K179)</f>
        <v>0</v>
      </c>
      <c r="L169" s="383"/>
      <c r="M169" s="384"/>
      <c r="N169" s="64"/>
      <c r="O169" s="382">
        <f>SUM(O171:Q177,O179)</f>
        <v>0</v>
      </c>
      <c r="P169" s="383"/>
      <c r="Q169" s="384"/>
      <c r="R169" s="557" t="str">
        <f>IF((SUM(O171:O177,O179))&lt;&gt;O169,(SUM(O171:O177,O179)),"")</f>
        <v/>
      </c>
      <c r="S169" s="582"/>
    </row>
    <row r="170" spans="2:19" ht="15" x14ac:dyDescent="0.25">
      <c r="B170" s="4"/>
      <c r="C170" s="58"/>
      <c r="D170" s="61"/>
      <c r="E170" s="5"/>
      <c r="F170" s="5"/>
      <c r="G170" s="5"/>
      <c r="H170" s="5"/>
      <c r="I170" s="134"/>
      <c r="J170" s="5"/>
      <c r="K170" s="564"/>
      <c r="L170" s="565"/>
      <c r="M170" s="565"/>
      <c r="N170" s="134"/>
      <c r="O170" s="564"/>
      <c r="P170" s="565"/>
      <c r="Q170" s="565"/>
      <c r="R170" s="134"/>
      <c r="S170" s="135"/>
    </row>
    <row r="171" spans="2:19" ht="15" x14ac:dyDescent="0.25">
      <c r="B171" s="4"/>
      <c r="C171" s="65" t="s">
        <v>899</v>
      </c>
      <c r="D171" s="66" t="s">
        <v>1157</v>
      </c>
      <c r="E171" s="67"/>
      <c r="F171" s="67"/>
      <c r="G171" s="67"/>
      <c r="H171" s="67"/>
      <c r="I171" s="134"/>
      <c r="J171" s="5"/>
      <c r="K171" s="372"/>
      <c r="L171" s="373"/>
      <c r="M171" s="374"/>
      <c r="N171" s="134"/>
      <c r="O171" s="372"/>
      <c r="P171" s="373"/>
      <c r="Q171" s="374"/>
      <c r="R171" s="134"/>
      <c r="S171" s="135"/>
    </row>
    <row r="172" spans="2:19" ht="15" x14ac:dyDescent="0.25">
      <c r="B172" s="4"/>
      <c r="C172" s="68" t="s">
        <v>907</v>
      </c>
      <c r="D172" s="66" t="s">
        <v>1158</v>
      </c>
      <c r="E172" s="67"/>
      <c r="F172" s="67"/>
      <c r="G172" s="67"/>
      <c r="H172" s="67"/>
      <c r="I172" s="134"/>
      <c r="J172" s="5"/>
      <c r="K172" s="372"/>
      <c r="L172" s="373"/>
      <c r="M172" s="374"/>
      <c r="N172" s="134"/>
      <c r="O172" s="372"/>
      <c r="P172" s="373"/>
      <c r="Q172" s="374"/>
      <c r="R172" s="134"/>
      <c r="S172" s="135"/>
    </row>
    <row r="173" spans="2:19" ht="15" x14ac:dyDescent="0.25">
      <c r="B173" s="4"/>
      <c r="C173" s="65" t="s">
        <v>900</v>
      </c>
      <c r="D173" s="66" t="s">
        <v>1118</v>
      </c>
      <c r="E173" s="67"/>
      <c r="F173" s="67"/>
      <c r="G173" s="67"/>
      <c r="H173" s="67"/>
      <c r="I173" s="134"/>
      <c r="J173" s="5"/>
      <c r="K173" s="372"/>
      <c r="L173" s="373"/>
      <c r="M173" s="374"/>
      <c r="N173" s="134"/>
      <c r="O173" s="372"/>
      <c r="P173" s="373"/>
      <c r="Q173" s="374"/>
      <c r="R173" s="134"/>
      <c r="S173" s="135"/>
    </row>
    <row r="174" spans="2:19" ht="15" x14ac:dyDescent="0.25">
      <c r="B174" s="4"/>
      <c r="C174" s="65" t="s">
        <v>901</v>
      </c>
      <c r="D174" s="66" t="s">
        <v>1159</v>
      </c>
      <c r="E174" s="67"/>
      <c r="F174" s="67"/>
      <c r="G174" s="67"/>
      <c r="H174" s="67"/>
      <c r="I174" s="134"/>
      <c r="J174" s="5"/>
      <c r="K174" s="372"/>
      <c r="L174" s="373"/>
      <c r="M174" s="374"/>
      <c r="N174" s="134"/>
      <c r="O174" s="372"/>
      <c r="P174" s="373"/>
      <c r="Q174" s="374"/>
      <c r="R174" s="134"/>
      <c r="S174" s="135"/>
    </row>
    <row r="175" spans="2:19" ht="15" x14ac:dyDescent="0.25">
      <c r="B175" s="4"/>
      <c r="C175" s="65" t="s">
        <v>902</v>
      </c>
      <c r="D175" s="66" t="s">
        <v>1160</v>
      </c>
      <c r="E175" s="67"/>
      <c r="F175" s="67"/>
      <c r="G175" s="67"/>
      <c r="H175" s="67"/>
      <c r="I175" s="134"/>
      <c r="J175" s="5"/>
      <c r="K175" s="372"/>
      <c r="L175" s="373"/>
      <c r="M175" s="374"/>
      <c r="N175" s="134"/>
      <c r="O175" s="372"/>
      <c r="P175" s="373"/>
      <c r="Q175" s="374"/>
      <c r="R175" s="134"/>
      <c r="S175" s="135"/>
    </row>
    <row r="176" spans="2:19" ht="15" x14ac:dyDescent="0.25">
      <c r="B176" s="4"/>
      <c r="C176" s="65" t="s">
        <v>903</v>
      </c>
      <c r="D176" s="66" t="s">
        <v>1161</v>
      </c>
      <c r="E176" s="67"/>
      <c r="F176" s="67"/>
      <c r="G176" s="67"/>
      <c r="H176" s="67"/>
      <c r="I176" s="134"/>
      <c r="J176" s="5"/>
      <c r="K176" s="372"/>
      <c r="L176" s="373"/>
      <c r="M176" s="374"/>
      <c r="N176" s="134"/>
      <c r="O176" s="372"/>
      <c r="P176" s="373"/>
      <c r="Q176" s="374"/>
      <c r="R176" s="134"/>
      <c r="S176" s="135"/>
    </row>
    <row r="177" spans="2:19" ht="15" x14ac:dyDescent="0.25">
      <c r="B177" s="4"/>
      <c r="C177" s="65" t="s">
        <v>904</v>
      </c>
      <c r="D177" s="66" t="s">
        <v>1162</v>
      </c>
      <c r="E177" s="67"/>
      <c r="F177" s="67"/>
      <c r="G177" s="67"/>
      <c r="H177" s="67"/>
      <c r="I177" s="134"/>
      <c r="J177" s="5"/>
      <c r="K177" s="372"/>
      <c r="L177" s="373"/>
      <c r="M177" s="374"/>
      <c r="N177" s="134"/>
      <c r="O177" s="372"/>
      <c r="P177" s="373"/>
      <c r="Q177" s="374"/>
      <c r="R177" s="134"/>
      <c r="S177" s="135"/>
    </row>
    <row r="178" spans="2:19" ht="15" x14ac:dyDescent="0.25">
      <c r="B178" s="4"/>
      <c r="C178" s="65" t="s">
        <v>905</v>
      </c>
      <c r="D178" s="66" t="s">
        <v>1163</v>
      </c>
      <c r="E178" s="67"/>
      <c r="F178" s="67"/>
      <c r="G178" s="67"/>
      <c r="H178" s="67"/>
      <c r="I178" s="134"/>
      <c r="J178" s="5"/>
      <c r="K178" s="579"/>
      <c r="L178" s="560"/>
      <c r="M178" s="560"/>
      <c r="N178" s="5"/>
      <c r="O178" s="579"/>
      <c r="P178" s="560"/>
      <c r="Q178" s="560"/>
      <c r="R178" s="134"/>
      <c r="S178" s="135"/>
    </row>
    <row r="179" spans="2:19" ht="15" x14ac:dyDescent="0.25">
      <c r="B179" s="4"/>
      <c r="C179" s="65"/>
      <c r="D179" s="438"/>
      <c r="E179" s="482"/>
      <c r="F179" s="482"/>
      <c r="G179" s="482"/>
      <c r="H179" s="482"/>
      <c r="I179" s="483"/>
      <c r="J179" s="5"/>
      <c r="K179" s="372"/>
      <c r="L179" s="373"/>
      <c r="M179" s="374"/>
      <c r="N179" s="134"/>
      <c r="O179" s="372"/>
      <c r="P179" s="373"/>
      <c r="Q179" s="374"/>
      <c r="R179" s="134"/>
      <c r="S179" s="135"/>
    </row>
    <row r="180" spans="2:19" ht="15.75" thickBot="1" x14ac:dyDescent="0.3">
      <c r="B180" s="4"/>
      <c r="C180" s="58"/>
      <c r="D180" s="61"/>
      <c r="E180" s="5"/>
      <c r="F180" s="5"/>
      <c r="G180" s="5"/>
      <c r="H180" s="5"/>
      <c r="I180" s="134"/>
      <c r="J180" s="5"/>
      <c r="K180" s="583"/>
      <c r="L180" s="584"/>
      <c r="M180" s="584"/>
      <c r="N180" s="134"/>
      <c r="O180" s="583"/>
      <c r="P180" s="584"/>
      <c r="Q180" s="584"/>
      <c r="R180" s="134"/>
      <c r="S180" s="135"/>
    </row>
    <row r="181" spans="2:19" ht="15.75" thickBot="1" x14ac:dyDescent="0.3">
      <c r="B181" s="4"/>
      <c r="C181" s="62" t="s">
        <v>43</v>
      </c>
      <c r="D181" s="63" t="s">
        <v>1156</v>
      </c>
      <c r="E181" s="64"/>
      <c r="F181" s="64"/>
      <c r="G181" s="64"/>
      <c r="H181" s="64"/>
      <c r="I181" s="585" t="str">
        <f>IF((SUM(K183:K185,K187))&lt;&gt;K181,(SUM(K183:K185,K187)),"")</f>
        <v/>
      </c>
      <c r="J181" s="586"/>
      <c r="K181" s="382">
        <f>SUM(K183:M185,K187)</f>
        <v>0</v>
      </c>
      <c r="L181" s="383"/>
      <c r="M181" s="384"/>
      <c r="N181" s="64"/>
      <c r="O181" s="382">
        <f>SUM(O183:Q185,O187)</f>
        <v>0</v>
      </c>
      <c r="P181" s="383"/>
      <c r="Q181" s="384"/>
      <c r="R181" s="557" t="str">
        <f>IF((SUM(O183:O185,O187))&lt;&gt;O181,(SUM(O183:O185,O187)),"")</f>
        <v/>
      </c>
      <c r="S181" s="582"/>
    </row>
    <row r="182" spans="2:19" ht="15" x14ac:dyDescent="0.25">
      <c r="B182" s="4"/>
      <c r="C182" s="58"/>
      <c r="D182" s="61"/>
      <c r="E182" s="5"/>
      <c r="F182" s="5"/>
      <c r="G182" s="5"/>
      <c r="H182" s="5"/>
      <c r="I182" s="134"/>
      <c r="J182" s="5"/>
      <c r="K182" s="564"/>
      <c r="L182" s="565"/>
      <c r="M182" s="565"/>
      <c r="N182" s="134"/>
      <c r="O182" s="564"/>
      <c r="P182" s="565"/>
      <c r="Q182" s="565"/>
      <c r="R182" s="134"/>
      <c r="S182" s="135"/>
    </row>
    <row r="183" spans="2:19" ht="15" x14ac:dyDescent="0.25">
      <c r="B183" s="4"/>
      <c r="C183" s="65" t="s">
        <v>913</v>
      </c>
      <c r="D183" s="66" t="s">
        <v>1180</v>
      </c>
      <c r="E183" s="67"/>
      <c r="F183" s="67"/>
      <c r="G183" s="67"/>
      <c r="H183" s="5"/>
      <c r="I183" s="134"/>
      <c r="J183" s="5"/>
      <c r="K183" s="372"/>
      <c r="L183" s="373"/>
      <c r="M183" s="374"/>
      <c r="N183" s="134"/>
      <c r="O183" s="372"/>
      <c r="P183" s="373"/>
      <c r="Q183" s="374"/>
      <c r="R183" s="134"/>
      <c r="S183" s="135"/>
    </row>
    <row r="184" spans="2:19" ht="15" x14ac:dyDescent="0.25">
      <c r="B184" s="4"/>
      <c r="C184" s="65" t="s">
        <v>915</v>
      </c>
      <c r="D184" s="66" t="s">
        <v>1183</v>
      </c>
      <c r="E184" s="67"/>
      <c r="F184" s="67"/>
      <c r="G184" s="67"/>
      <c r="H184" s="5"/>
      <c r="I184" s="134"/>
      <c r="J184" s="5"/>
      <c r="K184" s="372"/>
      <c r="L184" s="373"/>
      <c r="M184" s="374"/>
      <c r="N184" s="134"/>
      <c r="O184" s="372"/>
      <c r="P184" s="373"/>
      <c r="Q184" s="374"/>
      <c r="R184" s="134"/>
      <c r="S184" s="135"/>
    </row>
    <row r="185" spans="2:19" ht="15" x14ac:dyDescent="0.25">
      <c r="B185" s="4"/>
      <c r="C185" s="65" t="s">
        <v>916</v>
      </c>
      <c r="D185" s="66" t="s">
        <v>1181</v>
      </c>
      <c r="E185" s="67"/>
      <c r="F185" s="67"/>
      <c r="G185" s="67"/>
      <c r="H185" s="5"/>
      <c r="I185" s="134"/>
      <c r="J185" s="5"/>
      <c r="K185" s="372"/>
      <c r="L185" s="373"/>
      <c r="M185" s="374"/>
      <c r="N185" s="134"/>
      <c r="O185" s="372"/>
      <c r="P185" s="373"/>
      <c r="Q185" s="374"/>
      <c r="R185" s="134"/>
      <c r="S185" s="135"/>
    </row>
    <row r="186" spans="2:19" ht="15" x14ac:dyDescent="0.25">
      <c r="B186" s="4"/>
      <c r="C186" s="65" t="s">
        <v>917</v>
      </c>
      <c r="D186" s="66" t="s">
        <v>1163</v>
      </c>
      <c r="E186" s="67"/>
      <c r="F186" s="67"/>
      <c r="G186" s="67"/>
      <c r="H186" s="5"/>
      <c r="I186" s="134"/>
      <c r="J186" s="5"/>
      <c r="K186" s="579"/>
      <c r="L186" s="560"/>
      <c r="M186" s="560"/>
      <c r="N186" s="134"/>
      <c r="O186" s="579"/>
      <c r="P186" s="560"/>
      <c r="Q186" s="560"/>
      <c r="R186" s="134"/>
      <c r="S186" s="135"/>
    </row>
    <row r="187" spans="2:19" ht="15" x14ac:dyDescent="0.25">
      <c r="B187" s="4"/>
      <c r="C187" s="58"/>
      <c r="D187" s="438"/>
      <c r="E187" s="482"/>
      <c r="F187" s="482"/>
      <c r="G187" s="482"/>
      <c r="H187" s="482"/>
      <c r="I187" s="483"/>
      <c r="J187" s="5"/>
      <c r="K187" s="372"/>
      <c r="L187" s="373"/>
      <c r="M187" s="374"/>
      <c r="N187" s="134"/>
      <c r="O187" s="372"/>
      <c r="P187" s="373"/>
      <c r="Q187" s="374"/>
      <c r="R187" s="134"/>
      <c r="S187" s="135"/>
    </row>
    <row r="188" spans="2:19" ht="15" x14ac:dyDescent="0.25">
      <c r="B188" s="4"/>
      <c r="C188" s="58"/>
      <c r="D188" s="61"/>
      <c r="E188" s="5"/>
      <c r="F188" s="5"/>
      <c r="G188" s="5"/>
      <c r="H188" s="5"/>
      <c r="I188" s="134"/>
      <c r="J188" s="5"/>
      <c r="K188" s="580"/>
      <c r="L188" s="581"/>
      <c r="M188" s="581"/>
      <c r="N188" s="134"/>
      <c r="O188" s="580"/>
      <c r="P188" s="581"/>
      <c r="Q188" s="581"/>
      <c r="R188" s="134"/>
      <c r="S188" s="135"/>
    </row>
    <row r="189" spans="2:19" ht="15" x14ac:dyDescent="0.25">
      <c r="B189" s="4"/>
      <c r="C189" s="10" t="s">
        <v>809</v>
      </c>
      <c r="D189" s="69" t="s">
        <v>1182</v>
      </c>
      <c r="E189" s="22"/>
      <c r="F189" s="22"/>
      <c r="G189" s="22"/>
      <c r="H189" s="5"/>
      <c r="I189" s="5"/>
      <c r="J189" s="5"/>
      <c r="K189" s="573"/>
      <c r="L189" s="574"/>
      <c r="M189" s="574"/>
      <c r="N189" s="134"/>
      <c r="O189" s="573"/>
      <c r="P189" s="574"/>
      <c r="Q189" s="574"/>
      <c r="R189" s="134"/>
      <c r="S189" s="135"/>
    </row>
    <row r="190" spans="2:19" ht="15" x14ac:dyDescent="0.25">
      <c r="B190" s="4"/>
      <c r="C190" s="61"/>
      <c r="D190" s="5"/>
      <c r="E190" s="5"/>
      <c r="F190" s="5"/>
      <c r="G190" s="5"/>
      <c r="H190" s="5"/>
      <c r="I190" s="5"/>
      <c r="J190" s="5"/>
      <c r="K190" s="575"/>
      <c r="L190" s="576"/>
      <c r="M190" s="576"/>
      <c r="N190" s="134"/>
      <c r="O190" s="575"/>
      <c r="P190" s="576"/>
      <c r="Q190" s="576"/>
      <c r="R190" s="134"/>
      <c r="S190" s="135"/>
    </row>
    <row r="191" spans="2:19" ht="15" x14ac:dyDescent="0.25">
      <c r="B191" s="4"/>
      <c r="C191" s="5"/>
      <c r="D191" s="484"/>
      <c r="E191" s="485"/>
      <c r="F191" s="485"/>
      <c r="G191" s="485"/>
      <c r="H191" s="485"/>
      <c r="I191" s="485"/>
      <c r="J191" s="485"/>
      <c r="K191" s="485"/>
      <c r="L191" s="485"/>
      <c r="M191" s="485"/>
      <c r="N191" s="486"/>
      <c r="O191" s="486"/>
      <c r="P191" s="486"/>
      <c r="Q191" s="487"/>
      <c r="R191" s="134"/>
      <c r="S191" s="135"/>
    </row>
    <row r="192" spans="2:19" ht="15" x14ac:dyDescent="0.25">
      <c r="B192" s="4"/>
      <c r="C192" s="5"/>
      <c r="D192" s="488"/>
      <c r="E192" s="489"/>
      <c r="F192" s="489"/>
      <c r="G192" s="489"/>
      <c r="H192" s="489"/>
      <c r="I192" s="489"/>
      <c r="J192" s="489"/>
      <c r="K192" s="489"/>
      <c r="L192" s="489"/>
      <c r="M192" s="489"/>
      <c r="N192" s="490"/>
      <c r="O192" s="490"/>
      <c r="P192" s="490"/>
      <c r="Q192" s="491"/>
      <c r="R192" s="134"/>
      <c r="S192" s="135"/>
    </row>
    <row r="193" spans="2:19" ht="15" x14ac:dyDescent="0.25">
      <c r="B193" s="4"/>
      <c r="C193" s="5"/>
      <c r="D193" s="492"/>
      <c r="E193" s="493"/>
      <c r="F193" s="493"/>
      <c r="G193" s="493"/>
      <c r="H193" s="493"/>
      <c r="I193" s="493"/>
      <c r="J193" s="493"/>
      <c r="K193" s="493"/>
      <c r="L193" s="493"/>
      <c r="M193" s="493"/>
      <c r="N193" s="494"/>
      <c r="O193" s="494"/>
      <c r="P193" s="494"/>
      <c r="Q193" s="495"/>
      <c r="R193" s="134"/>
      <c r="S193" s="135"/>
    </row>
    <row r="194" spans="2:19" ht="15" thickBot="1" x14ac:dyDescent="0.25">
      <c r="B194" s="27"/>
      <c r="C194" s="16"/>
      <c r="D194" s="16"/>
      <c r="E194" s="16"/>
      <c r="F194" s="16"/>
      <c r="G194" s="16"/>
      <c r="H194" s="16"/>
      <c r="I194" s="16"/>
      <c r="J194" s="16"/>
      <c r="K194" s="16"/>
      <c r="L194" s="16"/>
      <c r="M194" s="16"/>
      <c r="N194" s="16"/>
      <c r="O194" s="16"/>
      <c r="P194" s="16"/>
      <c r="Q194" s="16"/>
      <c r="R194" s="16"/>
      <c r="S194" s="17"/>
    </row>
    <row r="195" spans="2:19" ht="15.75" thickTop="1" thickBot="1" x14ac:dyDescent="0.25"/>
    <row r="196" spans="2:19" ht="15" thickTop="1" x14ac:dyDescent="0.2">
      <c r="B196" s="2"/>
      <c r="C196" s="3"/>
      <c r="D196" s="3"/>
      <c r="E196" s="3"/>
      <c r="F196" s="3"/>
      <c r="G196" s="3"/>
      <c r="H196" s="3"/>
      <c r="I196" s="3"/>
      <c r="J196" s="3"/>
      <c r="K196" s="3"/>
      <c r="L196" s="3"/>
      <c r="M196" s="3"/>
      <c r="N196" s="3"/>
      <c r="O196" s="3"/>
      <c r="P196" s="3"/>
      <c r="Q196" s="3"/>
      <c r="R196" s="3"/>
      <c r="S196" s="19"/>
    </row>
    <row r="197" spans="2:19" ht="15.75" x14ac:dyDescent="0.25">
      <c r="B197" s="4"/>
      <c r="C197" s="20" t="s">
        <v>1254</v>
      </c>
      <c r="D197" s="61"/>
      <c r="E197" s="5"/>
      <c r="F197" s="5"/>
      <c r="G197" s="5"/>
      <c r="H197" s="5"/>
      <c r="I197" s="5"/>
      <c r="J197" s="5"/>
      <c r="K197" s="5"/>
      <c r="L197" s="5"/>
      <c r="M197" s="5"/>
      <c r="N197" s="5"/>
      <c r="O197" s="5"/>
      <c r="P197" s="5"/>
      <c r="Q197" s="5"/>
      <c r="R197" s="5"/>
      <c r="S197" s="6"/>
    </row>
    <row r="198" spans="2:19" ht="16.5" thickBot="1" x14ac:dyDescent="0.3">
      <c r="B198" s="4"/>
      <c r="C198" s="20"/>
      <c r="D198" s="61"/>
      <c r="E198" s="5"/>
      <c r="F198" s="5"/>
      <c r="G198" s="5"/>
      <c r="H198" s="5"/>
      <c r="I198" s="5"/>
      <c r="J198" s="5"/>
      <c r="K198" s="552" t="s">
        <v>1528</v>
      </c>
      <c r="L198" s="552"/>
      <c r="M198" s="552"/>
      <c r="N198" s="95"/>
      <c r="O198" s="552" t="s">
        <v>1529</v>
      </c>
      <c r="P198" s="552"/>
      <c r="Q198" s="552"/>
      <c r="R198" s="5"/>
      <c r="S198" s="6"/>
    </row>
    <row r="199" spans="2:19" ht="15.75" thickBot="1" x14ac:dyDescent="0.3">
      <c r="B199" s="4"/>
      <c r="C199" s="83">
        <v>7.1</v>
      </c>
      <c r="D199" s="58" t="s">
        <v>1772</v>
      </c>
      <c r="E199" s="5"/>
      <c r="F199" s="5"/>
      <c r="G199" s="5"/>
      <c r="H199" s="5"/>
      <c r="I199" s="557" t="str">
        <f>IF((SUM(K201:K208,K210))&lt;&gt;K199,(SUM(K201:K208,K210)),"")</f>
        <v/>
      </c>
      <c r="J199" s="558"/>
      <c r="K199" s="382">
        <f>SUM(K201:M208,K210)</f>
        <v>0</v>
      </c>
      <c r="L199" s="383"/>
      <c r="M199" s="384"/>
      <c r="N199" s="139"/>
      <c r="O199" s="382">
        <f>SUM(O201:Q208,O210)</f>
        <v>0</v>
      </c>
      <c r="P199" s="383"/>
      <c r="Q199" s="384"/>
      <c r="R199" s="553" t="str">
        <f>IF((SUM(O201:O208,O210))&lt;&gt;O199,(SUM(O201:O208,O210)),"")</f>
        <v/>
      </c>
      <c r="S199" s="554"/>
    </row>
    <row r="200" spans="2:19" ht="15" x14ac:dyDescent="0.25">
      <c r="B200" s="4"/>
      <c r="C200" s="58"/>
      <c r="D200" s="61"/>
      <c r="E200" s="5"/>
      <c r="F200" s="5"/>
      <c r="G200" s="5"/>
      <c r="H200" s="5"/>
      <c r="I200" s="134"/>
      <c r="J200" s="5"/>
      <c r="K200" s="564"/>
      <c r="L200" s="565"/>
      <c r="M200" s="565"/>
      <c r="N200" s="139"/>
      <c r="O200" s="564"/>
      <c r="P200" s="565"/>
      <c r="Q200" s="565"/>
      <c r="R200" s="134"/>
      <c r="S200" s="135"/>
    </row>
    <row r="201" spans="2:19" ht="15" x14ac:dyDescent="0.25">
      <c r="B201" s="4"/>
      <c r="C201" s="65" t="s">
        <v>811</v>
      </c>
      <c r="D201" s="66" t="s">
        <v>1185</v>
      </c>
      <c r="E201" s="5"/>
      <c r="F201" s="5"/>
      <c r="G201" s="5"/>
      <c r="H201" s="5"/>
      <c r="I201" s="134"/>
      <c r="J201" s="5"/>
      <c r="K201" s="372"/>
      <c r="L201" s="373"/>
      <c r="M201" s="374"/>
      <c r="N201" s="134"/>
      <c r="O201" s="372"/>
      <c r="P201" s="373"/>
      <c r="Q201" s="374"/>
      <c r="R201" s="134"/>
      <c r="S201" s="135"/>
    </row>
    <row r="202" spans="2:19" ht="15" x14ac:dyDescent="0.25">
      <c r="B202" s="4"/>
      <c r="C202" s="65" t="s">
        <v>922</v>
      </c>
      <c r="D202" s="66" t="s">
        <v>1187</v>
      </c>
      <c r="E202" s="5"/>
      <c r="F202" s="5"/>
      <c r="G202" s="5"/>
      <c r="H202" s="5"/>
      <c r="I202" s="134"/>
      <c r="J202" s="5"/>
      <c r="K202" s="372"/>
      <c r="L202" s="373"/>
      <c r="M202" s="374"/>
      <c r="N202" s="134"/>
      <c r="O202" s="372"/>
      <c r="P202" s="373"/>
      <c r="Q202" s="374"/>
      <c r="R202" s="134"/>
      <c r="S202" s="135"/>
    </row>
    <row r="203" spans="2:19" ht="15" x14ac:dyDescent="0.25">
      <c r="B203" s="4"/>
      <c r="C203" s="65" t="s">
        <v>923</v>
      </c>
      <c r="D203" s="66" t="s">
        <v>1188</v>
      </c>
      <c r="E203" s="5"/>
      <c r="F203" s="5"/>
      <c r="G203" s="5"/>
      <c r="H203" s="5"/>
      <c r="I203" s="134"/>
      <c r="J203" s="5"/>
      <c r="K203" s="372"/>
      <c r="L203" s="373"/>
      <c r="M203" s="374"/>
      <c r="N203" s="134"/>
      <c r="O203" s="372"/>
      <c r="P203" s="373"/>
      <c r="Q203" s="374"/>
      <c r="R203" s="134"/>
      <c r="S203" s="135"/>
    </row>
    <row r="204" spans="2:19" ht="15" x14ac:dyDescent="0.25">
      <c r="B204" s="4"/>
      <c r="C204" s="65" t="s">
        <v>924</v>
      </c>
      <c r="D204" s="66" t="s">
        <v>1189</v>
      </c>
      <c r="E204" s="5"/>
      <c r="F204" s="5"/>
      <c r="G204" s="5"/>
      <c r="H204" s="5"/>
      <c r="I204" s="134"/>
      <c r="J204" s="5"/>
      <c r="K204" s="372"/>
      <c r="L204" s="373"/>
      <c r="M204" s="374"/>
      <c r="N204" s="134"/>
      <c r="O204" s="372"/>
      <c r="P204" s="373"/>
      <c r="Q204" s="374"/>
      <c r="R204" s="134"/>
      <c r="S204" s="135"/>
    </row>
    <row r="205" spans="2:19" ht="15" x14ac:dyDescent="0.25">
      <c r="B205" s="4"/>
      <c r="C205" s="65" t="s">
        <v>925</v>
      </c>
      <c r="D205" s="66" t="s">
        <v>1190</v>
      </c>
      <c r="E205" s="5"/>
      <c r="F205" s="5"/>
      <c r="G205" s="5"/>
      <c r="H205" s="5"/>
      <c r="I205" s="134"/>
      <c r="J205" s="5"/>
      <c r="K205" s="372"/>
      <c r="L205" s="373"/>
      <c r="M205" s="374"/>
      <c r="N205" s="134"/>
      <c r="O205" s="372"/>
      <c r="P205" s="373"/>
      <c r="Q205" s="374"/>
      <c r="R205" s="134"/>
      <c r="S205" s="135"/>
    </row>
    <row r="206" spans="2:19" ht="15" x14ac:dyDescent="0.25">
      <c r="B206" s="4"/>
      <c r="C206" s="65" t="s">
        <v>926</v>
      </c>
      <c r="D206" s="66" t="s">
        <v>1191</v>
      </c>
      <c r="E206" s="5"/>
      <c r="F206" s="5"/>
      <c r="G206" s="5"/>
      <c r="H206" s="5"/>
      <c r="I206" s="134"/>
      <c r="J206" s="5"/>
      <c r="K206" s="372"/>
      <c r="L206" s="373"/>
      <c r="M206" s="374"/>
      <c r="N206" s="134"/>
      <c r="O206" s="372"/>
      <c r="P206" s="373"/>
      <c r="Q206" s="374"/>
      <c r="R206" s="134"/>
      <c r="S206" s="135"/>
    </row>
    <row r="207" spans="2:19" ht="15" x14ac:dyDescent="0.25">
      <c r="B207" s="4"/>
      <c r="C207" s="65" t="s">
        <v>927</v>
      </c>
      <c r="D207" s="66" t="s">
        <v>1192</v>
      </c>
      <c r="E207" s="5"/>
      <c r="F207" s="5"/>
      <c r="G207" s="5"/>
      <c r="H207" s="5"/>
      <c r="I207" s="134"/>
      <c r="J207" s="5"/>
      <c r="K207" s="372"/>
      <c r="L207" s="373"/>
      <c r="M207" s="374"/>
      <c r="N207" s="134"/>
      <c r="O207" s="372"/>
      <c r="P207" s="373"/>
      <c r="Q207" s="374"/>
      <c r="R207" s="134"/>
      <c r="S207" s="135"/>
    </row>
    <row r="208" spans="2:19" ht="15" x14ac:dyDescent="0.25">
      <c r="B208" s="4"/>
      <c r="C208" s="65" t="s">
        <v>928</v>
      </c>
      <c r="D208" s="66" t="s">
        <v>1194</v>
      </c>
      <c r="E208" s="5"/>
      <c r="F208" s="5"/>
      <c r="G208" s="5"/>
      <c r="H208" s="5"/>
      <c r="I208" s="134"/>
      <c r="J208" s="5"/>
      <c r="K208" s="372"/>
      <c r="L208" s="373"/>
      <c r="M208" s="374"/>
      <c r="N208" s="139"/>
      <c r="O208" s="372"/>
      <c r="P208" s="373"/>
      <c r="Q208" s="374"/>
      <c r="R208" s="134"/>
      <c r="S208" s="135"/>
    </row>
    <row r="209" spans="2:19" ht="15" x14ac:dyDescent="0.25">
      <c r="B209" s="4"/>
      <c r="C209" s="65" t="s">
        <v>929</v>
      </c>
      <c r="D209" s="66" t="s">
        <v>1193</v>
      </c>
      <c r="E209" s="5"/>
      <c r="F209" s="5"/>
      <c r="G209" s="5"/>
      <c r="H209" s="5"/>
      <c r="I209" s="5"/>
      <c r="J209" s="139"/>
      <c r="K209" s="579"/>
      <c r="L209" s="560"/>
      <c r="M209" s="560"/>
      <c r="N209" s="5"/>
      <c r="O209" s="579"/>
      <c r="P209" s="560"/>
      <c r="Q209" s="560"/>
      <c r="R209" s="5"/>
      <c r="S209" s="135"/>
    </row>
    <row r="210" spans="2:19" ht="15.75" x14ac:dyDescent="0.25">
      <c r="B210" s="4"/>
      <c r="C210" s="20"/>
      <c r="D210" s="438"/>
      <c r="E210" s="482"/>
      <c r="F210" s="482"/>
      <c r="G210" s="482"/>
      <c r="H210" s="482"/>
      <c r="I210" s="483"/>
      <c r="J210" s="139"/>
      <c r="K210" s="372"/>
      <c r="L210" s="373"/>
      <c r="M210" s="374"/>
      <c r="N210" s="5"/>
      <c r="O210" s="372"/>
      <c r="P210" s="373"/>
      <c r="Q210" s="374"/>
      <c r="R210" s="5"/>
      <c r="S210" s="135"/>
    </row>
    <row r="211" spans="2:19" ht="15.75" x14ac:dyDescent="0.25">
      <c r="B211" s="4"/>
      <c r="C211" s="20"/>
      <c r="D211" s="61"/>
      <c r="E211" s="5"/>
      <c r="F211" s="5"/>
      <c r="G211" s="5"/>
      <c r="H211" s="5"/>
      <c r="I211" s="5"/>
      <c r="J211" s="5"/>
      <c r="K211" s="580"/>
      <c r="L211" s="581"/>
      <c r="M211" s="581"/>
      <c r="N211" s="5"/>
      <c r="O211" s="580"/>
      <c r="P211" s="581"/>
      <c r="Q211" s="581"/>
      <c r="R211" s="5"/>
      <c r="S211" s="135"/>
    </row>
    <row r="212" spans="2:19" ht="15" x14ac:dyDescent="0.25">
      <c r="B212" s="4"/>
      <c r="C212" s="83">
        <v>7.2</v>
      </c>
      <c r="D212" s="69" t="s">
        <v>1182</v>
      </c>
      <c r="E212" s="5"/>
      <c r="F212" s="5"/>
      <c r="G212" s="5"/>
      <c r="H212" s="5"/>
      <c r="I212" s="5"/>
      <c r="J212" s="5"/>
      <c r="K212" s="573"/>
      <c r="L212" s="574"/>
      <c r="M212" s="574"/>
      <c r="N212" s="5"/>
      <c r="O212" s="573"/>
      <c r="P212" s="574"/>
      <c r="Q212" s="574"/>
      <c r="R212" s="5"/>
      <c r="S212" s="6"/>
    </row>
    <row r="213" spans="2:19" ht="15.75" x14ac:dyDescent="0.25">
      <c r="B213" s="4"/>
      <c r="C213" s="20"/>
      <c r="D213" s="61"/>
      <c r="E213" s="5"/>
      <c r="F213" s="5"/>
      <c r="G213" s="5"/>
      <c r="H213" s="5"/>
      <c r="I213" s="5"/>
      <c r="J213" s="5"/>
      <c r="K213" s="575"/>
      <c r="L213" s="576"/>
      <c r="M213" s="576"/>
      <c r="N213" s="5"/>
      <c r="O213" s="577"/>
      <c r="P213" s="578"/>
      <c r="Q213" s="578"/>
      <c r="R213" s="5"/>
      <c r="S213" s="6"/>
    </row>
    <row r="214" spans="2:19" ht="15.75" x14ac:dyDescent="0.25">
      <c r="B214" s="4"/>
      <c r="C214" s="20"/>
      <c r="D214" s="484"/>
      <c r="E214" s="485"/>
      <c r="F214" s="485"/>
      <c r="G214" s="485"/>
      <c r="H214" s="485"/>
      <c r="I214" s="485"/>
      <c r="J214" s="485"/>
      <c r="K214" s="485"/>
      <c r="L214" s="485"/>
      <c r="M214" s="485"/>
      <c r="N214" s="486"/>
      <c r="O214" s="486"/>
      <c r="P214" s="486"/>
      <c r="Q214" s="487"/>
      <c r="R214" s="5"/>
      <c r="S214" s="6"/>
    </row>
    <row r="215" spans="2:19" ht="15.75" x14ac:dyDescent="0.25">
      <c r="B215" s="4"/>
      <c r="C215" s="20"/>
      <c r="D215" s="488"/>
      <c r="E215" s="489"/>
      <c r="F215" s="489"/>
      <c r="G215" s="489"/>
      <c r="H215" s="489"/>
      <c r="I215" s="489"/>
      <c r="J215" s="489"/>
      <c r="K215" s="489"/>
      <c r="L215" s="489"/>
      <c r="M215" s="489"/>
      <c r="N215" s="490"/>
      <c r="O215" s="490"/>
      <c r="P215" s="490"/>
      <c r="Q215" s="491"/>
      <c r="R215" s="5"/>
      <c r="S215" s="6"/>
    </row>
    <row r="216" spans="2:19" ht="15.75" x14ac:dyDescent="0.25">
      <c r="B216" s="4"/>
      <c r="C216" s="20"/>
      <c r="D216" s="492"/>
      <c r="E216" s="493"/>
      <c r="F216" s="493"/>
      <c r="G216" s="493"/>
      <c r="H216" s="493"/>
      <c r="I216" s="493"/>
      <c r="J216" s="493"/>
      <c r="K216" s="493"/>
      <c r="L216" s="493"/>
      <c r="M216" s="493"/>
      <c r="N216" s="494"/>
      <c r="O216" s="494"/>
      <c r="P216" s="494"/>
      <c r="Q216" s="495"/>
      <c r="R216" s="5"/>
      <c r="S216" s="6"/>
    </row>
    <row r="217" spans="2:19" ht="15" thickBot="1" x14ac:dyDescent="0.25">
      <c r="B217" s="27"/>
      <c r="C217" s="16"/>
      <c r="D217" s="16"/>
      <c r="E217" s="16"/>
      <c r="F217" s="16"/>
      <c r="G217" s="16"/>
      <c r="H217" s="16"/>
      <c r="I217" s="16"/>
      <c r="J217" s="16"/>
      <c r="K217" s="16"/>
      <c r="L217" s="16"/>
      <c r="M217" s="16"/>
      <c r="N217" s="16"/>
      <c r="O217" s="16"/>
      <c r="P217" s="16"/>
      <c r="Q217" s="16"/>
      <c r="R217" s="16"/>
      <c r="S217" s="17"/>
    </row>
    <row r="218" spans="2:19" ht="15.75" thickTop="1" thickBot="1" x14ac:dyDescent="0.25"/>
    <row r="219" spans="2:19" ht="15" thickTop="1" x14ac:dyDescent="0.2">
      <c r="B219" s="2"/>
      <c r="C219" s="3"/>
      <c r="D219" s="3"/>
      <c r="E219" s="3"/>
      <c r="F219" s="3"/>
      <c r="G219" s="3"/>
      <c r="H219" s="3"/>
      <c r="I219" s="3"/>
      <c r="J219" s="3"/>
      <c r="K219" s="3"/>
      <c r="L219" s="3"/>
      <c r="M219" s="3"/>
      <c r="N219" s="3"/>
      <c r="O219" s="3"/>
      <c r="P219" s="3"/>
      <c r="Q219" s="3"/>
      <c r="R219" s="3"/>
      <c r="S219" s="19"/>
    </row>
    <row r="220" spans="2:19" ht="15.75" x14ac:dyDescent="0.25">
      <c r="B220" s="4"/>
      <c r="C220" s="20" t="s">
        <v>1224</v>
      </c>
      <c r="D220" s="61"/>
      <c r="E220" s="5"/>
      <c r="F220" s="5"/>
      <c r="G220" s="5"/>
      <c r="H220" s="5"/>
      <c r="I220" s="5"/>
      <c r="J220" s="5"/>
      <c r="K220" s="5"/>
      <c r="L220" s="5"/>
      <c r="M220" s="5"/>
      <c r="N220" s="5"/>
      <c r="O220" s="5"/>
      <c r="P220" s="5"/>
      <c r="Q220" s="5"/>
      <c r="R220" s="5"/>
      <c r="S220" s="6"/>
    </row>
    <row r="221" spans="2:19" ht="16.5" thickBot="1" x14ac:dyDescent="0.3">
      <c r="B221" s="4"/>
      <c r="C221" s="20"/>
      <c r="D221" s="61"/>
      <c r="E221" s="5"/>
      <c r="F221" s="5"/>
      <c r="G221" s="5"/>
      <c r="H221" s="5"/>
      <c r="I221" s="5"/>
      <c r="J221" s="5"/>
      <c r="K221" s="552" t="s">
        <v>1528</v>
      </c>
      <c r="L221" s="552"/>
      <c r="M221" s="552"/>
      <c r="N221" s="95"/>
      <c r="O221" s="552" t="s">
        <v>1529</v>
      </c>
      <c r="P221" s="552"/>
      <c r="Q221" s="552"/>
      <c r="R221" s="5"/>
      <c r="S221" s="6"/>
    </row>
    <row r="222" spans="2:19" s="110" customFormat="1" ht="15.75" thickBot="1" x14ac:dyDescent="0.3">
      <c r="B222" s="105"/>
      <c r="C222" s="106">
        <v>8.1</v>
      </c>
      <c r="D222" s="70" t="s">
        <v>1209</v>
      </c>
      <c r="E222" s="107"/>
      <c r="F222" s="107"/>
      <c r="G222" s="108"/>
      <c r="H222" s="108"/>
      <c r="I222" s="557" t="str">
        <f>IF((SUM(K224:K226))&lt;&gt;K222,(SUM(K224:K226)),"")</f>
        <v/>
      </c>
      <c r="J222" s="570"/>
      <c r="K222" s="435">
        <f>SUM(K224:M226)</f>
        <v>0</v>
      </c>
      <c r="L222" s="436"/>
      <c r="M222" s="437"/>
      <c r="N222" s="109"/>
      <c r="O222" s="435">
        <f>SUM(O224:Q226)</f>
        <v>0</v>
      </c>
      <c r="P222" s="436"/>
      <c r="Q222" s="437"/>
      <c r="R222" s="553" t="str">
        <f>IF((SUM(O224:O226))&lt;&gt;O222,(SUM(O224:O226)),"")</f>
        <v/>
      </c>
      <c r="S222" s="571"/>
    </row>
    <row r="223" spans="2:19" ht="15.75" x14ac:dyDescent="0.25">
      <c r="B223" s="4"/>
      <c r="C223" s="85"/>
      <c r="D223" s="20"/>
      <c r="E223" s="5"/>
      <c r="F223" s="5"/>
      <c r="G223" s="5"/>
      <c r="H223" s="5"/>
      <c r="I223" s="5"/>
      <c r="J223" s="139"/>
      <c r="K223" s="139"/>
      <c r="L223" s="139"/>
      <c r="M223" s="139"/>
      <c r="N223" s="5"/>
      <c r="O223" s="139"/>
      <c r="P223" s="139"/>
      <c r="Q223" s="139"/>
      <c r="R223" s="5"/>
      <c r="S223" s="6"/>
    </row>
    <row r="224" spans="2:19" x14ac:dyDescent="0.2">
      <c r="B224" s="4"/>
      <c r="C224" s="120" t="s">
        <v>937</v>
      </c>
      <c r="D224" s="71" t="s">
        <v>1207</v>
      </c>
      <c r="E224" s="5"/>
      <c r="F224" s="5"/>
      <c r="G224" s="5"/>
      <c r="H224" s="5"/>
      <c r="I224" s="5"/>
      <c r="J224" s="139"/>
      <c r="K224" s="372">
        <f>K148</f>
        <v>0</v>
      </c>
      <c r="L224" s="373"/>
      <c r="M224" s="374"/>
      <c r="N224" s="139"/>
      <c r="O224" s="372">
        <f>O148</f>
        <v>0</v>
      </c>
      <c r="P224" s="373"/>
      <c r="Q224" s="374"/>
      <c r="R224" s="5"/>
      <c r="S224" s="6"/>
    </row>
    <row r="225" spans="2:19" x14ac:dyDescent="0.2">
      <c r="B225" s="4"/>
      <c r="C225" s="120" t="s">
        <v>938</v>
      </c>
      <c r="D225" s="71" t="s">
        <v>1208</v>
      </c>
      <c r="E225" s="5"/>
      <c r="F225" s="5"/>
      <c r="G225" s="5"/>
      <c r="H225" s="5"/>
      <c r="I225" s="5"/>
      <c r="J225" s="139"/>
      <c r="K225" s="372">
        <f>K169</f>
        <v>0</v>
      </c>
      <c r="L225" s="373"/>
      <c r="M225" s="374"/>
      <c r="N225" s="139"/>
      <c r="O225" s="372">
        <f>O169</f>
        <v>0</v>
      </c>
      <c r="P225" s="373"/>
      <c r="Q225" s="374"/>
      <c r="R225" s="5"/>
      <c r="S225" s="6"/>
    </row>
    <row r="226" spans="2:19" x14ac:dyDescent="0.2">
      <c r="B226" s="4"/>
      <c r="C226" s="120" t="s">
        <v>939</v>
      </c>
      <c r="D226" s="71" t="s">
        <v>1156</v>
      </c>
      <c r="E226" s="5"/>
      <c r="F226" s="5"/>
      <c r="G226" s="5"/>
      <c r="H226" s="5"/>
      <c r="I226" s="5"/>
      <c r="J226" s="139"/>
      <c r="K226" s="372">
        <f>K181</f>
        <v>0</v>
      </c>
      <c r="L226" s="373"/>
      <c r="M226" s="374"/>
      <c r="N226" s="139"/>
      <c r="O226" s="372">
        <f>O181</f>
        <v>0</v>
      </c>
      <c r="P226" s="373"/>
      <c r="Q226" s="374"/>
      <c r="R226" s="5"/>
      <c r="S226" s="6"/>
    </row>
    <row r="227" spans="2:19" ht="15.75" thickBot="1" x14ac:dyDescent="0.3">
      <c r="B227" s="4"/>
      <c r="C227" s="86"/>
      <c r="D227" s="72"/>
      <c r="E227" s="5"/>
      <c r="F227" s="5"/>
      <c r="G227" s="5"/>
      <c r="H227" s="5"/>
      <c r="I227" s="5"/>
      <c r="J227" s="139"/>
      <c r="K227" s="5"/>
      <c r="L227" s="5"/>
      <c r="M227" s="139"/>
      <c r="N227" s="139"/>
      <c r="O227" s="5"/>
      <c r="P227" s="5"/>
      <c r="Q227" s="139"/>
      <c r="R227" s="5"/>
      <c r="S227" s="6"/>
    </row>
    <row r="228" spans="2:19" s="110" customFormat="1" ht="15.75" thickBot="1" x14ac:dyDescent="0.3">
      <c r="B228" s="105"/>
      <c r="C228" s="106">
        <v>8.1999999999999993</v>
      </c>
      <c r="D228" s="70" t="s">
        <v>1184</v>
      </c>
      <c r="E228" s="107"/>
      <c r="F228" s="107"/>
      <c r="G228" s="108"/>
      <c r="H228" s="108"/>
      <c r="I228" s="557" t="str">
        <f>IF((K228)&lt;&gt;K199, K199,"")</f>
        <v/>
      </c>
      <c r="J228" s="570"/>
      <c r="K228" s="435">
        <f>K199</f>
        <v>0</v>
      </c>
      <c r="L228" s="436"/>
      <c r="M228" s="437"/>
      <c r="N228" s="109"/>
      <c r="O228" s="435">
        <f>O199</f>
        <v>0</v>
      </c>
      <c r="P228" s="436"/>
      <c r="Q228" s="437"/>
      <c r="R228" s="553" t="str">
        <f>IF((O228)&lt;&gt;O199, O199,"")</f>
        <v/>
      </c>
      <c r="S228" s="571"/>
    </row>
    <row r="229" spans="2:19" ht="15.75" thickBot="1" x14ac:dyDescent="0.3">
      <c r="B229" s="4"/>
      <c r="C229" s="86"/>
      <c r="D229" s="72"/>
      <c r="E229" s="5"/>
      <c r="F229" s="5"/>
      <c r="G229" s="5"/>
      <c r="H229" s="5"/>
      <c r="I229" s="5"/>
      <c r="J229" s="139"/>
      <c r="K229" s="5"/>
      <c r="L229" s="5"/>
      <c r="M229" s="139"/>
      <c r="N229" s="139"/>
      <c r="O229" s="5"/>
      <c r="P229" s="5"/>
      <c r="Q229" s="139"/>
      <c r="R229" s="5"/>
      <c r="S229" s="6"/>
    </row>
    <row r="230" spans="2:19" s="110" customFormat="1" ht="15.75" thickBot="1" x14ac:dyDescent="0.3">
      <c r="B230" s="105"/>
      <c r="C230" s="106">
        <v>8.3000000000000007</v>
      </c>
      <c r="D230" s="70" t="s">
        <v>1211</v>
      </c>
      <c r="E230" s="111"/>
      <c r="F230" s="108"/>
      <c r="G230" s="108"/>
      <c r="H230" s="108"/>
      <c r="I230" s="557" t="str">
        <f>IF((K222-K228)&lt;&gt;K230,(K222-K228),"")</f>
        <v/>
      </c>
      <c r="J230" s="570"/>
      <c r="K230" s="435">
        <f>K222-K228</f>
        <v>0</v>
      </c>
      <c r="L230" s="436"/>
      <c r="M230" s="437"/>
      <c r="N230" s="109"/>
      <c r="O230" s="435">
        <f>O222-O228</f>
        <v>0</v>
      </c>
      <c r="P230" s="436"/>
      <c r="Q230" s="437"/>
      <c r="R230" s="553" t="str">
        <f>IF((O222-O228)&lt;&gt;O230,(O222-O228),"")</f>
        <v/>
      </c>
      <c r="S230" s="572"/>
    </row>
    <row r="231" spans="2:19" x14ac:dyDescent="0.2">
      <c r="B231" s="4"/>
      <c r="C231" s="87"/>
      <c r="D231" s="73" t="s">
        <v>1210</v>
      </c>
      <c r="E231" s="61"/>
      <c r="F231" s="5"/>
      <c r="G231" s="5"/>
      <c r="H231" s="5"/>
      <c r="I231" s="5"/>
      <c r="J231" s="139"/>
      <c r="K231" s="139"/>
      <c r="L231" s="139"/>
      <c r="M231" s="139"/>
      <c r="N231" s="5"/>
      <c r="O231" s="139"/>
      <c r="P231" s="139"/>
      <c r="Q231" s="139"/>
      <c r="R231" s="5"/>
      <c r="S231" s="6"/>
    </row>
    <row r="232" spans="2:19" ht="16.5" thickBot="1" x14ac:dyDescent="0.3">
      <c r="B232" s="4"/>
      <c r="C232" s="88"/>
      <c r="D232" s="61"/>
      <c r="E232" s="5"/>
      <c r="F232" s="5"/>
      <c r="G232" s="5"/>
      <c r="H232" s="5"/>
      <c r="I232" s="5"/>
      <c r="J232" s="5"/>
      <c r="K232" s="5"/>
      <c r="L232" s="5"/>
      <c r="M232" s="5"/>
      <c r="N232" s="5"/>
      <c r="O232" s="139"/>
      <c r="P232" s="139"/>
      <c r="Q232" s="139"/>
      <c r="R232" s="5"/>
      <c r="S232" s="6"/>
    </row>
    <row r="233" spans="2:19" s="110" customFormat="1" ht="15.75" thickBot="1" x14ac:dyDescent="0.3">
      <c r="B233" s="105"/>
      <c r="C233" s="106">
        <v>8.4</v>
      </c>
      <c r="D233" s="58" t="s">
        <v>1734</v>
      </c>
      <c r="E233" s="108"/>
      <c r="F233" s="108"/>
      <c r="G233" s="108"/>
      <c r="H233" s="108"/>
      <c r="I233" s="557" t="str">
        <f>IF((SUM(K235:K236,K238))&lt;&gt;K233,(SUM(K235:K236,K238)),"")</f>
        <v/>
      </c>
      <c r="J233" s="570"/>
      <c r="K233" s="435">
        <f>SUM(K235:M236,K238)</f>
        <v>0</v>
      </c>
      <c r="L233" s="436"/>
      <c r="M233" s="437"/>
      <c r="N233" s="109"/>
      <c r="O233" s="435">
        <f>SUM(O235:Q236,O238)</f>
        <v>0</v>
      </c>
      <c r="P233" s="436"/>
      <c r="Q233" s="437"/>
      <c r="R233" s="553" t="str">
        <f>IF((SUM(O235:O236,O238))&lt;&gt;O233,(SUM(O235:O236,O238)),"")</f>
        <v/>
      </c>
      <c r="S233" s="571"/>
    </row>
    <row r="234" spans="2:19" ht="15.75" x14ac:dyDescent="0.25">
      <c r="B234" s="4"/>
      <c r="C234" s="88"/>
      <c r="D234" s="74" t="s">
        <v>1131</v>
      </c>
      <c r="E234" s="5"/>
      <c r="F234" s="5"/>
      <c r="G234" s="5"/>
      <c r="H234" s="5"/>
      <c r="I234" s="5"/>
      <c r="J234" s="5"/>
      <c r="K234" s="5"/>
      <c r="L234" s="5"/>
      <c r="M234" s="5"/>
      <c r="N234" s="5"/>
      <c r="O234" s="139"/>
      <c r="P234" s="139"/>
      <c r="Q234" s="139"/>
      <c r="R234" s="5"/>
      <c r="S234" s="6"/>
    </row>
    <row r="235" spans="2:19" x14ac:dyDescent="0.2">
      <c r="B235" s="4"/>
      <c r="C235" s="93" t="s">
        <v>940</v>
      </c>
      <c r="D235" s="25" t="s">
        <v>1785</v>
      </c>
      <c r="E235" s="22"/>
      <c r="F235" s="22"/>
      <c r="G235" s="22"/>
      <c r="H235" s="22"/>
      <c r="I235" s="5"/>
      <c r="J235" s="5"/>
      <c r="K235" s="372"/>
      <c r="L235" s="373"/>
      <c r="M235" s="374"/>
      <c r="N235" s="5"/>
      <c r="O235" s="372"/>
      <c r="P235" s="373"/>
      <c r="Q235" s="374"/>
      <c r="R235" s="5"/>
      <c r="S235" s="6"/>
    </row>
    <row r="236" spans="2:19" x14ac:dyDescent="0.2">
      <c r="B236" s="4"/>
      <c r="C236" s="93" t="s">
        <v>941</v>
      </c>
      <c r="D236" s="25" t="s">
        <v>1212</v>
      </c>
      <c r="E236" s="22"/>
      <c r="F236" s="22"/>
      <c r="G236" s="22"/>
      <c r="H236" s="22"/>
      <c r="I236" s="5"/>
      <c r="J236" s="5"/>
      <c r="K236" s="372"/>
      <c r="L236" s="373"/>
      <c r="M236" s="374"/>
      <c r="N236" s="5"/>
      <c r="O236" s="372"/>
      <c r="P236" s="373"/>
      <c r="Q236" s="374"/>
      <c r="R236" s="5"/>
      <c r="S236" s="6"/>
    </row>
    <row r="237" spans="2:19" x14ac:dyDescent="0.2">
      <c r="B237" s="4"/>
      <c r="C237" s="93" t="s">
        <v>942</v>
      </c>
      <c r="D237" s="25" t="s">
        <v>1213</v>
      </c>
      <c r="E237" s="22"/>
      <c r="F237" s="22"/>
      <c r="G237" s="22"/>
      <c r="H237" s="22"/>
      <c r="I237" s="5"/>
      <c r="J237" s="5"/>
      <c r="K237" s="5"/>
      <c r="L237" s="5"/>
      <c r="M237" s="5"/>
      <c r="N237" s="5"/>
      <c r="O237" s="139"/>
      <c r="P237" s="139"/>
      <c r="Q237" s="139"/>
      <c r="R237" s="5"/>
      <c r="S237" s="6"/>
    </row>
    <row r="238" spans="2:19" ht="15.75" x14ac:dyDescent="0.25">
      <c r="B238" s="4"/>
      <c r="C238" s="88"/>
      <c r="D238" s="549"/>
      <c r="E238" s="550"/>
      <c r="F238" s="550"/>
      <c r="G238" s="550"/>
      <c r="H238" s="551"/>
      <c r="I238" s="5"/>
      <c r="J238" s="5"/>
      <c r="K238" s="372"/>
      <c r="L238" s="373"/>
      <c r="M238" s="374"/>
      <c r="N238" s="5"/>
      <c r="O238" s="372"/>
      <c r="P238" s="373"/>
      <c r="Q238" s="374"/>
      <c r="R238" s="5"/>
      <c r="S238" s="6"/>
    </row>
    <row r="239" spans="2:19" ht="16.5" thickBot="1" x14ac:dyDescent="0.3">
      <c r="B239" s="4"/>
      <c r="C239" s="88"/>
      <c r="D239" s="61"/>
      <c r="E239" s="5"/>
      <c r="F239" s="5"/>
      <c r="G239" s="5"/>
      <c r="H239" s="5"/>
      <c r="I239" s="5"/>
      <c r="J239" s="5"/>
      <c r="K239" s="5"/>
      <c r="L239" s="5"/>
      <c r="M239" s="5"/>
      <c r="N239" s="5"/>
      <c r="O239" s="139"/>
      <c r="P239" s="139"/>
      <c r="Q239" s="139"/>
      <c r="R239" s="5"/>
      <c r="S239" s="6"/>
    </row>
    <row r="240" spans="2:19" ht="15.75" thickBot="1" x14ac:dyDescent="0.3">
      <c r="B240" s="4"/>
      <c r="C240" s="84">
        <v>8.5</v>
      </c>
      <c r="D240" s="58" t="s">
        <v>1235</v>
      </c>
      <c r="E240" s="5"/>
      <c r="F240" s="5"/>
      <c r="G240" s="5"/>
      <c r="H240" s="5"/>
      <c r="I240" s="5"/>
      <c r="J240" s="5"/>
      <c r="K240" s="382"/>
      <c r="L240" s="383"/>
      <c r="M240" s="384"/>
      <c r="N240" s="139"/>
      <c r="O240" s="382"/>
      <c r="P240" s="383"/>
      <c r="Q240" s="384"/>
      <c r="R240" s="5"/>
      <c r="S240" s="6"/>
    </row>
    <row r="241" spans="2:19" ht="16.5" thickBot="1" x14ac:dyDescent="0.3">
      <c r="B241" s="4"/>
      <c r="C241" s="88"/>
      <c r="D241" s="61"/>
      <c r="E241" s="5"/>
      <c r="F241" s="5"/>
      <c r="G241" s="5"/>
      <c r="H241" s="5"/>
      <c r="I241" s="5"/>
      <c r="J241" s="5"/>
      <c r="K241" s="5"/>
      <c r="L241" s="5"/>
      <c r="M241" s="5"/>
      <c r="N241" s="5"/>
      <c r="O241" s="139"/>
      <c r="P241" s="139"/>
      <c r="Q241" s="139"/>
      <c r="R241" s="5"/>
      <c r="S241" s="6"/>
    </row>
    <row r="242" spans="2:19" s="110" customFormat="1" ht="15.75" thickBot="1" x14ac:dyDescent="0.3">
      <c r="B242" s="105"/>
      <c r="C242" s="106">
        <v>8.6</v>
      </c>
      <c r="D242" s="70" t="s">
        <v>1773</v>
      </c>
      <c r="E242" s="111"/>
      <c r="F242" s="108"/>
      <c r="G242" s="108"/>
      <c r="H242" s="108"/>
      <c r="I242" s="557" t="str">
        <f>IF((K230-K233-K240)&lt;&gt;K242,(K230-K233-K240),"")</f>
        <v/>
      </c>
      <c r="J242" s="570"/>
      <c r="K242" s="435">
        <f>K230-K233-K240</f>
        <v>0</v>
      </c>
      <c r="L242" s="436"/>
      <c r="M242" s="437"/>
      <c r="N242" s="109"/>
      <c r="O242" s="435">
        <f>O230-O233-O240</f>
        <v>0</v>
      </c>
      <c r="P242" s="436"/>
      <c r="Q242" s="437"/>
      <c r="R242" s="553" t="str">
        <f>IF((O230-O233-O240)&lt;&gt;O242,(O230-O233-O240),"")</f>
        <v/>
      </c>
      <c r="S242" s="571"/>
    </row>
    <row r="243" spans="2:19" ht="15.75" x14ac:dyDescent="0.25">
      <c r="B243" s="4"/>
      <c r="C243" s="88"/>
      <c r="D243" s="73" t="s">
        <v>1735</v>
      </c>
      <c r="E243" s="5"/>
      <c r="F243" s="5"/>
      <c r="G243" s="5"/>
      <c r="H243" s="5"/>
      <c r="I243" s="5"/>
      <c r="J243" s="5"/>
      <c r="K243" s="5"/>
      <c r="L243" s="5"/>
      <c r="M243" s="5"/>
      <c r="N243" s="5"/>
      <c r="O243" s="139"/>
      <c r="P243" s="139"/>
      <c r="Q243" s="139"/>
      <c r="R243" s="5"/>
      <c r="S243" s="6"/>
    </row>
    <row r="244" spans="2:19" ht="15.75" x14ac:dyDescent="0.25">
      <c r="B244" s="4"/>
      <c r="C244" s="88"/>
      <c r="D244" s="73"/>
      <c r="E244" s="5"/>
      <c r="F244" s="5"/>
      <c r="G244" s="5"/>
      <c r="H244" s="5"/>
      <c r="I244" s="5"/>
      <c r="J244" s="5"/>
      <c r="K244" s="5"/>
      <c r="L244" s="5"/>
      <c r="M244" s="337"/>
      <c r="N244" s="5"/>
      <c r="O244" s="139"/>
      <c r="P244" s="139"/>
      <c r="Q244" s="139"/>
      <c r="R244" s="5"/>
      <c r="S244" s="6"/>
    </row>
    <row r="245" spans="2:19" x14ac:dyDescent="0.2">
      <c r="B245" s="4"/>
      <c r="C245" s="84">
        <v>8.6999999999999993</v>
      </c>
      <c r="D245" s="75" t="s">
        <v>1182</v>
      </c>
      <c r="E245" s="5"/>
      <c r="F245" s="5"/>
      <c r="G245" s="5"/>
      <c r="H245" s="5"/>
      <c r="I245" s="5"/>
      <c r="J245" s="5"/>
      <c r="K245" s="5"/>
      <c r="L245" s="5"/>
      <c r="M245" s="5"/>
      <c r="N245" s="5"/>
      <c r="O245" s="139"/>
      <c r="P245" s="139"/>
      <c r="Q245" s="139"/>
      <c r="R245" s="5"/>
      <c r="S245" s="6"/>
    </row>
    <row r="246" spans="2:19" ht="15.75" x14ac:dyDescent="0.25">
      <c r="B246" s="4"/>
      <c r="C246" s="88"/>
      <c r="D246" s="61"/>
      <c r="E246" s="5"/>
      <c r="F246" s="5"/>
      <c r="G246" s="5"/>
      <c r="H246" s="5"/>
      <c r="I246" s="5"/>
      <c r="J246" s="5"/>
      <c r="K246" s="5"/>
      <c r="L246" s="5"/>
      <c r="M246" s="5"/>
      <c r="N246" s="5"/>
      <c r="O246" s="139"/>
      <c r="P246" s="139"/>
      <c r="Q246" s="139"/>
      <c r="R246" s="337"/>
      <c r="S246" s="6"/>
    </row>
    <row r="247" spans="2:19" ht="15.75" x14ac:dyDescent="0.25">
      <c r="B247" s="4"/>
      <c r="C247" s="88"/>
      <c r="D247" s="484"/>
      <c r="E247" s="485"/>
      <c r="F247" s="485"/>
      <c r="G247" s="485"/>
      <c r="H247" s="485"/>
      <c r="I247" s="485"/>
      <c r="J247" s="485"/>
      <c r="K247" s="485"/>
      <c r="L247" s="485"/>
      <c r="M247" s="485"/>
      <c r="N247" s="500"/>
      <c r="O247" s="500"/>
      <c r="P247" s="500"/>
      <c r="Q247" s="501"/>
      <c r="R247" s="5"/>
      <c r="S247" s="6"/>
    </row>
    <row r="248" spans="2:19" ht="15.75" x14ac:dyDescent="0.25">
      <c r="B248" s="4"/>
      <c r="C248" s="88"/>
      <c r="D248" s="488"/>
      <c r="E248" s="489"/>
      <c r="F248" s="489"/>
      <c r="G248" s="489"/>
      <c r="H248" s="489"/>
      <c r="I248" s="489"/>
      <c r="J248" s="489"/>
      <c r="K248" s="489"/>
      <c r="L248" s="489"/>
      <c r="M248" s="489"/>
      <c r="N248" s="502"/>
      <c r="O248" s="502"/>
      <c r="P248" s="502"/>
      <c r="Q248" s="503"/>
      <c r="R248" s="5"/>
      <c r="S248" s="6"/>
    </row>
    <row r="249" spans="2:19" ht="15.75" x14ac:dyDescent="0.25">
      <c r="B249" s="4"/>
      <c r="C249" s="88"/>
      <c r="D249" s="492"/>
      <c r="E249" s="493"/>
      <c r="F249" s="493"/>
      <c r="G249" s="493"/>
      <c r="H249" s="493"/>
      <c r="I249" s="493"/>
      <c r="J249" s="493"/>
      <c r="K249" s="493"/>
      <c r="L249" s="493"/>
      <c r="M249" s="493"/>
      <c r="N249" s="504"/>
      <c r="O249" s="504"/>
      <c r="P249" s="504"/>
      <c r="Q249" s="505"/>
      <c r="R249" s="5"/>
      <c r="S249" s="6"/>
    </row>
    <row r="250" spans="2:19" ht="15" thickBot="1" x14ac:dyDescent="0.25">
      <c r="B250" s="27"/>
      <c r="C250" s="90"/>
      <c r="D250" s="16"/>
      <c r="E250" s="16"/>
      <c r="F250" s="16"/>
      <c r="G250" s="16"/>
      <c r="H250" s="16"/>
      <c r="I250" s="16"/>
      <c r="J250" s="16"/>
      <c r="K250" s="16"/>
      <c r="L250" s="16"/>
      <c r="M250" s="16"/>
      <c r="N250" s="16"/>
      <c r="O250" s="16"/>
      <c r="P250" s="16"/>
      <c r="Q250" s="16"/>
      <c r="R250" s="16"/>
      <c r="S250" s="17"/>
    </row>
    <row r="251" spans="2:19" ht="15.75" thickTop="1" thickBot="1" x14ac:dyDescent="0.25">
      <c r="B251" s="18"/>
      <c r="C251" s="91"/>
      <c r="D251" s="18"/>
      <c r="E251" s="18"/>
      <c r="F251" s="18"/>
      <c r="G251" s="18"/>
      <c r="H251" s="18"/>
      <c r="I251" s="18"/>
      <c r="J251" s="18"/>
      <c r="K251" s="18"/>
      <c r="L251" s="18"/>
      <c r="M251" s="18"/>
      <c r="N251" s="18"/>
      <c r="O251" s="18"/>
      <c r="P251" s="18"/>
      <c r="Q251" s="18"/>
      <c r="R251" s="18"/>
      <c r="S251" s="18"/>
    </row>
    <row r="252" spans="2:19" ht="15" thickTop="1" x14ac:dyDescent="0.2">
      <c r="B252" s="2"/>
      <c r="C252" s="92"/>
      <c r="D252" s="3"/>
      <c r="E252" s="3"/>
      <c r="F252" s="3"/>
      <c r="G252" s="3"/>
      <c r="H252" s="3"/>
      <c r="I252" s="3"/>
      <c r="J252" s="3"/>
      <c r="K252" s="3"/>
      <c r="L252" s="3"/>
      <c r="M252" s="3"/>
      <c r="N252" s="3"/>
      <c r="O252" s="3"/>
      <c r="P252" s="3"/>
      <c r="Q252" s="3"/>
      <c r="R252" s="3"/>
      <c r="S252" s="19"/>
    </row>
    <row r="253" spans="2:19" ht="15.75" x14ac:dyDescent="0.25">
      <c r="B253" s="4"/>
      <c r="C253" s="88" t="s">
        <v>1223</v>
      </c>
      <c r="D253" s="61"/>
      <c r="E253" s="5"/>
      <c r="F253" s="5"/>
      <c r="G253" s="5"/>
      <c r="H253" s="5"/>
      <c r="I253" s="5"/>
      <c r="J253" s="5"/>
      <c r="K253" s="5"/>
      <c r="L253" s="5"/>
      <c r="M253" s="5"/>
      <c r="N253" s="5"/>
      <c r="O253" s="5"/>
      <c r="P253" s="5"/>
      <c r="Q253" s="5"/>
      <c r="R253" s="5"/>
      <c r="S253" s="6"/>
    </row>
    <row r="254" spans="2:19" ht="16.5" thickBot="1" x14ac:dyDescent="0.3">
      <c r="B254" s="4"/>
      <c r="C254" s="88"/>
      <c r="D254" s="61"/>
      <c r="E254" s="5"/>
      <c r="F254" s="5"/>
      <c r="G254" s="5"/>
      <c r="H254" s="5"/>
      <c r="I254" s="5"/>
      <c r="J254" s="5"/>
      <c r="K254" s="552" t="s">
        <v>1528</v>
      </c>
      <c r="L254" s="552"/>
      <c r="M254" s="552"/>
      <c r="N254" s="95"/>
      <c r="O254" s="552" t="s">
        <v>1529</v>
      </c>
      <c r="P254" s="552"/>
      <c r="Q254" s="552"/>
      <c r="R254" s="134"/>
      <c r="S254" s="135"/>
    </row>
    <row r="255" spans="2:19" s="110" customFormat="1" ht="16.5" thickTop="1" thickBot="1" x14ac:dyDescent="0.3">
      <c r="B255" s="105"/>
      <c r="C255" s="106">
        <v>9.1</v>
      </c>
      <c r="D255" s="76" t="s">
        <v>1214</v>
      </c>
      <c r="E255" s="50"/>
      <c r="F255" s="108"/>
      <c r="G255" s="108"/>
      <c r="H255" s="557" t="str">
        <f>IF((SUM(K257,K261))&lt;&gt;K255,(SUM(K257,K261)),"")</f>
        <v/>
      </c>
      <c r="I255" s="567"/>
      <c r="J255" s="568"/>
      <c r="K255" s="530">
        <f>SUM(K257,K261)</f>
        <v>0</v>
      </c>
      <c r="L255" s="531"/>
      <c r="M255" s="532"/>
      <c r="N255" s="109"/>
      <c r="O255" s="530">
        <f>SUM(O257,O261)</f>
        <v>0</v>
      </c>
      <c r="P255" s="531"/>
      <c r="Q255" s="532"/>
      <c r="R255" s="566" t="str">
        <f>IF((SUM(O257,O261))&lt;&gt;O255,(SUM(O257,O261)),"")</f>
        <v/>
      </c>
      <c r="S255" s="554"/>
    </row>
    <row r="256" spans="2:19" ht="16.5" thickTop="1" thickBot="1" x14ac:dyDescent="0.3">
      <c r="B256" s="4"/>
      <c r="C256" s="84"/>
      <c r="D256" s="75"/>
      <c r="E256" s="67"/>
      <c r="F256" s="5"/>
      <c r="G256" s="5"/>
      <c r="H256" s="139"/>
      <c r="I256" s="139"/>
      <c r="J256" s="139"/>
      <c r="K256" s="139"/>
      <c r="L256" s="5"/>
      <c r="M256" s="139"/>
      <c r="N256" s="139"/>
      <c r="O256" s="139"/>
      <c r="P256" s="5"/>
      <c r="Q256" s="139"/>
      <c r="R256" s="134"/>
      <c r="S256" s="135"/>
    </row>
    <row r="257" spans="2:19" ht="15.75" thickBot="1" x14ac:dyDescent="0.3">
      <c r="B257" s="4"/>
      <c r="C257" s="93" t="s">
        <v>813</v>
      </c>
      <c r="D257" s="77" t="s">
        <v>1216</v>
      </c>
      <c r="E257" s="5"/>
      <c r="F257" s="5"/>
      <c r="G257" s="5"/>
      <c r="H257" s="557" t="str">
        <f>IF((SUM(K258:M259))&lt;&gt;K257,(SUM(K258:M259)),"")</f>
        <v/>
      </c>
      <c r="I257" s="567"/>
      <c r="J257" s="568"/>
      <c r="K257" s="509">
        <f>SUM(K258:M259)</f>
        <v>0</v>
      </c>
      <c r="L257" s="510"/>
      <c r="M257" s="511"/>
      <c r="N257" s="5"/>
      <c r="O257" s="512">
        <f>SUM(O258:Q259)</f>
        <v>0</v>
      </c>
      <c r="P257" s="513"/>
      <c r="Q257" s="514"/>
      <c r="R257" s="566" t="str">
        <f>IF((SUM(O258:O259))&lt;&gt;O257,(SUM(O258:O259)),"")</f>
        <v/>
      </c>
      <c r="S257" s="554"/>
    </row>
    <row r="258" spans="2:19" ht="15" x14ac:dyDescent="0.25">
      <c r="B258" s="4"/>
      <c r="C258" s="89" t="s">
        <v>1008</v>
      </c>
      <c r="D258" s="66" t="s">
        <v>1220</v>
      </c>
      <c r="E258" s="5"/>
      <c r="F258" s="5"/>
      <c r="G258" s="5"/>
      <c r="H258" s="139"/>
      <c r="I258" s="139"/>
      <c r="J258" s="139"/>
      <c r="K258" s="506"/>
      <c r="L258" s="507"/>
      <c r="M258" s="508"/>
      <c r="N258" s="5"/>
      <c r="O258" s="506"/>
      <c r="P258" s="507"/>
      <c r="Q258" s="508"/>
      <c r="R258" s="134"/>
      <c r="S258" s="135"/>
    </row>
    <row r="259" spans="2:19" ht="15" x14ac:dyDescent="0.25">
      <c r="B259" s="4"/>
      <c r="C259" s="89" t="s">
        <v>1010</v>
      </c>
      <c r="D259" s="66" t="s">
        <v>1206</v>
      </c>
      <c r="E259" s="5"/>
      <c r="F259" s="5"/>
      <c r="G259" s="5"/>
      <c r="H259" s="139"/>
      <c r="I259" s="139"/>
      <c r="J259" s="139"/>
      <c r="K259" s="515"/>
      <c r="L259" s="516"/>
      <c r="M259" s="517"/>
      <c r="N259" s="5"/>
      <c r="O259" s="515"/>
      <c r="P259" s="516"/>
      <c r="Q259" s="517"/>
      <c r="R259" s="134"/>
      <c r="S259" s="135"/>
    </row>
    <row r="260" spans="2:19" ht="15.75" thickBot="1" x14ac:dyDescent="0.3">
      <c r="B260" s="4"/>
      <c r="C260" s="84"/>
      <c r="D260" s="66"/>
      <c r="E260" s="5"/>
      <c r="F260" s="5"/>
      <c r="G260" s="5"/>
      <c r="H260" s="139"/>
      <c r="I260" s="139"/>
      <c r="J260" s="139"/>
      <c r="K260" s="139"/>
      <c r="L260" s="5"/>
      <c r="M260" s="139"/>
      <c r="N260" s="5"/>
      <c r="O260" s="139"/>
      <c r="P260" s="5"/>
      <c r="Q260" s="139"/>
      <c r="R260" s="134"/>
      <c r="S260" s="135"/>
    </row>
    <row r="261" spans="2:19" ht="15.75" thickBot="1" x14ac:dyDescent="0.3">
      <c r="B261" s="4"/>
      <c r="C261" s="93" t="s">
        <v>814</v>
      </c>
      <c r="D261" s="77" t="s">
        <v>1217</v>
      </c>
      <c r="E261" s="5"/>
      <c r="F261" s="5"/>
      <c r="G261" s="5"/>
      <c r="H261" s="557" t="str">
        <f>IF((SUM(K262:M264))&lt;&gt;K261,(SUM(K262:M264)),"")</f>
        <v/>
      </c>
      <c r="I261" s="567"/>
      <c r="J261" s="568"/>
      <c r="K261" s="512">
        <f>SUM(K262:M264)</f>
        <v>0</v>
      </c>
      <c r="L261" s="513"/>
      <c r="M261" s="514"/>
      <c r="N261" s="5"/>
      <c r="O261" s="512">
        <f>SUM(O262:Q264)</f>
        <v>0</v>
      </c>
      <c r="P261" s="513"/>
      <c r="Q261" s="514"/>
      <c r="R261" s="566" t="str">
        <f>IF((SUM(O262:O264))&lt;&gt;O261,(SUM(O262:O264)),"")</f>
        <v/>
      </c>
      <c r="S261" s="554"/>
    </row>
    <row r="262" spans="2:19" ht="15" x14ac:dyDescent="0.25">
      <c r="B262" s="4"/>
      <c r="C262" s="89" t="s">
        <v>1009</v>
      </c>
      <c r="D262" s="66" t="s">
        <v>1221</v>
      </c>
      <c r="E262" s="5"/>
      <c r="F262" s="5"/>
      <c r="G262" s="5"/>
      <c r="H262" s="139"/>
      <c r="I262" s="139"/>
      <c r="J262" s="139"/>
      <c r="K262" s="521"/>
      <c r="L262" s="522"/>
      <c r="M262" s="523"/>
      <c r="N262" s="5"/>
      <c r="O262" s="521"/>
      <c r="P262" s="522"/>
      <c r="Q262" s="523"/>
      <c r="R262" s="134"/>
      <c r="S262" s="135"/>
    </row>
    <row r="263" spans="2:19" x14ac:dyDescent="0.2">
      <c r="B263" s="4"/>
      <c r="C263" s="89"/>
      <c r="D263" s="150" t="s">
        <v>1783</v>
      </c>
      <c r="E263" s="5"/>
      <c r="F263" s="5"/>
      <c r="G263" s="5"/>
      <c r="H263" s="139"/>
      <c r="I263" s="139"/>
      <c r="J263" s="139"/>
      <c r="K263" s="515"/>
      <c r="L263" s="516"/>
      <c r="M263" s="517"/>
      <c r="N263" s="5"/>
      <c r="O263" s="515"/>
      <c r="P263" s="516"/>
      <c r="Q263" s="517"/>
      <c r="R263" s="139"/>
      <c r="S263" s="6"/>
    </row>
    <row r="264" spans="2:19" ht="15" x14ac:dyDescent="0.25">
      <c r="B264" s="4"/>
      <c r="C264" s="89" t="s">
        <v>1011</v>
      </c>
      <c r="D264" s="66" t="s">
        <v>1206</v>
      </c>
      <c r="E264" s="5"/>
      <c r="F264" s="5"/>
      <c r="G264" s="5"/>
      <c r="H264" s="139"/>
      <c r="I264" s="139"/>
      <c r="J264" s="139"/>
      <c r="K264" s="506"/>
      <c r="L264" s="507"/>
      <c r="M264" s="508"/>
      <c r="N264" s="5"/>
      <c r="O264" s="506"/>
      <c r="P264" s="507"/>
      <c r="Q264" s="508"/>
      <c r="R264" s="134"/>
      <c r="S264" s="135"/>
    </row>
    <row r="265" spans="2:19" ht="15" thickBot="1" x14ac:dyDescent="0.25">
      <c r="B265" s="4"/>
      <c r="C265" s="84"/>
      <c r="D265" s="66"/>
      <c r="E265" s="5"/>
      <c r="F265" s="5"/>
      <c r="G265" s="5"/>
      <c r="H265" s="139"/>
      <c r="I265" s="139"/>
      <c r="J265" s="139"/>
      <c r="K265" s="139"/>
      <c r="L265" s="5"/>
      <c r="M265" s="139"/>
      <c r="N265" s="5"/>
      <c r="O265" s="139"/>
      <c r="P265" s="139"/>
      <c r="Q265" s="5"/>
      <c r="R265" s="139"/>
      <c r="S265" s="6"/>
    </row>
    <row r="266" spans="2:19" s="110" customFormat="1" ht="16.5" thickTop="1" thickBot="1" x14ac:dyDescent="0.3">
      <c r="B266" s="105"/>
      <c r="C266" s="106">
        <v>9.1999999999999993</v>
      </c>
      <c r="D266" s="76" t="s">
        <v>1215</v>
      </c>
      <c r="E266" s="108"/>
      <c r="F266" s="108"/>
      <c r="G266" s="108"/>
      <c r="H266" s="557" t="str">
        <f>IF((SUM(K267:M268))&lt;&gt;K266,(SUM(K267:M268)),"")</f>
        <v/>
      </c>
      <c r="I266" s="567"/>
      <c r="J266" s="568"/>
      <c r="K266" s="518">
        <f>SUM(K267:M268)</f>
        <v>0</v>
      </c>
      <c r="L266" s="519"/>
      <c r="M266" s="520"/>
      <c r="N266" s="108"/>
      <c r="O266" s="518">
        <f>SUM(O267:Q268)</f>
        <v>0</v>
      </c>
      <c r="P266" s="519"/>
      <c r="Q266" s="520"/>
      <c r="R266" s="566" t="str">
        <f>IF((SUM(O267:O268))&lt;&gt;O266,(SUM(O267:O268)),"")</f>
        <v/>
      </c>
      <c r="S266" s="554"/>
    </row>
    <row r="267" spans="2:19" ht="15.75" thickTop="1" x14ac:dyDescent="0.25">
      <c r="B267" s="4"/>
      <c r="C267" s="93" t="s">
        <v>824</v>
      </c>
      <c r="D267" s="66" t="s">
        <v>1218</v>
      </c>
      <c r="E267" s="5"/>
      <c r="F267" s="5"/>
      <c r="G267" s="5"/>
      <c r="H267" s="139"/>
      <c r="I267" s="139"/>
      <c r="J267" s="139"/>
      <c r="K267" s="506"/>
      <c r="L267" s="507"/>
      <c r="M267" s="508"/>
      <c r="N267" s="5"/>
      <c r="O267" s="506"/>
      <c r="P267" s="507"/>
      <c r="Q267" s="508"/>
      <c r="R267" s="336"/>
      <c r="S267" s="135"/>
    </row>
    <row r="268" spans="2:19" ht="15" x14ac:dyDescent="0.25">
      <c r="B268" s="4"/>
      <c r="C268" s="93" t="s">
        <v>824</v>
      </c>
      <c r="D268" s="66" t="s">
        <v>1219</v>
      </c>
      <c r="E268" s="5"/>
      <c r="F268" s="5"/>
      <c r="G268" s="5"/>
      <c r="H268" s="139"/>
      <c r="I268" s="139"/>
      <c r="J268" s="139"/>
      <c r="K268" s="515"/>
      <c r="L268" s="516"/>
      <c r="M268" s="517"/>
      <c r="N268" s="5"/>
      <c r="O268" s="515"/>
      <c r="P268" s="516"/>
      <c r="Q268" s="517"/>
      <c r="R268" s="134"/>
      <c r="S268" s="135"/>
    </row>
    <row r="269" spans="2:19" ht="15" thickBot="1" x14ac:dyDescent="0.25">
      <c r="B269" s="4"/>
      <c r="C269" s="84"/>
      <c r="D269" s="66"/>
      <c r="E269" s="5"/>
      <c r="F269" s="5"/>
      <c r="G269" s="5"/>
      <c r="H269" s="139"/>
      <c r="I269" s="139"/>
      <c r="J269" s="139"/>
      <c r="K269" s="139"/>
      <c r="L269" s="5"/>
      <c r="M269" s="139"/>
      <c r="N269" s="5"/>
      <c r="O269" s="139"/>
      <c r="P269" s="139"/>
      <c r="Q269" s="5"/>
      <c r="R269" s="139"/>
      <c r="S269" s="6"/>
    </row>
    <row r="270" spans="2:19" s="110" customFormat="1" ht="16.5" thickTop="1" thickBot="1" x14ac:dyDescent="0.3">
      <c r="B270" s="105"/>
      <c r="C270" s="106">
        <v>9.3000000000000007</v>
      </c>
      <c r="D270" s="76" t="s">
        <v>1222</v>
      </c>
      <c r="E270" s="108"/>
      <c r="F270" s="108"/>
      <c r="G270" s="108"/>
      <c r="H270" s="557" t="str">
        <f>IF((K255-K266)&lt;&gt;K270,(K255-K266),"")</f>
        <v/>
      </c>
      <c r="I270" s="567"/>
      <c r="J270" s="568"/>
      <c r="K270" s="530">
        <f>K255-K266</f>
        <v>0</v>
      </c>
      <c r="L270" s="531"/>
      <c r="M270" s="532"/>
      <c r="N270" s="109"/>
      <c r="O270" s="530">
        <f>O255-O266</f>
        <v>0</v>
      </c>
      <c r="P270" s="531"/>
      <c r="Q270" s="532"/>
      <c r="R270" s="566" t="str">
        <f>IF((O255-O266)&lt;&gt;O270,(O255-O266),"")</f>
        <v/>
      </c>
      <c r="S270" s="569"/>
    </row>
    <row r="271" spans="2:19" ht="15.75" thickTop="1" thickBot="1" x14ac:dyDescent="0.25">
      <c r="B271" s="27"/>
      <c r="C271" s="16"/>
      <c r="D271" s="16"/>
      <c r="E271" s="16"/>
      <c r="F271" s="16"/>
      <c r="G271" s="16"/>
      <c r="H271" s="16"/>
      <c r="I271" s="16"/>
      <c r="J271" s="16"/>
      <c r="K271" s="16"/>
      <c r="L271" s="16"/>
      <c r="M271" s="16"/>
      <c r="N271" s="16"/>
      <c r="O271" s="16"/>
      <c r="P271" s="16"/>
      <c r="Q271" s="16"/>
      <c r="R271" s="16"/>
      <c r="S271" s="17"/>
    </row>
    <row r="272" spans="2:19" ht="15.75" thickTop="1" thickBot="1" x14ac:dyDescent="0.25">
      <c r="B272" s="18"/>
      <c r="C272" s="18"/>
      <c r="D272" s="18"/>
      <c r="E272" s="18"/>
      <c r="F272" s="18"/>
      <c r="G272" s="18"/>
      <c r="H272" s="18"/>
      <c r="I272" s="18"/>
      <c r="J272" s="18"/>
      <c r="K272" s="18"/>
      <c r="L272" s="18"/>
      <c r="M272" s="18"/>
      <c r="N272" s="18"/>
      <c r="O272" s="18"/>
      <c r="P272" s="18"/>
      <c r="Q272" s="18"/>
      <c r="R272" s="18"/>
      <c r="S272" s="18"/>
    </row>
    <row r="273" spans="2:19" ht="15" thickTop="1" x14ac:dyDescent="0.2">
      <c r="B273" s="2"/>
      <c r="C273" s="3"/>
      <c r="D273" s="3"/>
      <c r="E273" s="3"/>
      <c r="F273" s="3"/>
      <c r="G273" s="3"/>
      <c r="H273" s="3"/>
      <c r="I273" s="3"/>
      <c r="J273" s="3"/>
      <c r="K273" s="3"/>
      <c r="L273" s="3"/>
      <c r="M273" s="3"/>
      <c r="N273" s="3"/>
      <c r="O273" s="3"/>
      <c r="P273" s="3"/>
      <c r="Q273" s="3"/>
      <c r="R273" s="3"/>
      <c r="S273" s="19"/>
    </row>
    <row r="274" spans="2:19" ht="15.75" x14ac:dyDescent="0.25">
      <c r="B274" s="4"/>
      <c r="C274" s="20" t="s">
        <v>1736</v>
      </c>
      <c r="D274" s="61"/>
      <c r="E274" s="5"/>
      <c r="F274" s="5"/>
      <c r="G274" s="5"/>
      <c r="H274" s="5"/>
      <c r="I274" s="5"/>
      <c r="J274" s="5"/>
      <c r="K274" s="5"/>
      <c r="L274" s="5"/>
      <c r="M274" s="5"/>
      <c r="N274" s="5"/>
      <c r="O274" s="5"/>
      <c r="P274" s="5"/>
      <c r="Q274" s="5"/>
      <c r="R274" s="5"/>
      <c r="S274" s="6"/>
    </row>
    <row r="275" spans="2:19" ht="15.75" x14ac:dyDescent="0.25">
      <c r="B275" s="4"/>
      <c r="C275" s="20"/>
      <c r="D275" s="61"/>
      <c r="E275" s="5"/>
      <c r="F275" s="5"/>
      <c r="G275" s="5"/>
      <c r="H275" s="5"/>
      <c r="I275" s="5"/>
      <c r="J275" s="5"/>
      <c r="K275" s="552" t="s">
        <v>1528</v>
      </c>
      <c r="L275" s="552"/>
      <c r="M275" s="552"/>
      <c r="N275" s="95"/>
      <c r="O275" s="552" t="s">
        <v>1529</v>
      </c>
      <c r="P275" s="552"/>
      <c r="Q275" s="552"/>
      <c r="R275" s="5"/>
      <c r="S275" s="6"/>
    </row>
    <row r="276" spans="2:19" x14ac:dyDescent="0.2">
      <c r="B276" s="4"/>
      <c r="C276" s="84">
        <v>10.1</v>
      </c>
      <c r="D276" s="66" t="s">
        <v>1225</v>
      </c>
      <c r="E276" s="67"/>
      <c r="F276" s="5"/>
      <c r="G276" s="5"/>
      <c r="H276" s="5"/>
      <c r="I276" s="5"/>
      <c r="J276" s="139"/>
      <c r="K276" s="372"/>
      <c r="L276" s="373"/>
      <c r="M276" s="374"/>
      <c r="N276" s="139"/>
      <c r="O276" s="372"/>
      <c r="P276" s="373"/>
      <c r="Q276" s="374"/>
      <c r="R276" s="5"/>
      <c r="S276" s="6"/>
    </row>
    <row r="277" spans="2:19" ht="15.75" x14ac:dyDescent="0.25">
      <c r="B277" s="4"/>
      <c r="C277" s="88"/>
      <c r="D277" s="74" t="s">
        <v>1737</v>
      </c>
      <c r="E277" s="5"/>
      <c r="F277" s="5"/>
      <c r="G277" s="5"/>
      <c r="H277" s="5"/>
      <c r="I277" s="5"/>
      <c r="J277" s="5"/>
      <c r="K277" s="5"/>
      <c r="L277" s="5"/>
      <c r="M277" s="5"/>
      <c r="N277" s="5"/>
      <c r="O277" s="139"/>
      <c r="P277" s="139"/>
      <c r="Q277" s="139"/>
      <c r="R277" s="5"/>
      <c r="S277" s="6"/>
    </row>
    <row r="278" spans="2:19" x14ac:dyDescent="0.2">
      <c r="B278" s="4"/>
      <c r="C278" s="84">
        <v>10.199999999999999</v>
      </c>
      <c r="D278" s="66" t="s">
        <v>1227</v>
      </c>
      <c r="E278" s="5"/>
      <c r="F278" s="5"/>
      <c r="G278" s="5"/>
      <c r="H278" s="5"/>
      <c r="I278" s="5"/>
      <c r="J278" s="5"/>
      <c r="K278" s="139" t="s">
        <v>946</v>
      </c>
      <c r="L278" s="5"/>
      <c r="M278" s="139" t="s">
        <v>947</v>
      </c>
      <c r="N278" s="5"/>
      <c r="O278" s="139" t="s">
        <v>948</v>
      </c>
      <c r="P278" s="139"/>
      <c r="Q278" s="5" t="s">
        <v>1768</v>
      </c>
      <c r="R278" s="139"/>
      <c r="S278" s="6"/>
    </row>
    <row r="279" spans="2:19" ht="15.75" x14ac:dyDescent="0.25">
      <c r="B279" s="4"/>
      <c r="C279" s="20"/>
      <c r="D279" s="66" t="s">
        <v>1226</v>
      </c>
      <c r="E279" s="5"/>
      <c r="F279" s="5"/>
      <c r="G279" s="5"/>
      <c r="H279" s="5"/>
      <c r="I279" s="5"/>
      <c r="J279" s="5"/>
      <c r="K279" s="330"/>
      <c r="L279" s="5"/>
      <c r="M279" s="330"/>
      <c r="N279" s="139"/>
      <c r="O279" s="330"/>
      <c r="P279" s="139"/>
      <c r="Q279" s="330"/>
      <c r="R279" s="5"/>
      <c r="S279" s="6"/>
    </row>
    <row r="280" spans="2:19" ht="15" thickBot="1" x14ac:dyDescent="0.25">
      <c r="B280" s="27"/>
      <c r="C280" s="16"/>
      <c r="D280" s="16"/>
      <c r="E280" s="16"/>
      <c r="F280" s="16"/>
      <c r="G280" s="16"/>
      <c r="H280" s="16"/>
      <c r="I280" s="16"/>
      <c r="J280" s="16"/>
      <c r="K280" s="16"/>
      <c r="L280" s="16"/>
      <c r="M280" s="16"/>
      <c r="N280" s="16"/>
      <c r="O280" s="16"/>
      <c r="P280" s="16"/>
      <c r="Q280" s="16"/>
      <c r="R280" s="16"/>
      <c r="S280" s="17"/>
    </row>
    <row r="281" spans="2:19" ht="15.75" thickTop="1" thickBot="1" x14ac:dyDescent="0.25">
      <c r="B281" s="18"/>
      <c r="C281" s="18"/>
      <c r="D281" s="18"/>
      <c r="E281" s="18"/>
      <c r="F281" s="18"/>
      <c r="G281" s="18"/>
      <c r="H281" s="18"/>
      <c r="I281" s="18"/>
      <c r="J281" s="18"/>
      <c r="K281" s="18"/>
      <c r="L281" s="18"/>
      <c r="M281" s="18"/>
      <c r="N281" s="18"/>
      <c r="O281" s="18"/>
      <c r="P281" s="18"/>
      <c r="Q281" s="18"/>
      <c r="R281" s="18"/>
      <c r="S281" s="18"/>
    </row>
    <row r="282" spans="2:19" ht="15" thickTop="1" x14ac:dyDescent="0.2">
      <c r="B282" s="2"/>
      <c r="C282" s="3"/>
      <c r="D282" s="3"/>
      <c r="E282" s="3"/>
      <c r="F282" s="3"/>
      <c r="G282" s="3"/>
      <c r="H282" s="3"/>
      <c r="I282" s="3"/>
      <c r="J282" s="3"/>
      <c r="K282" s="3"/>
      <c r="L282" s="3"/>
      <c r="M282" s="3"/>
      <c r="N282" s="3"/>
      <c r="O282" s="3"/>
      <c r="P282" s="3"/>
      <c r="Q282" s="3"/>
      <c r="R282" s="3"/>
      <c r="S282" s="19"/>
    </row>
    <row r="283" spans="2:19" ht="15.75" x14ac:dyDescent="0.25">
      <c r="B283" s="4"/>
      <c r="C283" s="20" t="s">
        <v>1228</v>
      </c>
      <c r="D283" s="66"/>
      <c r="E283" s="5"/>
      <c r="F283" s="5"/>
      <c r="G283" s="5"/>
      <c r="H283" s="5"/>
      <c r="I283" s="5"/>
      <c r="J283" s="5"/>
      <c r="K283" s="139"/>
      <c r="L283" s="5"/>
      <c r="M283" s="139"/>
      <c r="N283" s="5"/>
      <c r="O283" s="139"/>
      <c r="P283" s="139"/>
      <c r="Q283" s="5"/>
      <c r="R283" s="139"/>
      <c r="S283" s="6"/>
    </row>
    <row r="284" spans="2:19" ht="15.75" thickBot="1" x14ac:dyDescent="0.3">
      <c r="B284" s="4"/>
      <c r="C284" s="13"/>
      <c r="D284" s="66"/>
      <c r="E284" s="5"/>
      <c r="F284" s="5"/>
      <c r="G284" s="5"/>
      <c r="H284" s="5"/>
      <c r="I284" s="5"/>
      <c r="J284" s="5"/>
      <c r="K284" s="552" t="s">
        <v>1528</v>
      </c>
      <c r="L284" s="552"/>
      <c r="M284" s="552"/>
      <c r="N284" s="95"/>
      <c r="O284" s="552" t="s">
        <v>1529</v>
      </c>
      <c r="P284" s="552"/>
      <c r="Q284" s="552"/>
      <c r="R284" s="139"/>
      <c r="S284" s="6"/>
    </row>
    <row r="285" spans="2:19" s="110" customFormat="1" ht="15.75" thickBot="1" x14ac:dyDescent="0.3">
      <c r="B285" s="105"/>
      <c r="C285" s="106">
        <v>11.1</v>
      </c>
      <c r="D285" s="58" t="s">
        <v>1229</v>
      </c>
      <c r="E285" s="108"/>
      <c r="F285" s="108"/>
      <c r="G285" s="108"/>
      <c r="H285" s="108"/>
      <c r="I285" s="557" t="str">
        <f>IF(SUM(K287:K291,K293)=0, "", SUM(K287:K291,K293))</f>
        <v/>
      </c>
      <c r="J285" s="558"/>
      <c r="K285" s="435">
        <f>K199</f>
        <v>0</v>
      </c>
      <c r="L285" s="436"/>
      <c r="M285" s="437"/>
      <c r="N285" s="109"/>
      <c r="O285" s="435">
        <f>O199</f>
        <v>0</v>
      </c>
      <c r="P285" s="436"/>
      <c r="Q285" s="437"/>
      <c r="R285" s="557" t="str">
        <f>IF(SUM(O287:O291,O293)=0, "", SUM(O287:O291,O293))</f>
        <v/>
      </c>
      <c r="S285" s="558"/>
    </row>
    <row r="286" spans="2:19" ht="15" x14ac:dyDescent="0.25">
      <c r="B286" s="4"/>
      <c r="C286" s="84"/>
      <c r="D286" s="144" t="s">
        <v>1230</v>
      </c>
      <c r="E286" s="5"/>
      <c r="F286" s="5"/>
      <c r="G286" s="5"/>
      <c r="H286" s="5"/>
      <c r="I286" s="5"/>
      <c r="J286" s="5"/>
      <c r="K286" s="564"/>
      <c r="L286" s="565"/>
      <c r="M286" s="565"/>
      <c r="N286" s="139"/>
      <c r="O286" s="564"/>
      <c r="P286" s="565"/>
      <c r="Q286" s="565"/>
      <c r="R286" s="139"/>
      <c r="S286" s="6"/>
    </row>
    <row r="287" spans="2:19" ht="15" x14ac:dyDescent="0.25">
      <c r="B287" s="4"/>
      <c r="C287" s="93" t="s">
        <v>825</v>
      </c>
      <c r="D287" s="66" t="s">
        <v>1231</v>
      </c>
      <c r="E287" s="5"/>
      <c r="F287" s="5"/>
      <c r="G287" s="5"/>
      <c r="H287" s="5"/>
      <c r="I287" s="5"/>
      <c r="J287" s="5"/>
      <c r="K287" s="372"/>
      <c r="L287" s="373"/>
      <c r="M287" s="374"/>
      <c r="N287" s="134"/>
      <c r="O287" s="372"/>
      <c r="P287" s="373"/>
      <c r="Q287" s="374"/>
      <c r="R287" s="139"/>
      <c r="S287" s="6"/>
    </row>
    <row r="288" spans="2:19" ht="15" x14ac:dyDescent="0.25">
      <c r="B288" s="4"/>
      <c r="C288" s="93" t="s">
        <v>826</v>
      </c>
      <c r="D288" s="66" t="s">
        <v>1234</v>
      </c>
      <c r="E288" s="5"/>
      <c r="F288" s="5"/>
      <c r="G288" s="5"/>
      <c r="H288" s="5"/>
      <c r="I288" s="5"/>
      <c r="J288" s="5"/>
      <c r="K288" s="372"/>
      <c r="L288" s="373"/>
      <c r="M288" s="374"/>
      <c r="N288" s="134"/>
      <c r="O288" s="372"/>
      <c r="P288" s="373"/>
      <c r="Q288" s="374"/>
      <c r="R288" s="139"/>
      <c r="S288" s="6"/>
    </row>
    <row r="289" spans="2:19" ht="15" x14ac:dyDescent="0.25">
      <c r="B289" s="4"/>
      <c r="C289" s="93" t="s">
        <v>827</v>
      </c>
      <c r="D289" s="66" t="s">
        <v>1260</v>
      </c>
      <c r="E289" s="5"/>
      <c r="F289" s="5"/>
      <c r="G289" s="5"/>
      <c r="H289" s="5"/>
      <c r="I289" s="5"/>
      <c r="J289" s="5"/>
      <c r="K289" s="372"/>
      <c r="L289" s="373"/>
      <c r="M289" s="374"/>
      <c r="N289" s="134"/>
      <c r="O289" s="372"/>
      <c r="P289" s="373"/>
      <c r="Q289" s="374"/>
      <c r="R289" s="139"/>
      <c r="S289" s="6"/>
    </row>
    <row r="290" spans="2:19" ht="15" x14ac:dyDescent="0.25">
      <c r="B290" s="4"/>
      <c r="C290" s="93" t="s">
        <v>1038</v>
      </c>
      <c r="D290" s="66" t="s">
        <v>1042</v>
      </c>
      <c r="E290" s="5"/>
      <c r="F290" s="5"/>
      <c r="G290" s="5"/>
      <c r="H290" s="5"/>
      <c r="I290" s="5"/>
      <c r="J290" s="5"/>
      <c r="K290" s="372"/>
      <c r="L290" s="373"/>
      <c r="M290" s="374"/>
      <c r="N290" s="134"/>
      <c r="O290" s="372"/>
      <c r="P290" s="373"/>
      <c r="Q290" s="374"/>
      <c r="R290" s="329"/>
      <c r="S290" s="6"/>
    </row>
    <row r="291" spans="2:19" x14ac:dyDescent="0.2">
      <c r="B291" s="4"/>
      <c r="C291" s="93" t="s">
        <v>1039</v>
      </c>
      <c r="D291" s="66" t="s">
        <v>1232</v>
      </c>
      <c r="E291" s="5"/>
      <c r="F291" s="5"/>
      <c r="G291" s="5"/>
      <c r="H291" s="5"/>
      <c r="I291" s="5"/>
      <c r="J291" s="5"/>
      <c r="K291" s="372"/>
      <c r="L291" s="373"/>
      <c r="M291" s="374"/>
      <c r="N291" s="5"/>
      <c r="O291" s="372"/>
      <c r="P291" s="373"/>
      <c r="Q291" s="374"/>
      <c r="R291" s="139"/>
      <c r="S291" s="6"/>
    </row>
    <row r="292" spans="2:19" ht="15" x14ac:dyDescent="0.25">
      <c r="B292" s="4"/>
      <c r="C292" s="93" t="s">
        <v>1040</v>
      </c>
      <c r="D292" s="66" t="s">
        <v>1233</v>
      </c>
      <c r="E292" s="5"/>
      <c r="F292" s="5"/>
      <c r="G292" s="5"/>
      <c r="H292" s="5"/>
      <c r="I292" s="5"/>
      <c r="J292" s="5"/>
      <c r="K292" s="559"/>
      <c r="L292" s="560"/>
      <c r="M292" s="560"/>
      <c r="N292" s="5"/>
      <c r="O292" s="559"/>
      <c r="P292" s="560"/>
      <c r="Q292" s="560"/>
      <c r="R292" s="139"/>
      <c r="S292" s="6"/>
    </row>
    <row r="293" spans="2:19" ht="15" x14ac:dyDescent="0.25">
      <c r="B293" s="4"/>
      <c r="C293" s="13"/>
      <c r="D293" s="561"/>
      <c r="E293" s="562"/>
      <c r="F293" s="562"/>
      <c r="G293" s="562"/>
      <c r="H293" s="562"/>
      <c r="I293" s="563"/>
      <c r="J293" s="5"/>
      <c r="K293" s="372"/>
      <c r="L293" s="373"/>
      <c r="M293" s="374"/>
      <c r="N293" s="5"/>
      <c r="O293" s="372"/>
      <c r="P293" s="373"/>
      <c r="Q293" s="374"/>
      <c r="R293" s="139"/>
      <c r="S293" s="6"/>
    </row>
    <row r="294" spans="2:19" ht="15.75" thickBot="1" x14ac:dyDescent="0.3">
      <c r="B294" s="27"/>
      <c r="C294" s="16"/>
      <c r="D294" s="16"/>
      <c r="E294" s="16"/>
      <c r="F294" s="16"/>
      <c r="G294" s="16"/>
      <c r="H294" s="16"/>
      <c r="I294" s="16"/>
      <c r="J294" s="16"/>
      <c r="K294" s="555"/>
      <c r="L294" s="556"/>
      <c r="M294" s="556"/>
      <c r="N294" s="16"/>
      <c r="O294" s="555"/>
      <c r="P294" s="556"/>
      <c r="Q294" s="556"/>
      <c r="R294" s="16"/>
      <c r="S294" s="17"/>
    </row>
    <row r="295" spans="2:19" ht="15.75" thickTop="1" thickBot="1" x14ac:dyDescent="0.25">
      <c r="B295" s="18"/>
      <c r="C295" s="18"/>
      <c r="D295" s="18"/>
      <c r="E295" s="18"/>
      <c r="F295" s="18"/>
      <c r="G295" s="18"/>
      <c r="H295" s="18"/>
      <c r="I295" s="18"/>
      <c r="J295" s="18"/>
      <c r="K295" s="18"/>
      <c r="L295" s="18"/>
      <c r="M295" s="18"/>
      <c r="N295" s="18"/>
      <c r="O295" s="18"/>
      <c r="P295" s="18"/>
      <c r="Q295" s="18"/>
      <c r="R295" s="18"/>
      <c r="S295" s="18"/>
    </row>
    <row r="296" spans="2:19" ht="15" thickTop="1" x14ac:dyDescent="0.2">
      <c r="B296" s="2"/>
      <c r="C296" s="3"/>
      <c r="D296" s="3"/>
      <c r="E296" s="3"/>
      <c r="F296" s="3"/>
      <c r="G296" s="3"/>
      <c r="H296" s="3"/>
      <c r="I296" s="3"/>
      <c r="J296" s="3"/>
      <c r="K296" s="3"/>
      <c r="L296" s="3"/>
      <c r="M296" s="3"/>
      <c r="N296" s="3"/>
      <c r="O296" s="3"/>
      <c r="P296" s="3"/>
      <c r="Q296" s="3"/>
      <c r="R296" s="3"/>
      <c r="S296" s="19"/>
    </row>
    <row r="297" spans="2:19" ht="15.75" x14ac:dyDescent="0.25">
      <c r="B297" s="4"/>
      <c r="C297" s="20" t="s">
        <v>1236</v>
      </c>
      <c r="D297" s="61"/>
      <c r="E297" s="5"/>
      <c r="F297" s="5"/>
      <c r="G297" s="5"/>
      <c r="H297" s="5"/>
      <c r="I297" s="5"/>
      <c r="J297" s="5"/>
      <c r="K297" s="5"/>
      <c r="L297" s="5"/>
      <c r="M297" s="5"/>
      <c r="N297" s="5"/>
      <c r="O297" s="5"/>
      <c r="P297" s="5"/>
      <c r="Q297" s="5"/>
      <c r="R297" s="5"/>
      <c r="S297" s="6"/>
    </row>
    <row r="298" spans="2:19" ht="15.75" x14ac:dyDescent="0.25">
      <c r="B298" s="4"/>
      <c r="C298" s="20"/>
      <c r="D298" s="61"/>
      <c r="E298" s="5"/>
      <c r="F298" s="5"/>
      <c r="G298" s="5"/>
      <c r="H298" s="5"/>
      <c r="I298" s="5"/>
      <c r="J298" s="5"/>
      <c r="K298" s="552" t="s">
        <v>1528</v>
      </c>
      <c r="L298" s="552"/>
      <c r="M298" s="552"/>
      <c r="N298" s="95"/>
      <c r="O298" s="552" t="s">
        <v>1529</v>
      </c>
      <c r="P298" s="552"/>
      <c r="Q298" s="552"/>
      <c r="R298" s="5"/>
      <c r="S298" s="6"/>
    </row>
    <row r="299" spans="2:19" x14ac:dyDescent="0.2">
      <c r="B299" s="4"/>
      <c r="C299" s="84">
        <v>12.1</v>
      </c>
      <c r="D299" s="66" t="s">
        <v>1237</v>
      </c>
      <c r="E299" s="67"/>
      <c r="F299" s="5"/>
      <c r="G299" s="5"/>
      <c r="H299" s="5"/>
      <c r="I299" s="5"/>
      <c r="J299" s="139"/>
      <c r="K299" s="372"/>
      <c r="L299" s="373"/>
      <c r="M299" s="374"/>
      <c r="N299" s="139"/>
      <c r="O299" s="372"/>
      <c r="P299" s="373"/>
      <c r="Q299" s="374"/>
      <c r="R299" s="5"/>
      <c r="S299" s="6"/>
    </row>
    <row r="300" spans="2:19" x14ac:dyDescent="0.2">
      <c r="B300" s="4"/>
      <c r="C300" s="84">
        <v>12.2</v>
      </c>
      <c r="D300" s="66" t="s">
        <v>1238</v>
      </c>
      <c r="E300" s="67"/>
      <c r="F300" s="5"/>
      <c r="G300" s="5"/>
      <c r="H300" s="5"/>
      <c r="I300" s="5"/>
      <c r="J300" s="139"/>
      <c r="K300" s="372"/>
      <c r="L300" s="373"/>
      <c r="M300" s="374"/>
      <c r="N300" s="139"/>
      <c r="O300" s="492"/>
      <c r="P300" s="493"/>
      <c r="Q300" s="529"/>
      <c r="R300" s="5"/>
      <c r="S300" s="6"/>
    </row>
    <row r="301" spans="2:19" ht="15.75" thickBot="1" x14ac:dyDescent="0.3">
      <c r="B301" s="27"/>
      <c r="C301" s="16"/>
      <c r="D301" s="16"/>
      <c r="E301" s="16"/>
      <c r="F301" s="16"/>
      <c r="G301" s="16"/>
      <c r="H301" s="16"/>
      <c r="I301" s="16"/>
      <c r="J301" s="16"/>
      <c r="K301" s="555"/>
      <c r="L301" s="556"/>
      <c r="M301" s="556"/>
      <c r="N301" s="16"/>
      <c r="O301" s="555"/>
      <c r="P301" s="556"/>
      <c r="Q301" s="556"/>
      <c r="R301" s="16"/>
      <c r="S301" s="17"/>
    </row>
    <row r="302" spans="2:19" ht="15.75" thickTop="1" thickBot="1" x14ac:dyDescent="0.25">
      <c r="B302" s="18"/>
      <c r="C302" s="18"/>
      <c r="D302" s="18"/>
      <c r="E302" s="18"/>
      <c r="F302" s="18"/>
      <c r="G302" s="18"/>
      <c r="H302" s="18"/>
      <c r="I302" s="18"/>
      <c r="J302" s="18"/>
      <c r="K302" s="18"/>
      <c r="L302" s="18"/>
      <c r="M302" s="18"/>
      <c r="N302" s="18"/>
      <c r="O302" s="18"/>
      <c r="P302" s="18"/>
      <c r="Q302" s="18"/>
      <c r="R302" s="18"/>
      <c r="S302" s="18"/>
    </row>
    <row r="303" spans="2:19" ht="15" thickTop="1" x14ac:dyDescent="0.2">
      <c r="B303" s="2"/>
      <c r="C303" s="3"/>
      <c r="D303" s="3"/>
      <c r="E303" s="3"/>
      <c r="F303" s="3"/>
      <c r="G303" s="3"/>
      <c r="H303" s="3"/>
      <c r="I303" s="3"/>
      <c r="J303" s="3"/>
      <c r="K303" s="3"/>
      <c r="L303" s="3"/>
      <c r="M303" s="3"/>
      <c r="N303" s="3"/>
      <c r="O303" s="3"/>
      <c r="P303" s="3"/>
      <c r="Q303" s="3"/>
      <c r="R303" s="3"/>
      <c r="S303" s="19"/>
    </row>
    <row r="304" spans="2:19" ht="15.75" x14ac:dyDescent="0.25">
      <c r="B304" s="4"/>
      <c r="C304" s="20" t="s">
        <v>1239</v>
      </c>
      <c r="D304" s="61"/>
      <c r="E304" s="5"/>
      <c r="F304" s="5"/>
      <c r="G304" s="5"/>
      <c r="H304" s="5"/>
      <c r="I304" s="5"/>
      <c r="J304" s="5"/>
      <c r="K304" s="5"/>
      <c r="L304" s="5"/>
      <c r="M304" s="5"/>
      <c r="N304" s="5"/>
      <c r="O304" s="5"/>
      <c r="P304" s="5"/>
      <c r="Q304" s="5"/>
      <c r="R304" s="5"/>
      <c r="S304" s="6"/>
    </row>
    <row r="305" spans="2:19" ht="16.5" thickBot="1" x14ac:dyDescent="0.3">
      <c r="B305" s="4"/>
      <c r="C305" s="20"/>
      <c r="D305" s="61"/>
      <c r="E305" s="5"/>
      <c r="F305" s="5"/>
      <c r="G305" s="5"/>
      <c r="H305" s="5"/>
      <c r="I305" s="5"/>
      <c r="J305" s="5"/>
      <c r="K305" s="552" t="s">
        <v>1528</v>
      </c>
      <c r="L305" s="552"/>
      <c r="M305" s="552"/>
      <c r="N305" s="95"/>
      <c r="O305" s="552" t="s">
        <v>1529</v>
      </c>
      <c r="P305" s="552"/>
      <c r="Q305" s="552"/>
      <c r="R305" s="5"/>
      <c r="S305" s="6"/>
    </row>
    <row r="306" spans="2:19" s="110" customFormat="1" ht="15.75" thickBot="1" x14ac:dyDescent="0.3">
      <c r="B306" s="105"/>
      <c r="C306" s="106">
        <v>13.1</v>
      </c>
      <c r="D306" s="58" t="s">
        <v>1240</v>
      </c>
      <c r="E306" s="111"/>
      <c r="F306" s="108"/>
      <c r="G306" s="108"/>
      <c r="H306" s="108"/>
      <c r="I306" s="557" t="str">
        <f>IF((SUM(K308:K310,K312))&lt;&gt;K306,(SUM(K308:K310,K312)),"")</f>
        <v/>
      </c>
      <c r="J306" s="558"/>
      <c r="K306" s="435">
        <f>SUM(K308:M310,K312)</f>
        <v>0</v>
      </c>
      <c r="L306" s="436"/>
      <c r="M306" s="437"/>
      <c r="N306" s="109"/>
      <c r="O306" s="435">
        <f>SUM(O308:Q310,O312)</f>
        <v>0</v>
      </c>
      <c r="P306" s="436"/>
      <c r="Q306" s="437"/>
      <c r="R306" s="553" t="str">
        <f>IF((SUM(O308:O310,O312))&lt;&gt;O306,(SUM(O308:O310,O312)),"")</f>
        <v/>
      </c>
      <c r="S306" s="554"/>
    </row>
    <row r="307" spans="2:19" x14ac:dyDescent="0.2">
      <c r="B307" s="4"/>
      <c r="C307" s="87"/>
      <c r="D307" s="74" t="s">
        <v>1131</v>
      </c>
      <c r="E307" s="61"/>
      <c r="F307" s="5"/>
      <c r="G307" s="5"/>
      <c r="H307" s="5"/>
      <c r="I307" s="5"/>
      <c r="J307" s="139"/>
      <c r="K307" s="139"/>
      <c r="L307" s="139"/>
      <c r="M307" s="139"/>
      <c r="N307" s="5"/>
      <c r="O307" s="139"/>
      <c r="P307" s="139"/>
      <c r="Q307" s="139"/>
      <c r="R307" s="5"/>
      <c r="S307" s="6"/>
    </row>
    <row r="308" spans="2:19" x14ac:dyDescent="0.2">
      <c r="B308" s="4"/>
      <c r="C308" s="93" t="s">
        <v>1046</v>
      </c>
      <c r="D308" s="66" t="s">
        <v>1241</v>
      </c>
      <c r="E308" s="5"/>
      <c r="F308" s="5"/>
      <c r="G308" s="5"/>
      <c r="H308" s="5"/>
      <c r="I308" s="5"/>
      <c r="J308" s="5"/>
      <c r="K308" s="372"/>
      <c r="L308" s="373"/>
      <c r="M308" s="374"/>
      <c r="N308" s="5"/>
      <c r="O308" s="372"/>
      <c r="P308" s="373"/>
      <c r="Q308" s="374"/>
      <c r="R308" s="5"/>
      <c r="S308" s="6"/>
    </row>
    <row r="309" spans="2:19" x14ac:dyDescent="0.2">
      <c r="B309" s="4"/>
      <c r="C309" s="93" t="s">
        <v>1047</v>
      </c>
      <c r="D309" s="66" t="s">
        <v>1242</v>
      </c>
      <c r="E309" s="5"/>
      <c r="F309" s="5"/>
      <c r="G309" s="5"/>
      <c r="H309" s="5"/>
      <c r="I309" s="5"/>
      <c r="J309" s="5"/>
      <c r="K309" s="372"/>
      <c r="L309" s="373"/>
      <c r="M309" s="374"/>
      <c r="N309" s="5"/>
      <c r="O309" s="372"/>
      <c r="P309" s="373"/>
      <c r="Q309" s="374"/>
      <c r="R309" s="5"/>
      <c r="S309" s="6"/>
    </row>
    <row r="310" spans="2:19" x14ac:dyDescent="0.2">
      <c r="B310" s="4"/>
      <c r="C310" s="93" t="s">
        <v>1048</v>
      </c>
      <c r="D310" s="66" t="s">
        <v>1243</v>
      </c>
      <c r="E310" s="5"/>
      <c r="F310" s="5"/>
      <c r="G310" s="5"/>
      <c r="H310" s="5"/>
      <c r="I310" s="5"/>
      <c r="J310" s="5"/>
      <c r="K310" s="372"/>
      <c r="L310" s="373"/>
      <c r="M310" s="374"/>
      <c r="N310" s="5"/>
      <c r="O310" s="372"/>
      <c r="P310" s="373"/>
      <c r="Q310" s="374"/>
      <c r="R310" s="5"/>
      <c r="S310" s="6"/>
    </row>
    <row r="311" spans="2:19" x14ac:dyDescent="0.2">
      <c r="B311" s="4"/>
      <c r="C311" s="93" t="s">
        <v>1049</v>
      </c>
      <c r="D311" s="66" t="s">
        <v>1244</v>
      </c>
      <c r="E311" s="5"/>
      <c r="F311" s="5"/>
      <c r="G311" s="5"/>
      <c r="H311" s="5"/>
      <c r="I311" s="5"/>
      <c r="J311" s="5"/>
      <c r="K311" s="5"/>
      <c r="L311" s="5"/>
      <c r="M311" s="5"/>
      <c r="N311" s="5"/>
      <c r="O311" s="139"/>
      <c r="P311" s="139"/>
      <c r="Q311" s="139"/>
      <c r="R311" s="5"/>
      <c r="S311" s="6"/>
    </row>
    <row r="312" spans="2:19" ht="15.75" x14ac:dyDescent="0.25">
      <c r="B312" s="4"/>
      <c r="C312" s="88"/>
      <c r="D312" s="549"/>
      <c r="E312" s="550"/>
      <c r="F312" s="550"/>
      <c r="G312" s="550"/>
      <c r="H312" s="551"/>
      <c r="I312" s="5"/>
      <c r="J312" s="5"/>
      <c r="K312" s="372"/>
      <c r="L312" s="373"/>
      <c r="M312" s="374"/>
      <c r="N312" s="5"/>
      <c r="O312" s="372"/>
      <c r="P312" s="373"/>
      <c r="Q312" s="374"/>
      <c r="R312" s="5"/>
      <c r="S312" s="6"/>
    </row>
    <row r="313" spans="2:19" ht="15.75" x14ac:dyDescent="0.25">
      <c r="B313" s="4"/>
      <c r="C313" s="88"/>
      <c r="D313" s="61"/>
      <c r="E313" s="5"/>
      <c r="F313" s="5"/>
      <c r="G313" s="5"/>
      <c r="H313" s="5"/>
      <c r="I313" s="5"/>
      <c r="J313" s="5"/>
      <c r="K313" s="5"/>
      <c r="L313" s="5"/>
      <c r="M313" s="5"/>
      <c r="N313" s="5"/>
      <c r="O313" s="139"/>
      <c r="P313" s="139"/>
      <c r="Q313" s="139"/>
      <c r="R313" s="5"/>
      <c r="S313" s="6"/>
    </row>
    <row r="314" spans="2:19" x14ac:dyDescent="0.2">
      <c r="B314" s="4"/>
      <c r="C314" s="84">
        <v>13.2</v>
      </c>
      <c r="D314" s="75" t="s">
        <v>1182</v>
      </c>
      <c r="E314" s="5"/>
      <c r="F314" s="5"/>
      <c r="G314" s="5"/>
      <c r="H314" s="5"/>
      <c r="I314" s="5"/>
      <c r="J314" s="5"/>
      <c r="K314" s="5"/>
      <c r="L314" s="5"/>
      <c r="M314" s="5"/>
      <c r="N314" s="5"/>
      <c r="O314" s="139"/>
      <c r="P314" s="139"/>
      <c r="Q314" s="139"/>
      <c r="R314" s="5"/>
      <c r="S314" s="6"/>
    </row>
    <row r="315" spans="2:19" ht="15.75" x14ac:dyDescent="0.25">
      <c r="B315" s="4"/>
      <c r="C315" s="20"/>
      <c r="D315" s="61"/>
      <c r="E315" s="5"/>
      <c r="F315" s="5"/>
      <c r="G315" s="5"/>
      <c r="H315" s="5"/>
      <c r="I315" s="5"/>
      <c r="J315" s="5"/>
      <c r="K315" s="5"/>
      <c r="L315" s="5"/>
      <c r="M315" s="5"/>
      <c r="N315" s="5"/>
      <c r="O315" s="139"/>
      <c r="P315" s="139"/>
      <c r="Q315" s="139"/>
      <c r="R315" s="5"/>
      <c r="S315" s="6"/>
    </row>
    <row r="316" spans="2:19" ht="15.75" x14ac:dyDescent="0.25">
      <c r="B316" s="4"/>
      <c r="C316" s="20"/>
      <c r="D316" s="484"/>
      <c r="E316" s="485"/>
      <c r="F316" s="485"/>
      <c r="G316" s="485"/>
      <c r="H316" s="485"/>
      <c r="I316" s="485"/>
      <c r="J316" s="485"/>
      <c r="K316" s="485"/>
      <c r="L316" s="485"/>
      <c r="M316" s="485"/>
      <c r="N316" s="486"/>
      <c r="O316" s="486"/>
      <c r="P316" s="486"/>
      <c r="Q316" s="487"/>
      <c r="R316" s="5"/>
      <c r="S316" s="6"/>
    </row>
    <row r="317" spans="2:19" ht="15.75" x14ac:dyDescent="0.25">
      <c r="B317" s="4"/>
      <c r="C317" s="20"/>
      <c r="D317" s="488"/>
      <c r="E317" s="489"/>
      <c r="F317" s="489"/>
      <c r="G317" s="489"/>
      <c r="H317" s="489"/>
      <c r="I317" s="489"/>
      <c r="J317" s="489"/>
      <c r="K317" s="489"/>
      <c r="L317" s="489"/>
      <c r="M317" s="489"/>
      <c r="N317" s="490"/>
      <c r="O317" s="490"/>
      <c r="P317" s="490"/>
      <c r="Q317" s="491"/>
      <c r="R317" s="5"/>
      <c r="S317" s="6"/>
    </row>
    <row r="318" spans="2:19" ht="15.75" x14ac:dyDescent="0.25">
      <c r="B318" s="4"/>
      <c r="C318" s="20"/>
      <c r="D318" s="492"/>
      <c r="E318" s="493"/>
      <c r="F318" s="493"/>
      <c r="G318" s="493"/>
      <c r="H318" s="493"/>
      <c r="I318" s="493"/>
      <c r="J318" s="493"/>
      <c r="K318" s="493"/>
      <c r="L318" s="493"/>
      <c r="M318" s="493"/>
      <c r="N318" s="494"/>
      <c r="O318" s="494"/>
      <c r="P318" s="494"/>
      <c r="Q318" s="495"/>
      <c r="R318" s="5"/>
      <c r="S318" s="6"/>
    </row>
    <row r="319" spans="2:19" ht="15" thickBot="1" x14ac:dyDescent="0.25">
      <c r="B319" s="27"/>
      <c r="C319" s="16"/>
      <c r="D319" s="16"/>
      <c r="E319" s="16"/>
      <c r="F319" s="16"/>
      <c r="G319" s="16"/>
      <c r="H319" s="16"/>
      <c r="I319" s="16"/>
      <c r="J319" s="16"/>
      <c r="K319" s="16"/>
      <c r="L319" s="16"/>
      <c r="M319" s="16"/>
      <c r="N319" s="16"/>
      <c r="O319" s="16"/>
      <c r="P319" s="16"/>
      <c r="Q319" s="16"/>
      <c r="R319" s="16"/>
      <c r="S319" s="17"/>
    </row>
    <row r="320" spans="2:19" ht="15.75" thickTop="1" thickBot="1" x14ac:dyDescent="0.25"/>
    <row r="321" spans="2:19" ht="15" thickTop="1" x14ac:dyDescent="0.2">
      <c r="B321" s="2"/>
      <c r="C321" s="3"/>
      <c r="D321" s="3"/>
      <c r="E321" s="3"/>
      <c r="F321" s="3"/>
      <c r="G321" s="3"/>
      <c r="H321" s="3"/>
      <c r="I321" s="3"/>
      <c r="J321" s="3"/>
      <c r="K321" s="3"/>
      <c r="L321" s="3"/>
      <c r="M321" s="3"/>
      <c r="N321" s="3"/>
      <c r="O321" s="3"/>
      <c r="P321" s="3"/>
      <c r="Q321" s="3"/>
      <c r="R321" s="3"/>
      <c r="S321" s="19"/>
    </row>
    <row r="322" spans="2:19" ht="15.75" x14ac:dyDescent="0.25">
      <c r="B322" s="4"/>
      <c r="C322" s="20" t="s">
        <v>1245</v>
      </c>
      <c r="D322" s="61"/>
      <c r="E322" s="5"/>
      <c r="F322" s="5"/>
      <c r="G322" s="5"/>
      <c r="H322" s="5"/>
      <c r="I322" s="5"/>
      <c r="J322" s="5"/>
      <c r="K322" s="5"/>
      <c r="L322" s="5"/>
      <c r="M322" s="5"/>
      <c r="N322" s="5"/>
      <c r="O322" s="5"/>
      <c r="P322" s="5"/>
      <c r="Q322" s="5"/>
      <c r="R322" s="5"/>
      <c r="S322" s="6"/>
    </row>
    <row r="323" spans="2:19" ht="15.75" x14ac:dyDescent="0.25">
      <c r="B323" s="4"/>
      <c r="C323" s="20"/>
      <c r="D323" s="61"/>
      <c r="E323" s="5"/>
      <c r="F323" s="5"/>
      <c r="G323" s="5"/>
      <c r="H323" s="5"/>
      <c r="I323" s="5"/>
      <c r="J323" s="5"/>
      <c r="K323" s="552" t="s">
        <v>1528</v>
      </c>
      <c r="L323" s="552"/>
      <c r="M323" s="552"/>
      <c r="N323" s="95"/>
      <c r="O323" s="552" t="s">
        <v>1529</v>
      </c>
      <c r="P323" s="552"/>
      <c r="Q323" s="552"/>
      <c r="R323" s="5"/>
      <c r="S323" s="6"/>
    </row>
    <row r="324" spans="2:19" s="78" customFormat="1" x14ac:dyDescent="0.2">
      <c r="B324" s="4"/>
      <c r="C324" s="84">
        <v>14.1</v>
      </c>
      <c r="D324" s="66" t="s">
        <v>1246</v>
      </c>
      <c r="E324" s="5"/>
      <c r="F324" s="5"/>
      <c r="G324" s="5"/>
      <c r="H324" s="5"/>
      <c r="I324" s="5"/>
      <c r="J324" s="5"/>
      <c r="K324" s="535"/>
      <c r="L324" s="536"/>
      <c r="M324" s="537"/>
      <c r="N324" s="5"/>
      <c r="O324" s="535"/>
      <c r="P324" s="536"/>
      <c r="Q324" s="537"/>
      <c r="R324" s="5"/>
      <c r="S324" s="6"/>
    </row>
    <row r="325" spans="2:19" s="78" customFormat="1" x14ac:dyDescent="0.2">
      <c r="B325" s="4"/>
      <c r="C325" s="84">
        <v>14.2</v>
      </c>
      <c r="D325" s="66" t="s">
        <v>1247</v>
      </c>
      <c r="E325" s="5"/>
      <c r="F325" s="5"/>
      <c r="G325" s="5"/>
      <c r="H325" s="5"/>
      <c r="I325" s="5"/>
      <c r="J325" s="5"/>
      <c r="K325" s="535"/>
      <c r="L325" s="536"/>
      <c r="M325" s="537"/>
      <c r="N325" s="5"/>
      <c r="O325" s="535"/>
      <c r="P325" s="536"/>
      <c r="Q325" s="537"/>
      <c r="R325" s="5"/>
      <c r="S325" s="6"/>
    </row>
    <row r="326" spans="2:19" ht="15" thickBot="1" x14ac:dyDescent="0.25">
      <c r="B326" s="27"/>
      <c r="C326" s="16"/>
      <c r="D326" s="16"/>
      <c r="E326" s="16"/>
      <c r="F326" s="16"/>
      <c r="G326" s="16"/>
      <c r="H326" s="16"/>
      <c r="I326" s="16"/>
      <c r="J326" s="16"/>
      <c r="K326" s="16"/>
      <c r="L326" s="16"/>
      <c r="M326" s="16"/>
      <c r="N326" s="16"/>
      <c r="O326" s="16"/>
      <c r="P326" s="16"/>
      <c r="Q326" s="16"/>
      <c r="R326" s="16"/>
      <c r="S326" s="17"/>
    </row>
    <row r="327" spans="2:19" s="78" customFormat="1" ht="15" thickTop="1" x14ac:dyDescent="0.2">
      <c r="B327" s="80"/>
      <c r="C327" s="80"/>
      <c r="D327" s="80"/>
      <c r="E327" s="80"/>
      <c r="F327" s="80"/>
      <c r="G327" s="80"/>
      <c r="H327" s="80"/>
      <c r="I327" s="80"/>
      <c r="J327" s="80"/>
      <c r="K327" s="80"/>
    </row>
    <row r="328" spans="2:19" s="78" customFormat="1" x14ac:dyDescent="0.2">
      <c r="B328" s="80"/>
      <c r="C328" s="80"/>
      <c r="D328" s="80"/>
      <c r="E328" s="80"/>
      <c r="F328" s="80"/>
      <c r="G328" s="80"/>
      <c r="H328" s="80"/>
      <c r="I328" s="80"/>
      <c r="J328" s="80"/>
      <c r="K328" s="80"/>
    </row>
    <row r="329" spans="2:19" s="78" customFormat="1" x14ac:dyDescent="0.2">
      <c r="B329" s="80"/>
      <c r="C329" s="80"/>
      <c r="D329" s="80"/>
      <c r="E329" s="80"/>
      <c r="F329" s="80"/>
      <c r="G329" s="80"/>
      <c r="H329" s="80"/>
      <c r="I329" s="80"/>
      <c r="J329" s="80"/>
      <c r="K329" s="80"/>
    </row>
    <row r="330" spans="2:19" s="78" customFormat="1" x14ac:dyDescent="0.2">
      <c r="B330" s="80"/>
      <c r="C330" s="80"/>
      <c r="D330" s="80"/>
      <c r="E330" s="80"/>
      <c r="F330" s="80"/>
      <c r="G330" s="80"/>
      <c r="H330" s="80"/>
      <c r="I330" s="80"/>
      <c r="J330" s="80"/>
      <c r="K330" s="80"/>
    </row>
    <row r="331" spans="2:19" s="78" customFormat="1" x14ac:dyDescent="0.2">
      <c r="B331" s="80"/>
      <c r="C331" s="80"/>
      <c r="D331" s="80"/>
      <c r="E331" s="80"/>
      <c r="F331" s="80"/>
      <c r="G331" s="80"/>
      <c r="H331" s="80"/>
      <c r="I331" s="80"/>
      <c r="J331" s="80"/>
      <c r="K331" s="80"/>
    </row>
    <row r="332" spans="2:19" s="78" customFormat="1" x14ac:dyDescent="0.2">
      <c r="B332" s="80"/>
      <c r="C332" s="80"/>
      <c r="D332" s="80"/>
      <c r="E332" s="80"/>
      <c r="F332" s="80"/>
      <c r="G332" s="80"/>
      <c r="H332" s="80"/>
      <c r="I332" s="80"/>
      <c r="J332" s="80"/>
      <c r="K332" s="80"/>
    </row>
    <row r="333" spans="2:19" s="78" customFormat="1" x14ac:dyDescent="0.2">
      <c r="B333" s="80"/>
      <c r="C333" s="80"/>
      <c r="D333" s="80"/>
      <c r="E333" s="80"/>
      <c r="F333" s="80"/>
      <c r="G333" s="80"/>
      <c r="H333" s="80"/>
      <c r="I333" s="80"/>
      <c r="J333" s="80"/>
      <c r="K333" s="80"/>
    </row>
    <row r="334" spans="2:19" s="78" customFormat="1" x14ac:dyDescent="0.2">
      <c r="B334" s="80"/>
      <c r="C334" s="80"/>
      <c r="D334" s="80"/>
      <c r="E334" s="80"/>
      <c r="F334" s="80"/>
      <c r="G334" s="80"/>
      <c r="H334" s="80"/>
      <c r="I334" s="80"/>
      <c r="J334" s="80"/>
      <c r="K334" s="80"/>
    </row>
    <row r="335" spans="2:19" s="78" customFormat="1" x14ac:dyDescent="0.2"/>
    <row r="336" spans="2:19" s="78" customFormat="1" x14ac:dyDescent="0.2"/>
    <row r="337" s="78" customFormat="1" x14ac:dyDescent="0.2"/>
    <row r="338" s="78" customFormat="1" x14ac:dyDescent="0.2"/>
    <row r="339" s="78" customFormat="1" x14ac:dyDescent="0.2"/>
    <row r="340" s="78" customFormat="1" x14ac:dyDescent="0.2"/>
    <row r="341" s="78" customFormat="1" x14ac:dyDescent="0.2"/>
    <row r="342" s="78" customFormat="1" x14ac:dyDescent="0.2"/>
    <row r="343" s="78" customFormat="1" x14ac:dyDescent="0.2"/>
    <row r="344" s="78" customFormat="1" x14ac:dyDescent="0.2"/>
    <row r="345" s="78" customFormat="1" x14ac:dyDescent="0.2"/>
    <row r="346" s="78" customFormat="1" x14ac:dyDescent="0.2"/>
    <row r="347" s="78" customFormat="1" x14ac:dyDescent="0.2"/>
    <row r="348" s="78" customFormat="1" x14ac:dyDescent="0.2"/>
    <row r="349" s="78" customFormat="1" x14ac:dyDescent="0.2"/>
    <row r="350" s="78" customFormat="1" x14ac:dyDescent="0.2"/>
    <row r="351" s="78" customFormat="1" x14ac:dyDescent="0.2"/>
    <row r="352" s="78" customFormat="1" x14ac:dyDescent="0.2"/>
    <row r="353" spans="1:6" s="78" customFormat="1" x14ac:dyDescent="0.2"/>
    <row r="354" spans="1:6" s="78" customFormat="1" x14ac:dyDescent="0.2"/>
    <row r="355" spans="1:6" s="78" customFormat="1" x14ac:dyDescent="0.2"/>
    <row r="356" spans="1:6" s="78" customFormat="1" x14ac:dyDescent="0.2"/>
    <row r="357" spans="1:6" s="78" customFormat="1" x14ac:dyDescent="0.2"/>
    <row r="358" spans="1:6" s="78" customFormat="1" x14ac:dyDescent="0.2"/>
    <row r="359" spans="1:6" s="78" customFormat="1" x14ac:dyDescent="0.2">
      <c r="A359" s="148"/>
      <c r="B359" s="148"/>
      <c r="C359" s="148"/>
      <c r="D359" s="148"/>
      <c r="E359" s="148"/>
      <c r="F359" s="148"/>
    </row>
    <row r="360" spans="1:6" s="78" customFormat="1" x14ac:dyDescent="0.2">
      <c r="A360" s="148"/>
      <c r="B360" s="148"/>
      <c r="C360" s="148"/>
      <c r="D360" s="148"/>
      <c r="E360" s="148"/>
      <c r="F360" s="148"/>
    </row>
    <row r="361" spans="1:6" s="78" customFormat="1" x14ac:dyDescent="0.2">
      <c r="A361" s="148"/>
      <c r="B361" s="148"/>
      <c r="C361" s="148"/>
      <c r="D361" s="148"/>
      <c r="E361" s="148"/>
      <c r="F361" s="148"/>
    </row>
    <row r="362" spans="1:6" s="78" customFormat="1" x14ac:dyDescent="0.2">
      <c r="A362" s="148"/>
      <c r="B362" s="148"/>
      <c r="C362" s="148"/>
      <c r="D362" s="148"/>
      <c r="E362" s="148"/>
      <c r="F362" s="148"/>
    </row>
    <row r="363" spans="1:6" s="78" customFormat="1" x14ac:dyDescent="0.2">
      <c r="A363" s="148"/>
      <c r="B363" s="148"/>
      <c r="C363" s="148"/>
      <c r="D363" s="148"/>
      <c r="E363" s="148"/>
      <c r="F363" s="148"/>
    </row>
    <row r="364" spans="1:6" s="78" customFormat="1" x14ac:dyDescent="0.2">
      <c r="A364" s="148"/>
      <c r="B364" s="148"/>
      <c r="C364" s="148"/>
      <c r="D364" s="148"/>
      <c r="E364" s="148"/>
      <c r="F364" s="148"/>
    </row>
    <row r="365" spans="1:6" s="78" customFormat="1" x14ac:dyDescent="0.2">
      <c r="A365" s="148"/>
      <c r="B365" s="148"/>
      <c r="C365" s="148"/>
      <c r="D365" s="148"/>
      <c r="E365" s="148"/>
      <c r="F365" s="148"/>
    </row>
    <row r="366" spans="1:6" s="78" customFormat="1" x14ac:dyDescent="0.2">
      <c r="B366" s="148"/>
      <c r="C366" s="148"/>
      <c r="D366" s="148"/>
      <c r="E366" s="148"/>
      <c r="F366" s="148"/>
    </row>
    <row r="367" spans="1:6" s="78" customFormat="1" x14ac:dyDescent="0.2">
      <c r="B367" s="148"/>
      <c r="C367" s="148"/>
      <c r="D367" s="148"/>
      <c r="E367" s="148"/>
      <c r="F367" s="148"/>
    </row>
    <row r="368" spans="1:6" s="78" customFormat="1" x14ac:dyDescent="0.2">
      <c r="A368" s="78" t="s">
        <v>1290</v>
      </c>
      <c r="B368" s="148"/>
      <c r="C368" s="148"/>
      <c r="D368" s="148"/>
      <c r="E368" s="148"/>
      <c r="F368" s="148"/>
    </row>
    <row r="369" spans="1:6" s="78" customFormat="1" x14ac:dyDescent="0.2">
      <c r="A369" s="78" t="s">
        <v>1291</v>
      </c>
      <c r="B369" s="148"/>
      <c r="C369" s="148"/>
      <c r="D369" s="148"/>
      <c r="E369" s="148"/>
      <c r="F369" s="148"/>
    </row>
    <row r="370" spans="1:6" s="78" customFormat="1" x14ac:dyDescent="0.2">
      <c r="A370" s="78" t="s">
        <v>1292</v>
      </c>
      <c r="B370" s="148"/>
      <c r="C370" s="148"/>
      <c r="D370" s="148"/>
      <c r="E370" s="148"/>
      <c r="F370" s="148"/>
    </row>
    <row r="371" spans="1:6" s="78" customFormat="1" x14ac:dyDescent="0.2">
      <c r="A371" s="78" t="s">
        <v>1293</v>
      </c>
      <c r="B371" s="148"/>
      <c r="C371" s="148"/>
      <c r="D371" s="148"/>
      <c r="E371" s="148"/>
      <c r="F371" s="148"/>
    </row>
    <row r="372" spans="1:6" s="78" customFormat="1" x14ac:dyDescent="0.2">
      <c r="A372" s="78" t="s">
        <v>1294</v>
      </c>
      <c r="B372" s="148"/>
      <c r="C372" s="148"/>
      <c r="D372" s="148"/>
      <c r="E372" s="148"/>
      <c r="F372" s="148"/>
    </row>
    <row r="373" spans="1:6" s="78" customFormat="1" x14ac:dyDescent="0.2">
      <c r="B373" s="148"/>
      <c r="C373" s="148"/>
      <c r="D373" s="148"/>
      <c r="E373" s="148"/>
      <c r="F373" s="148"/>
    </row>
    <row r="374" spans="1:6" s="78" customFormat="1" x14ac:dyDescent="0.2">
      <c r="A374" s="148"/>
      <c r="B374" s="148"/>
      <c r="C374" s="148"/>
      <c r="D374" s="148"/>
      <c r="E374" s="148"/>
      <c r="F374" s="148"/>
    </row>
    <row r="375" spans="1:6" s="78" customFormat="1" x14ac:dyDescent="0.2">
      <c r="A375" s="148"/>
      <c r="B375" s="148"/>
      <c r="C375" s="148"/>
      <c r="D375" s="148"/>
      <c r="E375" s="148"/>
      <c r="F375" s="148"/>
    </row>
    <row r="376" spans="1:6" s="78" customFormat="1" x14ac:dyDescent="0.2">
      <c r="A376" s="148"/>
      <c r="B376" s="148"/>
      <c r="C376" s="148"/>
      <c r="D376" s="148"/>
      <c r="E376" s="148"/>
      <c r="F376" s="148"/>
    </row>
    <row r="377" spans="1:6" s="78" customFormat="1" x14ac:dyDescent="0.2">
      <c r="A377" s="148"/>
      <c r="B377" s="148"/>
      <c r="C377" s="148"/>
      <c r="D377" s="148"/>
      <c r="E377" s="148"/>
      <c r="F377" s="148"/>
    </row>
    <row r="378" spans="1:6" s="78" customFormat="1" x14ac:dyDescent="0.2">
      <c r="A378" s="148"/>
      <c r="B378" s="148"/>
      <c r="C378" s="148"/>
      <c r="D378" s="148"/>
      <c r="E378" s="148"/>
      <c r="F378" s="148"/>
    </row>
    <row r="379" spans="1:6" s="78" customFormat="1" x14ac:dyDescent="0.2">
      <c r="A379" s="148"/>
      <c r="B379" s="148"/>
      <c r="C379" s="148"/>
      <c r="D379" s="148"/>
      <c r="E379" s="148"/>
      <c r="F379" s="148"/>
    </row>
    <row r="380" spans="1:6" s="78" customFormat="1" x14ac:dyDescent="0.2">
      <c r="A380" s="148"/>
      <c r="B380" s="148"/>
      <c r="C380" s="148"/>
      <c r="D380" s="148"/>
      <c r="E380" s="148"/>
      <c r="F380" s="148"/>
    </row>
    <row r="381" spans="1:6" s="78" customFormat="1" x14ac:dyDescent="0.2">
      <c r="A381" s="148"/>
      <c r="B381" s="148"/>
      <c r="C381" s="148"/>
      <c r="D381" s="148"/>
      <c r="E381" s="148"/>
      <c r="F381" s="148"/>
    </row>
    <row r="382" spans="1:6" s="78" customFormat="1" x14ac:dyDescent="0.2">
      <c r="A382" s="148"/>
      <c r="B382" s="148"/>
      <c r="C382" s="148"/>
      <c r="D382" s="148"/>
      <c r="E382" s="148"/>
      <c r="F382" s="148"/>
    </row>
    <row r="383" spans="1:6" s="78" customFormat="1" x14ac:dyDescent="0.2">
      <c r="A383" s="148"/>
      <c r="B383" s="148"/>
      <c r="C383" s="148"/>
      <c r="D383" s="148"/>
      <c r="E383" s="148"/>
      <c r="F383" s="148"/>
    </row>
    <row r="384" spans="1:6" s="78" customFormat="1" x14ac:dyDescent="0.2">
      <c r="A384" s="148"/>
      <c r="B384" s="148"/>
      <c r="C384" s="148"/>
      <c r="D384" s="148"/>
      <c r="E384" s="148"/>
      <c r="F384" s="148"/>
    </row>
    <row r="385" spans="1:6" s="78" customFormat="1" x14ac:dyDescent="0.2">
      <c r="A385" s="148"/>
      <c r="B385" s="148"/>
      <c r="C385" s="148"/>
      <c r="D385" s="148"/>
      <c r="E385" s="148"/>
      <c r="F385" s="148"/>
    </row>
    <row r="386" spans="1:6" s="78" customFormat="1" x14ac:dyDescent="0.2">
      <c r="A386" s="148"/>
      <c r="B386" s="148"/>
      <c r="C386" s="148"/>
      <c r="D386" s="148"/>
      <c r="E386" s="148"/>
      <c r="F386" s="148"/>
    </row>
    <row r="387" spans="1:6" s="78" customFormat="1" x14ac:dyDescent="0.2">
      <c r="A387" s="148"/>
      <c r="B387" s="148"/>
      <c r="C387" s="148"/>
      <c r="D387" s="148"/>
      <c r="E387" s="148"/>
      <c r="F387" s="148"/>
    </row>
    <row r="388" spans="1:6" s="78" customFormat="1" x14ac:dyDescent="0.2">
      <c r="A388" s="148"/>
      <c r="B388" s="148"/>
      <c r="C388" s="148"/>
      <c r="D388" s="148"/>
      <c r="E388" s="148"/>
      <c r="F388" s="148"/>
    </row>
    <row r="389" spans="1:6" s="78" customFormat="1" x14ac:dyDescent="0.2"/>
    <row r="390" spans="1:6" s="78" customFormat="1" x14ac:dyDescent="0.2"/>
    <row r="391" spans="1:6" s="78" customFormat="1" x14ac:dyDescent="0.2"/>
    <row r="392" spans="1:6" s="78" customFormat="1" x14ac:dyDescent="0.2"/>
    <row r="393" spans="1:6" s="78" customFormat="1" x14ac:dyDescent="0.2"/>
    <row r="394" spans="1:6" s="78" customFormat="1" x14ac:dyDescent="0.2"/>
    <row r="395" spans="1:6" s="78" customFormat="1" x14ac:dyDescent="0.2"/>
    <row r="396" spans="1:6" s="78" customFormat="1" x14ac:dyDescent="0.2"/>
    <row r="397" spans="1:6" s="78" customFormat="1" x14ac:dyDescent="0.2"/>
    <row r="398" spans="1:6" s="78" customFormat="1" x14ac:dyDescent="0.2"/>
    <row r="399" spans="1:6" s="78" customFormat="1" x14ac:dyDescent="0.2"/>
    <row r="400" spans="1:6" s="78" customFormat="1" x14ac:dyDescent="0.2"/>
    <row r="401" s="78" customFormat="1" x14ac:dyDescent="0.2"/>
    <row r="402" s="78" customFormat="1" x14ac:dyDescent="0.2"/>
    <row r="403" s="78" customFormat="1" x14ac:dyDescent="0.2"/>
    <row r="404" s="78" customFormat="1" x14ac:dyDescent="0.2"/>
    <row r="405" s="78" customFormat="1" x14ac:dyDescent="0.2"/>
    <row r="406" s="78" customFormat="1" x14ac:dyDescent="0.2"/>
    <row r="407" s="78" customFormat="1" x14ac:dyDescent="0.2"/>
    <row r="408" s="78" customFormat="1" x14ac:dyDescent="0.2"/>
    <row r="409" s="78" customFormat="1" x14ac:dyDescent="0.2"/>
    <row r="410" s="78" customFormat="1" x14ac:dyDescent="0.2"/>
    <row r="411" s="78" customFormat="1" x14ac:dyDescent="0.2"/>
    <row r="412" s="78" customFormat="1" x14ac:dyDescent="0.2"/>
    <row r="413" s="78" customFormat="1" x14ac:dyDescent="0.2"/>
    <row r="414" s="78" customFormat="1" x14ac:dyDescent="0.2"/>
    <row r="415" s="78" customFormat="1" x14ac:dyDescent="0.2"/>
    <row r="416" s="78" customFormat="1" x14ac:dyDescent="0.2"/>
    <row r="417" s="78" customFormat="1" x14ac:dyDescent="0.2"/>
    <row r="418" s="78" customFormat="1" x14ac:dyDescent="0.2"/>
    <row r="419" s="78" customFormat="1" x14ac:dyDescent="0.2"/>
    <row r="420" s="78" customFormat="1" x14ac:dyDescent="0.2"/>
    <row r="421" s="78" customFormat="1" x14ac:dyDescent="0.2"/>
    <row r="422" s="78" customFormat="1" x14ac:dyDescent="0.2"/>
    <row r="423" s="78" customFormat="1" x14ac:dyDescent="0.2"/>
    <row r="424" s="78" customFormat="1" x14ac:dyDescent="0.2"/>
    <row r="425" s="78" customFormat="1" x14ac:dyDescent="0.2"/>
    <row r="426" s="78" customFormat="1" x14ac:dyDescent="0.2"/>
    <row r="427" s="78" customFormat="1" x14ac:dyDescent="0.2"/>
    <row r="428" s="78" customFormat="1" x14ac:dyDescent="0.2"/>
    <row r="429" s="78" customFormat="1" x14ac:dyDescent="0.2"/>
    <row r="430" s="78" customFormat="1" x14ac:dyDescent="0.2"/>
    <row r="431" s="78" customFormat="1" x14ac:dyDescent="0.2"/>
    <row r="432" s="78" customFormat="1" x14ac:dyDescent="0.2"/>
    <row r="433" s="78" customFormat="1" x14ac:dyDescent="0.2"/>
    <row r="434" s="78" customFormat="1" x14ac:dyDescent="0.2"/>
    <row r="435" s="78" customFormat="1" x14ac:dyDescent="0.2"/>
    <row r="436" s="78" customFormat="1" x14ac:dyDescent="0.2"/>
    <row r="437" s="78" customFormat="1" x14ac:dyDescent="0.2"/>
    <row r="438" s="78" customFormat="1" x14ac:dyDescent="0.2"/>
    <row r="439" s="78" customFormat="1" x14ac:dyDescent="0.2"/>
    <row r="440" s="78" customFormat="1" x14ac:dyDescent="0.2"/>
    <row r="441" s="78" customFormat="1" x14ac:dyDescent="0.2"/>
    <row r="442" s="78" customFormat="1" x14ac:dyDescent="0.2"/>
    <row r="443" s="78" customFormat="1" x14ac:dyDescent="0.2"/>
    <row r="444" s="78" customFormat="1" x14ac:dyDescent="0.2"/>
    <row r="445" s="78" customFormat="1" x14ac:dyDescent="0.2"/>
    <row r="446" s="78" customFormat="1" x14ac:dyDescent="0.2"/>
    <row r="447" s="78" customFormat="1" x14ac:dyDescent="0.2"/>
    <row r="448" s="78" customFormat="1" x14ac:dyDescent="0.2"/>
    <row r="449" s="78" customFormat="1" x14ac:dyDescent="0.2"/>
    <row r="450" s="78" customFormat="1" x14ac:dyDescent="0.2"/>
    <row r="451" s="78" customFormat="1" x14ac:dyDescent="0.2"/>
    <row r="452" s="78" customFormat="1" x14ac:dyDescent="0.2"/>
    <row r="453" s="78" customFormat="1" x14ac:dyDescent="0.2"/>
    <row r="454" s="78" customFormat="1" x14ac:dyDescent="0.2"/>
    <row r="455" s="78" customFormat="1" x14ac:dyDescent="0.2"/>
    <row r="456" s="78" customFormat="1" x14ac:dyDescent="0.2"/>
    <row r="457" s="78" customFormat="1" x14ac:dyDescent="0.2"/>
    <row r="458" s="78" customFormat="1" x14ac:dyDescent="0.2"/>
    <row r="459" s="78" customFormat="1" x14ac:dyDescent="0.2"/>
    <row r="460" s="78" customFormat="1" x14ac:dyDescent="0.2"/>
    <row r="461" s="78" customFormat="1" x14ac:dyDescent="0.2"/>
    <row r="462" s="78" customFormat="1" x14ac:dyDescent="0.2"/>
    <row r="463" s="78" customFormat="1" x14ac:dyDescent="0.2"/>
    <row r="464" s="78" customFormat="1" x14ac:dyDescent="0.2"/>
    <row r="465" s="78" customFormat="1" x14ac:dyDescent="0.2"/>
    <row r="466" s="78" customFormat="1" x14ac:dyDescent="0.2"/>
    <row r="467" s="78" customFormat="1" x14ac:dyDescent="0.2"/>
    <row r="468" s="78" customFormat="1" x14ac:dyDescent="0.2"/>
    <row r="469" s="78" customFormat="1" x14ac:dyDescent="0.2"/>
    <row r="470" s="78" customFormat="1" x14ac:dyDescent="0.2"/>
    <row r="471" s="78" customFormat="1" x14ac:dyDescent="0.2"/>
    <row r="472" s="78" customFormat="1" x14ac:dyDescent="0.2"/>
    <row r="473" s="78" customFormat="1" x14ac:dyDescent="0.2"/>
    <row r="474" s="78" customFormat="1" x14ac:dyDescent="0.2"/>
    <row r="475" s="78" customFormat="1" x14ac:dyDescent="0.2"/>
    <row r="476" s="78" customFormat="1" x14ac:dyDescent="0.2"/>
    <row r="477" s="78" customFormat="1" x14ac:dyDescent="0.2"/>
    <row r="478" s="78" customFormat="1" x14ac:dyDescent="0.2"/>
    <row r="479" s="78" customFormat="1" x14ac:dyDescent="0.2"/>
    <row r="480" s="78" customFormat="1" x14ac:dyDescent="0.2"/>
    <row r="481" spans="1:3" s="78" customFormat="1" x14ac:dyDescent="0.2"/>
    <row r="482" spans="1:3" s="78" customFormat="1" x14ac:dyDescent="0.2"/>
    <row r="483" spans="1:3" s="78" customFormat="1" x14ac:dyDescent="0.2"/>
    <row r="484" spans="1:3" s="78" customFormat="1" x14ac:dyDescent="0.2"/>
    <row r="485" spans="1:3" s="78" customFormat="1" x14ac:dyDescent="0.2"/>
    <row r="486" spans="1:3" s="78" customFormat="1" x14ac:dyDescent="0.2"/>
    <row r="487" spans="1:3" s="78" customFormat="1" x14ac:dyDescent="0.2"/>
    <row r="488" spans="1:3" s="78" customFormat="1" x14ac:dyDescent="0.2"/>
    <row r="489" spans="1:3" s="78" customFormat="1" x14ac:dyDescent="0.2"/>
    <row r="490" spans="1:3" s="78" customFormat="1" x14ac:dyDescent="0.2">
      <c r="A490" s="78" t="s">
        <v>1752</v>
      </c>
      <c r="C490" s="80"/>
    </row>
    <row r="491" spans="1:3" s="78" customFormat="1" x14ac:dyDescent="0.2">
      <c r="A491" s="78" t="s">
        <v>78</v>
      </c>
      <c r="C491" s="80"/>
    </row>
    <row r="492" spans="1:3" s="78" customFormat="1" x14ac:dyDescent="0.2">
      <c r="A492" s="78" t="s">
        <v>79</v>
      </c>
      <c r="C492" s="80"/>
    </row>
    <row r="493" spans="1:3" s="78" customFormat="1" x14ac:dyDescent="0.2">
      <c r="A493" s="78" t="s">
        <v>80</v>
      </c>
      <c r="C493" s="80"/>
    </row>
    <row r="494" spans="1:3" s="78" customFormat="1" x14ac:dyDescent="0.2">
      <c r="A494" s="78" t="s">
        <v>1750</v>
      </c>
      <c r="C494" s="80"/>
    </row>
    <row r="495" spans="1:3" s="78" customFormat="1" x14ac:dyDescent="0.2">
      <c r="A495" s="78" t="s">
        <v>1751</v>
      </c>
      <c r="C495" s="80"/>
    </row>
    <row r="496" spans="1:3" s="78" customFormat="1" x14ac:dyDescent="0.2">
      <c r="C496" s="80"/>
    </row>
    <row r="497" spans="1:4" s="78" customFormat="1" x14ac:dyDescent="0.2"/>
    <row r="498" spans="1:4" s="78" customFormat="1" x14ac:dyDescent="0.2"/>
    <row r="499" spans="1:4" s="78" customFormat="1" x14ac:dyDescent="0.2"/>
    <row r="500" spans="1:4" s="78" customFormat="1" x14ac:dyDescent="0.2"/>
    <row r="501" spans="1:4" s="78" customFormat="1" ht="15" x14ac:dyDescent="0.25">
      <c r="A501" s="79" t="s">
        <v>84</v>
      </c>
      <c r="B501" s="79" t="s">
        <v>85</v>
      </c>
      <c r="C501" s="79" t="s">
        <v>86</v>
      </c>
      <c r="D501" s="79" t="s">
        <v>86</v>
      </c>
    </row>
    <row r="502" spans="1:4" s="78" customFormat="1" x14ac:dyDescent="0.2">
      <c r="A502" s="78" t="s">
        <v>87</v>
      </c>
      <c r="B502" s="78" t="s">
        <v>88</v>
      </c>
      <c r="C502" s="78" t="s">
        <v>89</v>
      </c>
      <c r="D502" s="78" t="s">
        <v>614</v>
      </c>
    </row>
    <row r="503" spans="1:4" s="78" customFormat="1" x14ac:dyDescent="0.2">
      <c r="A503" s="78" t="s">
        <v>90</v>
      </c>
      <c r="B503" s="78" t="s">
        <v>91</v>
      </c>
      <c r="C503" s="78" t="s">
        <v>92</v>
      </c>
      <c r="D503" s="78" t="s">
        <v>615</v>
      </c>
    </row>
    <row r="504" spans="1:4" s="78" customFormat="1" x14ac:dyDescent="0.2">
      <c r="A504" s="78" t="s">
        <v>93</v>
      </c>
      <c r="B504" s="78" t="s">
        <v>94</v>
      </c>
      <c r="C504" s="78" t="s">
        <v>95</v>
      </c>
      <c r="D504" s="78" t="s">
        <v>616</v>
      </c>
    </row>
    <row r="505" spans="1:4" s="78" customFormat="1" x14ac:dyDescent="0.2">
      <c r="A505" s="78" t="s">
        <v>96</v>
      </c>
      <c r="B505" s="78" t="s">
        <v>97</v>
      </c>
      <c r="C505" s="78" t="s">
        <v>98</v>
      </c>
      <c r="D505" s="78" t="s">
        <v>617</v>
      </c>
    </row>
    <row r="506" spans="1:4" s="78" customFormat="1" x14ac:dyDescent="0.2">
      <c r="A506" s="78" t="s">
        <v>99</v>
      </c>
      <c r="B506" s="78" t="s">
        <v>100</v>
      </c>
      <c r="C506" s="78" t="s">
        <v>101</v>
      </c>
      <c r="D506" s="78" t="s">
        <v>618</v>
      </c>
    </row>
    <row r="507" spans="1:4" s="78" customFormat="1" x14ac:dyDescent="0.2">
      <c r="A507" s="78" t="s">
        <v>102</v>
      </c>
      <c r="B507" s="78" t="s">
        <v>103</v>
      </c>
      <c r="C507" s="78" t="s">
        <v>104</v>
      </c>
      <c r="D507" s="78" t="s">
        <v>619</v>
      </c>
    </row>
    <row r="508" spans="1:4" s="78" customFormat="1" x14ac:dyDescent="0.2">
      <c r="A508" s="78" t="s">
        <v>105</v>
      </c>
      <c r="B508" s="78" t="s">
        <v>106</v>
      </c>
      <c r="C508" s="78" t="s">
        <v>107</v>
      </c>
      <c r="D508" s="78" t="s">
        <v>620</v>
      </c>
    </row>
    <row r="509" spans="1:4" s="78" customFormat="1" x14ac:dyDescent="0.2">
      <c r="A509" s="78" t="s">
        <v>108</v>
      </c>
      <c r="B509" s="78" t="s">
        <v>106</v>
      </c>
      <c r="C509" s="78" t="s">
        <v>107</v>
      </c>
      <c r="D509" s="78" t="s">
        <v>620</v>
      </c>
    </row>
    <row r="510" spans="1:4" s="78" customFormat="1" x14ac:dyDescent="0.2">
      <c r="A510" s="78" t="s">
        <v>109</v>
      </c>
      <c r="B510" s="78" t="s">
        <v>110</v>
      </c>
      <c r="C510" s="78" t="s">
        <v>111</v>
      </c>
      <c r="D510" s="78" t="s">
        <v>621</v>
      </c>
    </row>
    <row r="511" spans="1:4" s="78" customFormat="1" x14ac:dyDescent="0.2">
      <c r="A511" s="78" t="s">
        <v>112</v>
      </c>
      <c r="B511" s="78" t="s">
        <v>113</v>
      </c>
      <c r="C511" s="78" t="s">
        <v>114</v>
      </c>
      <c r="D511" s="78" t="s">
        <v>622</v>
      </c>
    </row>
    <row r="512" spans="1:4" s="78" customFormat="1" x14ac:dyDescent="0.2">
      <c r="A512" s="78" t="s">
        <v>115</v>
      </c>
      <c r="B512" s="78" t="s">
        <v>116</v>
      </c>
      <c r="C512" s="78" t="s">
        <v>117</v>
      </c>
      <c r="D512" s="78" t="s">
        <v>623</v>
      </c>
    </row>
    <row r="513" spans="1:4" s="78" customFormat="1" x14ac:dyDescent="0.2">
      <c r="A513" s="78" t="s">
        <v>118</v>
      </c>
      <c r="B513" s="78" t="s">
        <v>119</v>
      </c>
      <c r="C513" s="78" t="s">
        <v>120</v>
      </c>
      <c r="D513" s="78" t="s">
        <v>624</v>
      </c>
    </row>
    <row r="514" spans="1:4" s="78" customFormat="1" x14ac:dyDescent="0.2">
      <c r="A514" s="78" t="s">
        <v>121</v>
      </c>
      <c r="B514" s="78" t="s">
        <v>100</v>
      </c>
      <c r="C514" s="78" t="s">
        <v>101</v>
      </c>
      <c r="D514" s="78" t="s">
        <v>618</v>
      </c>
    </row>
    <row r="515" spans="1:4" s="78" customFormat="1" x14ac:dyDescent="0.2">
      <c r="A515" s="78" t="s">
        <v>122</v>
      </c>
      <c r="B515" s="78" t="s">
        <v>123</v>
      </c>
      <c r="C515" s="78" t="s">
        <v>124</v>
      </c>
      <c r="D515" s="78" t="s">
        <v>625</v>
      </c>
    </row>
    <row r="516" spans="1:4" s="78" customFormat="1" x14ac:dyDescent="0.2">
      <c r="A516" s="78" t="s">
        <v>125</v>
      </c>
      <c r="B516" s="78" t="s">
        <v>126</v>
      </c>
      <c r="C516" s="78" t="s">
        <v>127</v>
      </c>
      <c r="D516" s="78" t="s">
        <v>626</v>
      </c>
    </row>
    <row r="517" spans="1:4" s="78" customFormat="1" x14ac:dyDescent="0.2">
      <c r="A517" s="78" t="s">
        <v>128</v>
      </c>
      <c r="B517" s="78" t="s">
        <v>129</v>
      </c>
      <c r="C517" s="78" t="s">
        <v>130</v>
      </c>
      <c r="D517" s="78" t="s">
        <v>627</v>
      </c>
    </row>
    <row r="518" spans="1:4" s="78" customFormat="1" x14ac:dyDescent="0.2">
      <c r="A518" s="78" t="s">
        <v>131</v>
      </c>
      <c r="B518" s="78" t="s">
        <v>132</v>
      </c>
      <c r="C518" s="78" t="s">
        <v>133</v>
      </c>
      <c r="D518" s="78" t="s">
        <v>628</v>
      </c>
    </row>
    <row r="519" spans="1:4" s="78" customFormat="1" x14ac:dyDescent="0.2">
      <c r="A519" s="78" t="s">
        <v>134</v>
      </c>
      <c r="B519" s="78" t="s">
        <v>135</v>
      </c>
      <c r="C519" s="78" t="s">
        <v>136</v>
      </c>
      <c r="D519" s="78" t="s">
        <v>629</v>
      </c>
    </row>
    <row r="520" spans="1:4" s="78" customFormat="1" x14ac:dyDescent="0.2">
      <c r="A520" s="78" t="s">
        <v>137</v>
      </c>
      <c r="B520" s="78" t="s">
        <v>138</v>
      </c>
      <c r="C520" s="78" t="s">
        <v>139</v>
      </c>
      <c r="D520" s="78" t="s">
        <v>630</v>
      </c>
    </row>
    <row r="521" spans="1:4" s="78" customFormat="1" x14ac:dyDescent="0.2">
      <c r="A521" s="78" t="s">
        <v>140</v>
      </c>
      <c r="B521" s="78" t="s">
        <v>100</v>
      </c>
      <c r="C521" s="78" t="s">
        <v>101</v>
      </c>
      <c r="D521" s="78" t="s">
        <v>618</v>
      </c>
    </row>
    <row r="522" spans="1:4" s="78" customFormat="1" x14ac:dyDescent="0.2">
      <c r="A522" s="78" t="s">
        <v>141</v>
      </c>
      <c r="B522" s="78" t="s">
        <v>142</v>
      </c>
      <c r="C522" s="78" t="s">
        <v>143</v>
      </c>
      <c r="D522" s="78" t="s">
        <v>631</v>
      </c>
    </row>
    <row r="523" spans="1:4" s="78" customFormat="1" x14ac:dyDescent="0.2">
      <c r="A523" s="78" t="s">
        <v>144</v>
      </c>
      <c r="B523" s="78" t="s">
        <v>145</v>
      </c>
      <c r="C523" s="78" t="s">
        <v>146</v>
      </c>
      <c r="D523" s="78" t="s">
        <v>632</v>
      </c>
    </row>
    <row r="524" spans="1:4" s="78" customFormat="1" x14ac:dyDescent="0.2">
      <c r="A524" s="78" t="s">
        <v>147</v>
      </c>
      <c r="B524" s="78" t="s">
        <v>148</v>
      </c>
      <c r="C524" s="78" t="s">
        <v>149</v>
      </c>
      <c r="D524" s="78" t="s">
        <v>633</v>
      </c>
    </row>
    <row r="525" spans="1:4" s="78" customFormat="1" x14ac:dyDescent="0.2">
      <c r="A525" s="78" t="s">
        <v>150</v>
      </c>
      <c r="B525" s="78" t="s">
        <v>151</v>
      </c>
      <c r="C525" s="78" t="s">
        <v>152</v>
      </c>
      <c r="D525" s="78" t="s">
        <v>634</v>
      </c>
    </row>
    <row r="526" spans="1:4" s="78" customFormat="1" x14ac:dyDescent="0.2">
      <c r="A526" s="78" t="s">
        <v>153</v>
      </c>
      <c r="B526" s="78" t="s">
        <v>154</v>
      </c>
      <c r="C526" s="78" t="s">
        <v>155</v>
      </c>
      <c r="D526" s="78" t="s">
        <v>635</v>
      </c>
    </row>
    <row r="527" spans="1:4" s="78" customFormat="1" x14ac:dyDescent="0.2">
      <c r="A527" s="78" t="s">
        <v>156</v>
      </c>
      <c r="B527" s="78" t="s">
        <v>157</v>
      </c>
      <c r="C527" s="78" t="s">
        <v>158</v>
      </c>
      <c r="D527" s="78" t="s">
        <v>636</v>
      </c>
    </row>
    <row r="528" spans="1:4" s="78" customFormat="1" x14ac:dyDescent="0.2">
      <c r="A528" s="78" t="s">
        <v>159</v>
      </c>
      <c r="B528" s="78" t="s">
        <v>160</v>
      </c>
      <c r="C528" s="78" t="s">
        <v>161</v>
      </c>
      <c r="D528" s="78" t="s">
        <v>637</v>
      </c>
    </row>
    <row r="529" spans="1:4" s="78" customFormat="1" x14ac:dyDescent="0.2">
      <c r="A529" s="78" t="s">
        <v>162</v>
      </c>
      <c r="B529" s="78" t="s">
        <v>163</v>
      </c>
      <c r="C529" s="78" t="s">
        <v>164</v>
      </c>
      <c r="D529" s="78" t="s">
        <v>638</v>
      </c>
    </row>
    <row r="530" spans="1:4" s="78" customFormat="1" x14ac:dyDescent="0.2">
      <c r="A530" s="78" t="s">
        <v>165</v>
      </c>
      <c r="B530" s="78" t="s">
        <v>166</v>
      </c>
      <c r="C530" s="78" t="s">
        <v>167</v>
      </c>
      <c r="D530" s="78" t="s">
        <v>639</v>
      </c>
    </row>
    <row r="531" spans="1:4" s="78" customFormat="1" x14ac:dyDescent="0.2">
      <c r="A531" s="78" t="s">
        <v>168</v>
      </c>
      <c r="B531" s="78" t="s">
        <v>169</v>
      </c>
      <c r="C531" s="78" t="s">
        <v>170</v>
      </c>
      <c r="D531" s="78" t="s">
        <v>640</v>
      </c>
    </row>
    <row r="532" spans="1:4" s="78" customFormat="1" x14ac:dyDescent="0.2">
      <c r="A532" s="78" t="s">
        <v>171</v>
      </c>
      <c r="B532" s="78" t="s">
        <v>145</v>
      </c>
      <c r="C532" s="78" t="s">
        <v>146</v>
      </c>
      <c r="D532" s="78" t="s">
        <v>632</v>
      </c>
    </row>
    <row r="533" spans="1:4" s="78" customFormat="1" x14ac:dyDescent="0.2">
      <c r="A533" s="78" t="s">
        <v>172</v>
      </c>
      <c r="B533" s="78" t="s">
        <v>173</v>
      </c>
      <c r="C533" s="78" t="s">
        <v>174</v>
      </c>
      <c r="D533" s="78" t="s">
        <v>641</v>
      </c>
    </row>
    <row r="534" spans="1:4" s="78" customFormat="1" x14ac:dyDescent="0.2">
      <c r="A534" s="78" t="s">
        <v>175</v>
      </c>
      <c r="B534" s="78" t="s">
        <v>176</v>
      </c>
      <c r="C534" s="78" t="s">
        <v>177</v>
      </c>
      <c r="D534" s="78" t="s">
        <v>642</v>
      </c>
    </row>
    <row r="535" spans="1:4" s="78" customFormat="1" x14ac:dyDescent="0.2">
      <c r="A535" s="78" t="s">
        <v>178</v>
      </c>
      <c r="B535" s="78" t="s">
        <v>145</v>
      </c>
      <c r="C535" s="78" t="s">
        <v>179</v>
      </c>
      <c r="D535" s="78" t="s">
        <v>643</v>
      </c>
    </row>
    <row r="536" spans="1:4" s="78" customFormat="1" x14ac:dyDescent="0.2">
      <c r="A536" s="78" t="s">
        <v>180</v>
      </c>
      <c r="B536" s="78" t="s">
        <v>181</v>
      </c>
      <c r="C536" s="78" t="s">
        <v>182</v>
      </c>
      <c r="D536" s="78" t="s">
        <v>644</v>
      </c>
    </row>
    <row r="537" spans="1:4" s="78" customFormat="1" x14ac:dyDescent="0.2">
      <c r="A537" s="78" t="s">
        <v>183</v>
      </c>
      <c r="B537" s="78" t="s">
        <v>100</v>
      </c>
      <c r="C537" s="78" t="s">
        <v>101</v>
      </c>
      <c r="D537" s="78" t="s">
        <v>618</v>
      </c>
    </row>
    <row r="538" spans="1:4" s="78" customFormat="1" x14ac:dyDescent="0.2">
      <c r="A538" s="78" t="s">
        <v>184</v>
      </c>
      <c r="B538" s="78" t="s">
        <v>185</v>
      </c>
      <c r="C538" s="78" t="s">
        <v>186</v>
      </c>
      <c r="D538" s="78" t="s">
        <v>645</v>
      </c>
    </row>
    <row r="539" spans="1:4" s="78" customFormat="1" x14ac:dyDescent="0.2">
      <c r="A539" s="78" t="s">
        <v>187</v>
      </c>
      <c r="B539" s="78" t="s">
        <v>188</v>
      </c>
      <c r="C539" s="78" t="s">
        <v>189</v>
      </c>
      <c r="D539" s="78" t="s">
        <v>646</v>
      </c>
    </row>
    <row r="540" spans="1:4" s="78" customFormat="1" x14ac:dyDescent="0.2">
      <c r="A540" s="78" t="s">
        <v>190</v>
      </c>
      <c r="B540" s="78" t="s">
        <v>145</v>
      </c>
      <c r="C540" s="78" t="s">
        <v>179</v>
      </c>
      <c r="D540" s="78" t="s">
        <v>643</v>
      </c>
    </row>
    <row r="541" spans="1:4" s="78" customFormat="1" x14ac:dyDescent="0.2">
      <c r="A541" s="78" t="s">
        <v>191</v>
      </c>
      <c r="B541" s="78" t="s">
        <v>145</v>
      </c>
      <c r="C541" s="78" t="s">
        <v>179</v>
      </c>
      <c r="D541" s="78" t="s">
        <v>643</v>
      </c>
    </row>
    <row r="542" spans="1:4" s="78" customFormat="1" x14ac:dyDescent="0.2">
      <c r="A542" s="78" t="s">
        <v>192</v>
      </c>
      <c r="B542" s="78" t="s">
        <v>193</v>
      </c>
      <c r="C542" s="78" t="s">
        <v>194</v>
      </c>
      <c r="D542" s="78" t="s">
        <v>647</v>
      </c>
    </row>
    <row r="543" spans="1:4" s="78" customFormat="1" x14ac:dyDescent="0.2">
      <c r="A543" s="78" t="s">
        <v>195</v>
      </c>
      <c r="B543" s="78" t="s">
        <v>196</v>
      </c>
      <c r="C543" s="78" t="s">
        <v>197</v>
      </c>
      <c r="D543" s="78" t="s">
        <v>648</v>
      </c>
    </row>
    <row r="544" spans="1:4" s="78" customFormat="1" x14ac:dyDescent="0.2">
      <c r="A544" s="78" t="s">
        <v>198</v>
      </c>
      <c r="B544" s="78" t="s">
        <v>199</v>
      </c>
      <c r="C544" s="78" t="s">
        <v>200</v>
      </c>
      <c r="D544" s="78" t="s">
        <v>649</v>
      </c>
    </row>
    <row r="545" spans="1:4" s="78" customFormat="1" x14ac:dyDescent="0.2">
      <c r="A545" s="78" t="s">
        <v>201</v>
      </c>
      <c r="B545" s="78" t="s">
        <v>202</v>
      </c>
      <c r="C545" s="78" t="s">
        <v>203</v>
      </c>
      <c r="D545" s="78" t="s">
        <v>650</v>
      </c>
    </row>
    <row r="546" spans="1:4" s="78" customFormat="1" x14ac:dyDescent="0.2">
      <c r="A546" s="78" t="s">
        <v>204</v>
      </c>
      <c r="B546" s="78" t="s">
        <v>145</v>
      </c>
      <c r="C546" s="78" t="s">
        <v>179</v>
      </c>
      <c r="D546" s="78" t="s">
        <v>643</v>
      </c>
    </row>
    <row r="547" spans="1:4" s="78" customFormat="1" x14ac:dyDescent="0.2">
      <c r="A547" s="78" t="s">
        <v>205</v>
      </c>
      <c r="B547" s="78" t="s">
        <v>206</v>
      </c>
      <c r="C547" s="78" t="s">
        <v>207</v>
      </c>
      <c r="D547" s="78" t="s">
        <v>651</v>
      </c>
    </row>
    <row r="548" spans="1:4" s="78" customFormat="1" x14ac:dyDescent="0.2">
      <c r="A548" s="78" t="s">
        <v>208</v>
      </c>
      <c r="B548" s="78" t="s">
        <v>209</v>
      </c>
      <c r="C548" s="78" t="s">
        <v>210</v>
      </c>
      <c r="D548" s="78" t="s">
        <v>652</v>
      </c>
    </row>
    <row r="549" spans="1:4" s="78" customFormat="1" x14ac:dyDescent="0.2">
      <c r="A549" s="78" t="s">
        <v>211</v>
      </c>
      <c r="B549" s="78" t="s">
        <v>212</v>
      </c>
      <c r="C549" s="78" t="s">
        <v>213</v>
      </c>
      <c r="D549" s="78" t="s">
        <v>653</v>
      </c>
    </row>
    <row r="550" spans="1:4" s="78" customFormat="1" x14ac:dyDescent="0.2">
      <c r="A550" s="78" t="s">
        <v>214</v>
      </c>
      <c r="B550" s="78" t="s">
        <v>145</v>
      </c>
      <c r="C550" s="78" t="s">
        <v>146</v>
      </c>
      <c r="D550" s="78" t="s">
        <v>632</v>
      </c>
    </row>
    <row r="551" spans="1:4" s="78" customFormat="1" x14ac:dyDescent="0.2">
      <c r="A551" s="78" t="s">
        <v>215</v>
      </c>
      <c r="B551" s="78" t="s">
        <v>216</v>
      </c>
      <c r="C551" s="78" t="s">
        <v>217</v>
      </c>
      <c r="D551" s="78" t="s">
        <v>654</v>
      </c>
    </row>
    <row r="552" spans="1:4" s="78" customFormat="1" x14ac:dyDescent="0.2">
      <c r="A552" s="78" t="s">
        <v>218</v>
      </c>
      <c r="B552" s="78" t="s">
        <v>219</v>
      </c>
      <c r="C552" s="78" t="s">
        <v>220</v>
      </c>
      <c r="D552" s="78" t="s">
        <v>655</v>
      </c>
    </row>
    <row r="553" spans="1:4" s="78" customFormat="1" x14ac:dyDescent="0.2">
      <c r="A553" s="78" t="s">
        <v>221</v>
      </c>
      <c r="B553" s="78" t="s">
        <v>100</v>
      </c>
      <c r="C553" s="78" t="s">
        <v>101</v>
      </c>
      <c r="D553" s="78" t="s">
        <v>618</v>
      </c>
    </row>
    <row r="554" spans="1:4" s="78" customFormat="1" x14ac:dyDescent="0.2">
      <c r="A554" s="78" t="s">
        <v>222</v>
      </c>
      <c r="B554" s="78" t="s">
        <v>223</v>
      </c>
      <c r="C554" s="78" t="s">
        <v>224</v>
      </c>
      <c r="D554" s="78" t="s">
        <v>656</v>
      </c>
    </row>
    <row r="555" spans="1:4" s="78" customFormat="1" x14ac:dyDescent="0.2">
      <c r="A555" s="78" t="s">
        <v>225</v>
      </c>
      <c r="B555" s="78" t="s">
        <v>226</v>
      </c>
      <c r="C555" s="78" t="s">
        <v>227</v>
      </c>
      <c r="D555" s="78" t="s">
        <v>657</v>
      </c>
    </row>
    <row r="556" spans="1:4" s="78" customFormat="1" x14ac:dyDescent="0.2">
      <c r="A556" s="78" t="s">
        <v>228</v>
      </c>
      <c r="B556" s="78" t="s">
        <v>229</v>
      </c>
      <c r="C556" s="78" t="s">
        <v>230</v>
      </c>
      <c r="D556" s="78" t="s">
        <v>658</v>
      </c>
    </row>
    <row r="557" spans="1:4" s="78" customFormat="1" x14ac:dyDescent="0.2">
      <c r="A557" s="78" t="s">
        <v>231</v>
      </c>
      <c r="B557" s="78" t="s">
        <v>232</v>
      </c>
      <c r="C557" s="78" t="s">
        <v>233</v>
      </c>
      <c r="D557" s="78" t="s">
        <v>659</v>
      </c>
    </row>
    <row r="558" spans="1:4" s="78" customFormat="1" x14ac:dyDescent="0.2">
      <c r="A558" s="78" t="s">
        <v>234</v>
      </c>
      <c r="B558" s="78" t="s">
        <v>106</v>
      </c>
      <c r="C558" s="78" t="s">
        <v>107</v>
      </c>
      <c r="D558" s="78" t="s">
        <v>620</v>
      </c>
    </row>
    <row r="559" spans="1:4" s="78" customFormat="1" x14ac:dyDescent="0.2">
      <c r="A559" s="78" t="s">
        <v>235</v>
      </c>
      <c r="B559" s="78" t="s">
        <v>236</v>
      </c>
      <c r="C559" s="78" t="s">
        <v>237</v>
      </c>
      <c r="D559" s="78" t="s">
        <v>660</v>
      </c>
    </row>
    <row r="560" spans="1:4" s="78" customFormat="1" x14ac:dyDescent="0.2">
      <c r="A560" s="78" t="s">
        <v>238</v>
      </c>
      <c r="B560" s="78" t="s">
        <v>97</v>
      </c>
      <c r="C560" s="78" t="s">
        <v>98</v>
      </c>
      <c r="D560" s="78" t="s">
        <v>617</v>
      </c>
    </row>
    <row r="561" spans="1:4" s="78" customFormat="1" x14ac:dyDescent="0.2">
      <c r="A561" s="78" t="s">
        <v>239</v>
      </c>
      <c r="B561" s="78" t="s">
        <v>97</v>
      </c>
      <c r="C561" s="78" t="s">
        <v>98</v>
      </c>
      <c r="D561" s="78" t="s">
        <v>617</v>
      </c>
    </row>
    <row r="562" spans="1:4" s="78" customFormat="1" x14ac:dyDescent="0.2">
      <c r="A562" s="78" t="s">
        <v>240</v>
      </c>
      <c r="B562" s="78" t="s">
        <v>241</v>
      </c>
      <c r="C562" s="78" t="s">
        <v>242</v>
      </c>
      <c r="D562" s="78" t="s">
        <v>661</v>
      </c>
    </row>
    <row r="563" spans="1:4" s="78" customFormat="1" x14ac:dyDescent="0.2">
      <c r="A563" s="78" t="s">
        <v>243</v>
      </c>
      <c r="B563" s="78" t="s">
        <v>244</v>
      </c>
      <c r="C563" s="78" t="s">
        <v>245</v>
      </c>
      <c r="D563" s="78" t="s">
        <v>662</v>
      </c>
    </row>
    <row r="564" spans="1:4" s="78" customFormat="1" x14ac:dyDescent="0.2">
      <c r="A564" s="78" t="s">
        <v>246</v>
      </c>
      <c r="B564" s="78" t="s">
        <v>145</v>
      </c>
      <c r="C564" s="78" t="s">
        <v>179</v>
      </c>
      <c r="D564" s="78" t="s">
        <v>643</v>
      </c>
    </row>
    <row r="565" spans="1:4" s="78" customFormat="1" x14ac:dyDescent="0.2">
      <c r="A565" s="78" t="s">
        <v>247</v>
      </c>
      <c r="B565" s="78" t="s">
        <v>248</v>
      </c>
      <c r="C565" s="78" t="s">
        <v>249</v>
      </c>
      <c r="D565" s="78" t="s">
        <v>663</v>
      </c>
    </row>
    <row r="566" spans="1:4" s="78" customFormat="1" x14ac:dyDescent="0.2">
      <c r="A566" s="78" t="s">
        <v>250</v>
      </c>
      <c r="B566" s="78" t="s">
        <v>100</v>
      </c>
      <c r="C566" s="78" t="s">
        <v>101</v>
      </c>
      <c r="D566" s="78" t="s">
        <v>618</v>
      </c>
    </row>
    <row r="567" spans="1:4" s="78" customFormat="1" x14ac:dyDescent="0.2">
      <c r="A567" s="78" t="s">
        <v>251</v>
      </c>
      <c r="B567" s="78" t="s">
        <v>252</v>
      </c>
      <c r="C567" s="78" t="s">
        <v>253</v>
      </c>
      <c r="D567" s="78" t="s">
        <v>664</v>
      </c>
    </row>
    <row r="568" spans="1:4" s="78" customFormat="1" x14ac:dyDescent="0.2">
      <c r="A568" s="78" t="s">
        <v>254</v>
      </c>
      <c r="B568" s="78" t="s">
        <v>255</v>
      </c>
      <c r="C568" s="78" t="s">
        <v>256</v>
      </c>
      <c r="D568" s="78" t="s">
        <v>665</v>
      </c>
    </row>
    <row r="569" spans="1:4" s="78" customFormat="1" x14ac:dyDescent="0.2">
      <c r="A569" s="78" t="s">
        <v>257</v>
      </c>
      <c r="B569" s="78" t="s">
        <v>100</v>
      </c>
      <c r="C569" s="78" t="s">
        <v>101</v>
      </c>
      <c r="D569" s="78" t="s">
        <v>618</v>
      </c>
    </row>
    <row r="570" spans="1:4" s="78" customFormat="1" x14ac:dyDescent="0.2">
      <c r="A570" s="78" t="s">
        <v>258</v>
      </c>
      <c r="B570" s="78" t="s">
        <v>100</v>
      </c>
      <c r="C570" s="78" t="s">
        <v>101</v>
      </c>
      <c r="D570" s="78" t="s">
        <v>618</v>
      </c>
    </row>
    <row r="571" spans="1:4" s="78" customFormat="1" x14ac:dyDescent="0.2">
      <c r="A571" s="78" t="s">
        <v>259</v>
      </c>
      <c r="B571" s="78" t="s">
        <v>100</v>
      </c>
      <c r="C571" s="78" t="s">
        <v>101</v>
      </c>
      <c r="D571" s="78" t="s">
        <v>618</v>
      </c>
    </row>
    <row r="572" spans="1:4" s="78" customFormat="1" x14ac:dyDescent="0.2">
      <c r="A572" s="78" t="s">
        <v>260</v>
      </c>
      <c r="B572" s="78" t="s">
        <v>261</v>
      </c>
      <c r="C572" s="78" t="s">
        <v>262</v>
      </c>
      <c r="D572" s="78" t="s">
        <v>666</v>
      </c>
    </row>
    <row r="573" spans="1:4" s="78" customFormat="1" x14ac:dyDescent="0.2">
      <c r="A573" s="78" t="s">
        <v>263</v>
      </c>
      <c r="B573" s="78" t="s">
        <v>145</v>
      </c>
      <c r="C573" s="78" t="s">
        <v>179</v>
      </c>
      <c r="D573" s="78" t="s">
        <v>643</v>
      </c>
    </row>
    <row r="574" spans="1:4" s="78" customFormat="1" x14ac:dyDescent="0.2">
      <c r="A574" s="78" t="s">
        <v>264</v>
      </c>
      <c r="B574" s="78" t="s">
        <v>265</v>
      </c>
      <c r="C574" s="78" t="s">
        <v>266</v>
      </c>
      <c r="D574" s="78" t="s">
        <v>667</v>
      </c>
    </row>
    <row r="575" spans="1:4" s="78" customFormat="1" x14ac:dyDescent="0.2">
      <c r="A575" s="78" t="s">
        <v>267</v>
      </c>
      <c r="B575" s="78" t="s">
        <v>268</v>
      </c>
      <c r="C575" s="78" t="s">
        <v>269</v>
      </c>
      <c r="D575" s="78" t="s">
        <v>668</v>
      </c>
    </row>
    <row r="576" spans="1:4" s="78" customFormat="1" x14ac:dyDescent="0.2">
      <c r="A576" s="78" t="s">
        <v>270</v>
      </c>
      <c r="B576" s="78" t="s">
        <v>100</v>
      </c>
      <c r="C576" s="78" t="s">
        <v>101</v>
      </c>
      <c r="D576" s="78" t="s">
        <v>618</v>
      </c>
    </row>
    <row r="577" spans="1:4" s="78" customFormat="1" x14ac:dyDescent="0.2">
      <c r="A577" s="78" t="s">
        <v>271</v>
      </c>
      <c r="B577" s="78" t="s">
        <v>272</v>
      </c>
      <c r="C577" s="78" t="s">
        <v>273</v>
      </c>
      <c r="D577" s="78" t="s">
        <v>669</v>
      </c>
    </row>
    <row r="578" spans="1:4" s="78" customFormat="1" x14ac:dyDescent="0.2">
      <c r="A578" s="78" t="s">
        <v>274</v>
      </c>
      <c r="B578" s="78" t="s">
        <v>100</v>
      </c>
      <c r="C578" s="78" t="s">
        <v>101</v>
      </c>
      <c r="D578" s="78" t="s">
        <v>618</v>
      </c>
    </row>
    <row r="579" spans="1:4" s="78" customFormat="1" x14ac:dyDescent="0.2">
      <c r="A579" s="78" t="s">
        <v>275</v>
      </c>
      <c r="B579" s="78" t="s">
        <v>229</v>
      </c>
      <c r="C579" s="78" t="s">
        <v>230</v>
      </c>
      <c r="D579" s="78" t="s">
        <v>658</v>
      </c>
    </row>
    <row r="580" spans="1:4" s="78" customFormat="1" x14ac:dyDescent="0.2">
      <c r="A580" s="78" t="s">
        <v>276</v>
      </c>
      <c r="B580" s="78" t="s">
        <v>106</v>
      </c>
      <c r="C580" s="78" t="s">
        <v>107</v>
      </c>
      <c r="D580" s="78" t="s">
        <v>620</v>
      </c>
    </row>
    <row r="581" spans="1:4" s="78" customFormat="1" x14ac:dyDescent="0.2">
      <c r="A581" s="78" t="s">
        <v>277</v>
      </c>
      <c r="B581" s="78" t="s">
        <v>100</v>
      </c>
      <c r="C581" s="78" t="s">
        <v>101</v>
      </c>
      <c r="D581" s="78" t="s">
        <v>618</v>
      </c>
    </row>
    <row r="582" spans="1:4" s="78" customFormat="1" x14ac:dyDescent="0.2">
      <c r="A582" s="78" t="s">
        <v>278</v>
      </c>
      <c r="B582" s="78" t="s">
        <v>97</v>
      </c>
      <c r="C582" s="78" t="s">
        <v>98</v>
      </c>
      <c r="D582" s="78" t="s">
        <v>617</v>
      </c>
    </row>
    <row r="583" spans="1:4" s="78" customFormat="1" x14ac:dyDescent="0.2">
      <c r="A583" s="78" t="s">
        <v>279</v>
      </c>
      <c r="B583" s="78" t="s">
        <v>280</v>
      </c>
      <c r="C583" s="78" t="s">
        <v>281</v>
      </c>
      <c r="D583" s="78" t="s">
        <v>670</v>
      </c>
    </row>
    <row r="584" spans="1:4" s="78" customFormat="1" x14ac:dyDescent="0.2">
      <c r="A584" s="78" t="s">
        <v>282</v>
      </c>
      <c r="B584" s="78" t="s">
        <v>283</v>
      </c>
      <c r="C584" s="78" t="s">
        <v>284</v>
      </c>
      <c r="D584" s="78" t="s">
        <v>671</v>
      </c>
    </row>
    <row r="585" spans="1:4" s="78" customFormat="1" x14ac:dyDescent="0.2">
      <c r="A585" s="78" t="s">
        <v>285</v>
      </c>
      <c r="B585" s="78" t="s">
        <v>145</v>
      </c>
      <c r="C585" s="78" t="s">
        <v>146</v>
      </c>
      <c r="D585" s="78" t="s">
        <v>632</v>
      </c>
    </row>
    <row r="586" spans="1:4" s="78" customFormat="1" x14ac:dyDescent="0.2">
      <c r="A586" s="78" t="s">
        <v>286</v>
      </c>
      <c r="B586" s="78" t="s">
        <v>287</v>
      </c>
      <c r="C586" s="78" t="s">
        <v>288</v>
      </c>
      <c r="D586" s="78" t="s">
        <v>672</v>
      </c>
    </row>
    <row r="587" spans="1:4" s="78" customFormat="1" x14ac:dyDescent="0.2">
      <c r="A587" s="78" t="s">
        <v>289</v>
      </c>
      <c r="B587" s="78" t="s">
        <v>290</v>
      </c>
      <c r="C587" s="78" t="s">
        <v>291</v>
      </c>
      <c r="D587" s="78" t="s">
        <v>673</v>
      </c>
    </row>
    <row r="588" spans="1:4" s="78" customFormat="1" x14ac:dyDescent="0.2">
      <c r="A588" s="78" t="s">
        <v>292</v>
      </c>
      <c r="B588" s="78" t="s">
        <v>293</v>
      </c>
      <c r="C588" s="78" t="s">
        <v>294</v>
      </c>
      <c r="D588" s="78" t="s">
        <v>674</v>
      </c>
    </row>
    <row r="589" spans="1:4" s="78" customFormat="1" x14ac:dyDescent="0.2">
      <c r="A589" s="78" t="s">
        <v>295</v>
      </c>
      <c r="B589" s="78" t="s">
        <v>296</v>
      </c>
      <c r="C589" s="78" t="s">
        <v>297</v>
      </c>
      <c r="D589" s="78" t="s">
        <v>675</v>
      </c>
    </row>
    <row r="590" spans="1:4" s="78" customFormat="1" x14ac:dyDescent="0.2">
      <c r="A590" s="78" t="s">
        <v>298</v>
      </c>
      <c r="B590" s="78" t="s">
        <v>299</v>
      </c>
      <c r="C590" s="78" t="s">
        <v>300</v>
      </c>
      <c r="D590" s="78" t="s">
        <v>676</v>
      </c>
    </row>
    <row r="591" spans="1:4" s="78" customFormat="1" x14ac:dyDescent="0.2">
      <c r="A591" s="78" t="s">
        <v>301</v>
      </c>
      <c r="B591" s="78" t="s">
        <v>302</v>
      </c>
      <c r="C591" s="78" t="s">
        <v>303</v>
      </c>
      <c r="D591" s="78" t="s">
        <v>677</v>
      </c>
    </row>
    <row r="592" spans="1:4" s="78" customFormat="1" x14ac:dyDescent="0.2">
      <c r="A592" s="78" t="s">
        <v>304</v>
      </c>
      <c r="B592" s="78" t="s">
        <v>305</v>
      </c>
      <c r="C592" s="78" t="s">
        <v>306</v>
      </c>
      <c r="D592" s="78" t="s">
        <v>678</v>
      </c>
    </row>
    <row r="593" spans="1:4" s="78" customFormat="1" x14ac:dyDescent="0.2">
      <c r="A593" s="78" t="s">
        <v>307</v>
      </c>
      <c r="B593" s="78" t="s">
        <v>308</v>
      </c>
      <c r="C593" s="78" t="s">
        <v>309</v>
      </c>
      <c r="D593" s="78" t="s">
        <v>679</v>
      </c>
    </row>
    <row r="594" spans="1:4" s="78" customFormat="1" x14ac:dyDescent="0.2">
      <c r="A594" s="78" t="s">
        <v>310</v>
      </c>
      <c r="B594" s="78" t="s">
        <v>311</v>
      </c>
      <c r="C594" s="78" t="s">
        <v>312</v>
      </c>
      <c r="D594" s="78" t="s">
        <v>680</v>
      </c>
    </row>
    <row r="595" spans="1:4" s="78" customFormat="1" x14ac:dyDescent="0.2">
      <c r="A595" s="78" t="s">
        <v>313</v>
      </c>
      <c r="B595" s="78" t="s">
        <v>314</v>
      </c>
      <c r="C595" s="78" t="s">
        <v>315</v>
      </c>
      <c r="D595" s="78" t="s">
        <v>681</v>
      </c>
    </row>
    <row r="596" spans="1:4" s="78" customFormat="1" x14ac:dyDescent="0.2">
      <c r="A596" s="78" t="s">
        <v>316</v>
      </c>
      <c r="B596" s="78" t="s">
        <v>100</v>
      </c>
      <c r="C596" s="78" t="s">
        <v>101</v>
      </c>
      <c r="D596" s="78" t="s">
        <v>618</v>
      </c>
    </row>
    <row r="597" spans="1:4" s="78" customFormat="1" x14ac:dyDescent="0.2">
      <c r="A597" s="78" t="s">
        <v>317</v>
      </c>
      <c r="B597" s="78" t="s">
        <v>318</v>
      </c>
      <c r="C597" s="78" t="s">
        <v>319</v>
      </c>
      <c r="D597" s="78" t="s">
        <v>682</v>
      </c>
    </row>
    <row r="598" spans="1:4" s="78" customFormat="1" x14ac:dyDescent="0.2">
      <c r="A598" s="78" t="s">
        <v>320</v>
      </c>
      <c r="B598" s="78" t="s">
        <v>100</v>
      </c>
      <c r="C598" s="78" t="s">
        <v>101</v>
      </c>
      <c r="D598" s="78" t="s">
        <v>618</v>
      </c>
    </row>
    <row r="599" spans="1:4" s="78" customFormat="1" x14ac:dyDescent="0.2">
      <c r="A599" s="78" t="s">
        <v>321</v>
      </c>
      <c r="B599" s="78" t="s">
        <v>322</v>
      </c>
      <c r="C599" s="78" t="s">
        <v>323</v>
      </c>
      <c r="D599" s="78" t="s">
        <v>683</v>
      </c>
    </row>
    <row r="600" spans="1:4" s="78" customFormat="1" x14ac:dyDescent="0.2">
      <c r="A600" s="78" t="s">
        <v>324</v>
      </c>
      <c r="B600" s="78" t="s">
        <v>325</v>
      </c>
      <c r="C600" s="78" t="s">
        <v>326</v>
      </c>
      <c r="D600" s="78" t="s">
        <v>684</v>
      </c>
    </row>
    <row r="601" spans="1:4" s="78" customFormat="1" x14ac:dyDescent="0.2">
      <c r="A601" s="78" t="s">
        <v>327</v>
      </c>
      <c r="B601" s="78" t="s">
        <v>328</v>
      </c>
      <c r="C601" s="78" t="s">
        <v>329</v>
      </c>
      <c r="D601" s="78" t="s">
        <v>685</v>
      </c>
    </row>
    <row r="602" spans="1:4" s="78" customFormat="1" x14ac:dyDescent="0.2">
      <c r="A602" s="78" t="s">
        <v>330</v>
      </c>
      <c r="B602" s="78" t="s">
        <v>331</v>
      </c>
      <c r="C602" s="78" t="s">
        <v>332</v>
      </c>
      <c r="D602" s="78" t="s">
        <v>686</v>
      </c>
    </row>
    <row r="603" spans="1:4" s="78" customFormat="1" x14ac:dyDescent="0.2">
      <c r="A603" s="78" t="s">
        <v>333</v>
      </c>
      <c r="B603" s="78" t="s">
        <v>334</v>
      </c>
      <c r="C603" s="78" t="s">
        <v>335</v>
      </c>
      <c r="D603" s="78" t="s">
        <v>687</v>
      </c>
    </row>
    <row r="604" spans="1:4" s="78" customFormat="1" x14ac:dyDescent="0.2">
      <c r="A604" s="78" t="s">
        <v>336</v>
      </c>
      <c r="B604" s="78" t="s">
        <v>119</v>
      </c>
      <c r="C604" s="78" t="s">
        <v>120</v>
      </c>
      <c r="D604" s="78" t="s">
        <v>624</v>
      </c>
    </row>
    <row r="605" spans="1:4" s="78" customFormat="1" x14ac:dyDescent="0.2">
      <c r="A605" s="78" t="s">
        <v>337</v>
      </c>
      <c r="B605" s="78" t="s">
        <v>338</v>
      </c>
      <c r="C605" s="78" t="s">
        <v>339</v>
      </c>
      <c r="D605" s="78" t="s">
        <v>688</v>
      </c>
    </row>
    <row r="606" spans="1:4" s="78" customFormat="1" x14ac:dyDescent="0.2">
      <c r="A606" s="78" t="s">
        <v>340</v>
      </c>
      <c r="B606" s="78" t="s">
        <v>341</v>
      </c>
      <c r="C606" s="78" t="s">
        <v>342</v>
      </c>
      <c r="D606" s="78" t="s">
        <v>689</v>
      </c>
    </row>
    <row r="607" spans="1:4" s="78" customFormat="1" x14ac:dyDescent="0.2">
      <c r="A607" s="78" t="s">
        <v>343</v>
      </c>
      <c r="B607" s="78" t="s">
        <v>344</v>
      </c>
      <c r="C607" s="78" t="s">
        <v>345</v>
      </c>
      <c r="D607" s="78" t="s">
        <v>690</v>
      </c>
    </row>
    <row r="608" spans="1:4" s="78" customFormat="1" x14ac:dyDescent="0.2">
      <c r="A608" s="78" t="s">
        <v>346</v>
      </c>
      <c r="B608" s="78" t="s">
        <v>347</v>
      </c>
      <c r="C608" s="78" t="s">
        <v>348</v>
      </c>
      <c r="D608" s="78" t="s">
        <v>691</v>
      </c>
    </row>
    <row r="609" spans="1:4" s="78" customFormat="1" x14ac:dyDescent="0.2">
      <c r="A609" s="78" t="s">
        <v>349</v>
      </c>
      <c r="B609" s="78" t="s">
        <v>350</v>
      </c>
      <c r="C609" s="78" t="s">
        <v>351</v>
      </c>
      <c r="D609" s="78" t="s">
        <v>692</v>
      </c>
    </row>
    <row r="610" spans="1:4" s="78" customFormat="1" x14ac:dyDescent="0.2">
      <c r="A610" s="78" t="s">
        <v>352</v>
      </c>
      <c r="B610" s="78" t="s">
        <v>353</v>
      </c>
      <c r="C610" s="78" t="s">
        <v>354</v>
      </c>
      <c r="D610" s="78" t="s">
        <v>693</v>
      </c>
    </row>
    <row r="611" spans="1:4" s="78" customFormat="1" x14ac:dyDescent="0.2">
      <c r="A611" s="78" t="s">
        <v>355</v>
      </c>
      <c r="B611" s="78" t="s">
        <v>356</v>
      </c>
      <c r="C611" s="78" t="s">
        <v>357</v>
      </c>
      <c r="D611" s="78" t="s">
        <v>694</v>
      </c>
    </row>
    <row r="612" spans="1:4" s="78" customFormat="1" x14ac:dyDescent="0.2">
      <c r="A612" s="78" t="s">
        <v>358</v>
      </c>
      <c r="B612" s="78" t="s">
        <v>359</v>
      </c>
      <c r="C612" s="78" t="s">
        <v>360</v>
      </c>
      <c r="D612" s="78" t="s">
        <v>695</v>
      </c>
    </row>
    <row r="613" spans="1:4" s="78" customFormat="1" x14ac:dyDescent="0.2">
      <c r="A613" s="78" t="s">
        <v>361</v>
      </c>
      <c r="B613" s="78" t="s">
        <v>362</v>
      </c>
      <c r="C613" s="78" t="s">
        <v>363</v>
      </c>
      <c r="D613" s="78" t="s">
        <v>696</v>
      </c>
    </row>
    <row r="614" spans="1:4" s="78" customFormat="1" x14ac:dyDescent="0.2">
      <c r="A614" s="78" t="s">
        <v>364</v>
      </c>
      <c r="B614" s="78" t="s">
        <v>365</v>
      </c>
      <c r="C614" s="78" t="s">
        <v>366</v>
      </c>
      <c r="D614" s="78" t="s">
        <v>697</v>
      </c>
    </row>
    <row r="615" spans="1:4" s="78" customFormat="1" x14ac:dyDescent="0.2">
      <c r="A615" s="78" t="s">
        <v>367</v>
      </c>
      <c r="B615" s="78" t="s">
        <v>100</v>
      </c>
      <c r="C615" s="78" t="s">
        <v>101</v>
      </c>
      <c r="D615" s="78" t="s">
        <v>618</v>
      </c>
    </row>
    <row r="616" spans="1:4" s="78" customFormat="1" x14ac:dyDescent="0.2">
      <c r="A616" s="78" t="s">
        <v>368</v>
      </c>
      <c r="B616" s="78" t="s">
        <v>369</v>
      </c>
      <c r="C616" s="78" t="s">
        <v>370</v>
      </c>
      <c r="D616" s="78" t="s">
        <v>698</v>
      </c>
    </row>
    <row r="617" spans="1:4" s="78" customFormat="1" x14ac:dyDescent="0.2">
      <c r="A617" s="78" t="s">
        <v>371</v>
      </c>
      <c r="B617" s="78" t="s">
        <v>372</v>
      </c>
      <c r="C617" s="78" t="s">
        <v>373</v>
      </c>
      <c r="D617" s="78" t="s">
        <v>699</v>
      </c>
    </row>
    <row r="618" spans="1:4" s="78" customFormat="1" x14ac:dyDescent="0.2">
      <c r="A618" s="78" t="s">
        <v>374</v>
      </c>
      <c r="B618" s="78" t="s">
        <v>375</v>
      </c>
      <c r="C618" s="78" t="s">
        <v>376</v>
      </c>
      <c r="D618" s="78" t="s">
        <v>700</v>
      </c>
    </row>
    <row r="619" spans="1:4" s="78" customFormat="1" x14ac:dyDescent="0.2">
      <c r="A619" s="78" t="s">
        <v>377</v>
      </c>
      <c r="B619" s="78" t="s">
        <v>378</v>
      </c>
      <c r="C619" s="78" t="s">
        <v>379</v>
      </c>
      <c r="D619" s="78" t="s">
        <v>701</v>
      </c>
    </row>
    <row r="620" spans="1:4" s="78" customFormat="1" x14ac:dyDescent="0.2">
      <c r="A620" s="78" t="s">
        <v>380</v>
      </c>
      <c r="B620" s="78" t="s">
        <v>381</v>
      </c>
      <c r="C620" s="78" t="s">
        <v>382</v>
      </c>
      <c r="D620" s="78" t="s">
        <v>702</v>
      </c>
    </row>
    <row r="621" spans="1:4" s="78" customFormat="1" x14ac:dyDescent="0.2">
      <c r="A621" s="78" t="s">
        <v>383</v>
      </c>
      <c r="B621" s="78" t="s">
        <v>145</v>
      </c>
      <c r="C621" s="78" t="s">
        <v>146</v>
      </c>
      <c r="D621" s="78" t="s">
        <v>632</v>
      </c>
    </row>
    <row r="622" spans="1:4" s="78" customFormat="1" x14ac:dyDescent="0.2">
      <c r="A622" s="78" t="s">
        <v>384</v>
      </c>
      <c r="B622" s="78" t="s">
        <v>100</v>
      </c>
      <c r="C622" s="78" t="s">
        <v>101</v>
      </c>
      <c r="D622" s="78" t="s">
        <v>618</v>
      </c>
    </row>
    <row r="623" spans="1:4" s="78" customFormat="1" x14ac:dyDescent="0.2">
      <c r="A623" s="78" t="s">
        <v>385</v>
      </c>
      <c r="B623" s="78" t="s">
        <v>97</v>
      </c>
      <c r="C623" s="78" t="s">
        <v>98</v>
      </c>
      <c r="D623" s="78" t="s">
        <v>617</v>
      </c>
    </row>
    <row r="624" spans="1:4" s="78" customFormat="1" x14ac:dyDescent="0.2">
      <c r="A624" s="78" t="s">
        <v>386</v>
      </c>
      <c r="B624" s="78" t="s">
        <v>100</v>
      </c>
      <c r="C624" s="78" t="s">
        <v>101</v>
      </c>
      <c r="D624" s="78" t="s">
        <v>618</v>
      </c>
    </row>
    <row r="625" spans="1:4" s="78" customFormat="1" x14ac:dyDescent="0.2">
      <c r="A625" s="78" t="s">
        <v>387</v>
      </c>
      <c r="B625" s="78" t="s">
        <v>388</v>
      </c>
      <c r="C625" s="78" t="s">
        <v>389</v>
      </c>
      <c r="D625" s="78" t="s">
        <v>703</v>
      </c>
    </row>
    <row r="626" spans="1:4" s="78" customFormat="1" x14ac:dyDescent="0.2">
      <c r="A626" s="78" t="s">
        <v>390</v>
      </c>
      <c r="B626" s="78" t="s">
        <v>391</v>
      </c>
      <c r="C626" s="78" t="s">
        <v>392</v>
      </c>
      <c r="D626" s="78" t="s">
        <v>704</v>
      </c>
    </row>
    <row r="627" spans="1:4" s="78" customFormat="1" x14ac:dyDescent="0.2">
      <c r="A627" s="78" t="s">
        <v>393</v>
      </c>
      <c r="B627" s="78" t="s">
        <v>394</v>
      </c>
      <c r="C627" s="78" t="s">
        <v>395</v>
      </c>
      <c r="D627" s="78" t="s">
        <v>705</v>
      </c>
    </row>
    <row r="628" spans="1:4" s="78" customFormat="1" x14ac:dyDescent="0.2">
      <c r="A628" s="78" t="s">
        <v>396</v>
      </c>
      <c r="B628" s="78" t="s">
        <v>97</v>
      </c>
      <c r="C628" s="78" t="s">
        <v>98</v>
      </c>
      <c r="D628" s="78" t="s">
        <v>617</v>
      </c>
    </row>
    <row r="629" spans="1:4" s="78" customFormat="1" x14ac:dyDescent="0.2">
      <c r="A629" s="78" t="s">
        <v>397</v>
      </c>
      <c r="B629" s="78" t="s">
        <v>100</v>
      </c>
      <c r="C629" s="78" t="s">
        <v>101</v>
      </c>
      <c r="D629" s="78" t="s">
        <v>618</v>
      </c>
    </row>
    <row r="630" spans="1:4" s="78" customFormat="1" x14ac:dyDescent="0.2">
      <c r="A630" s="78" t="s">
        <v>398</v>
      </c>
      <c r="B630" s="78" t="s">
        <v>399</v>
      </c>
      <c r="C630" s="78" t="s">
        <v>400</v>
      </c>
      <c r="D630" s="78" t="s">
        <v>706</v>
      </c>
    </row>
    <row r="631" spans="1:4" s="78" customFormat="1" x14ac:dyDescent="0.2">
      <c r="A631" s="78" t="s">
        <v>401</v>
      </c>
      <c r="B631" s="78" t="s">
        <v>100</v>
      </c>
      <c r="C631" s="78" t="s">
        <v>101</v>
      </c>
      <c r="D631" s="78" t="s">
        <v>618</v>
      </c>
    </row>
    <row r="632" spans="1:4" s="78" customFormat="1" x14ac:dyDescent="0.2">
      <c r="A632" s="78" t="s">
        <v>402</v>
      </c>
      <c r="B632" s="78" t="s">
        <v>106</v>
      </c>
      <c r="C632" s="78" t="s">
        <v>107</v>
      </c>
      <c r="D632" s="78" t="s">
        <v>620</v>
      </c>
    </row>
    <row r="633" spans="1:4" s="78" customFormat="1" x14ac:dyDescent="0.2">
      <c r="A633" s="78" t="s">
        <v>403</v>
      </c>
      <c r="B633" s="78" t="s">
        <v>404</v>
      </c>
      <c r="C633" s="78" t="s">
        <v>405</v>
      </c>
      <c r="D633" s="78" t="s">
        <v>707</v>
      </c>
    </row>
    <row r="634" spans="1:4" s="78" customFormat="1" x14ac:dyDescent="0.2">
      <c r="A634" s="78" t="s">
        <v>406</v>
      </c>
      <c r="B634" s="78" t="s">
        <v>407</v>
      </c>
      <c r="C634" s="78" t="s">
        <v>408</v>
      </c>
      <c r="D634" s="78" t="s">
        <v>708</v>
      </c>
    </row>
    <row r="635" spans="1:4" s="78" customFormat="1" x14ac:dyDescent="0.2">
      <c r="A635" s="78" t="s">
        <v>409</v>
      </c>
      <c r="B635" s="78" t="s">
        <v>410</v>
      </c>
      <c r="C635" s="78" t="s">
        <v>411</v>
      </c>
      <c r="D635" s="78" t="s">
        <v>709</v>
      </c>
    </row>
    <row r="636" spans="1:4" s="78" customFormat="1" x14ac:dyDescent="0.2">
      <c r="A636" s="78" t="s">
        <v>412</v>
      </c>
      <c r="B636" s="78" t="s">
        <v>413</v>
      </c>
      <c r="C636" s="78" t="s">
        <v>414</v>
      </c>
      <c r="D636" s="78" t="s">
        <v>710</v>
      </c>
    </row>
    <row r="637" spans="1:4" s="78" customFormat="1" x14ac:dyDescent="0.2">
      <c r="A637" s="78" t="s">
        <v>415</v>
      </c>
      <c r="B637" s="78" t="s">
        <v>119</v>
      </c>
      <c r="C637" s="78" t="s">
        <v>120</v>
      </c>
      <c r="D637" s="78" t="s">
        <v>624</v>
      </c>
    </row>
    <row r="638" spans="1:4" s="78" customFormat="1" x14ac:dyDescent="0.2">
      <c r="A638" s="78" t="s">
        <v>416</v>
      </c>
      <c r="B638" s="78" t="s">
        <v>417</v>
      </c>
      <c r="C638" s="78" t="s">
        <v>418</v>
      </c>
      <c r="D638" s="78" t="s">
        <v>711</v>
      </c>
    </row>
    <row r="639" spans="1:4" s="78" customFormat="1" x14ac:dyDescent="0.2">
      <c r="A639" s="78" t="s">
        <v>419</v>
      </c>
      <c r="B639" s="78" t="s">
        <v>100</v>
      </c>
      <c r="C639" s="78" t="s">
        <v>101</v>
      </c>
      <c r="D639" s="78" t="s">
        <v>618</v>
      </c>
    </row>
    <row r="640" spans="1:4" s="78" customFormat="1" x14ac:dyDescent="0.2">
      <c r="A640" s="78" t="s">
        <v>420</v>
      </c>
      <c r="B640" s="78" t="s">
        <v>421</v>
      </c>
      <c r="C640" s="78" t="s">
        <v>422</v>
      </c>
      <c r="D640" s="78" t="s">
        <v>712</v>
      </c>
    </row>
    <row r="641" spans="1:4" s="78" customFormat="1" x14ac:dyDescent="0.2">
      <c r="A641" s="78" t="s">
        <v>423</v>
      </c>
      <c r="B641" s="78" t="s">
        <v>261</v>
      </c>
      <c r="C641" s="78" t="s">
        <v>262</v>
      </c>
      <c r="D641" s="78" t="s">
        <v>666</v>
      </c>
    </row>
    <row r="642" spans="1:4" s="78" customFormat="1" x14ac:dyDescent="0.2">
      <c r="A642" s="78" t="s">
        <v>424</v>
      </c>
      <c r="B642" s="78" t="s">
        <v>209</v>
      </c>
      <c r="C642" s="78" t="s">
        <v>210</v>
      </c>
      <c r="D642" s="78" t="s">
        <v>652</v>
      </c>
    </row>
    <row r="643" spans="1:4" s="78" customFormat="1" x14ac:dyDescent="0.2">
      <c r="A643" s="78" t="s">
        <v>425</v>
      </c>
      <c r="B643" s="78" t="s">
        <v>426</v>
      </c>
      <c r="C643" s="78" t="s">
        <v>427</v>
      </c>
      <c r="D643" s="78" t="s">
        <v>713</v>
      </c>
    </row>
    <row r="644" spans="1:4" s="78" customFormat="1" x14ac:dyDescent="0.2">
      <c r="A644" s="78" t="s">
        <v>428</v>
      </c>
      <c r="B644" s="78" t="s">
        <v>145</v>
      </c>
      <c r="C644" s="78" t="s">
        <v>146</v>
      </c>
      <c r="D644" s="78" t="s">
        <v>632</v>
      </c>
    </row>
    <row r="645" spans="1:4" s="78" customFormat="1" x14ac:dyDescent="0.2">
      <c r="A645" s="78" t="s">
        <v>429</v>
      </c>
      <c r="B645" s="78" t="s">
        <v>430</v>
      </c>
      <c r="C645" s="78" t="s">
        <v>431</v>
      </c>
      <c r="D645" s="78" t="s">
        <v>714</v>
      </c>
    </row>
    <row r="646" spans="1:4" s="78" customFormat="1" x14ac:dyDescent="0.2">
      <c r="A646" s="78" t="s">
        <v>432</v>
      </c>
      <c r="B646" s="78" t="s">
        <v>209</v>
      </c>
      <c r="C646" s="78" t="s">
        <v>210</v>
      </c>
      <c r="D646" s="78" t="s">
        <v>652</v>
      </c>
    </row>
    <row r="647" spans="1:4" s="78" customFormat="1" x14ac:dyDescent="0.2">
      <c r="A647" s="78" t="s">
        <v>433</v>
      </c>
      <c r="B647" s="78" t="s">
        <v>97</v>
      </c>
      <c r="C647" s="78" t="s">
        <v>98</v>
      </c>
      <c r="D647" s="78" t="s">
        <v>617</v>
      </c>
    </row>
    <row r="648" spans="1:4" s="78" customFormat="1" x14ac:dyDescent="0.2">
      <c r="A648" s="78" t="s">
        <v>434</v>
      </c>
      <c r="B648" s="78" t="s">
        <v>435</v>
      </c>
      <c r="C648" s="78" t="s">
        <v>436</v>
      </c>
      <c r="D648" s="78" t="s">
        <v>715</v>
      </c>
    </row>
    <row r="649" spans="1:4" s="78" customFormat="1" x14ac:dyDescent="0.2">
      <c r="A649" s="78" t="s">
        <v>437</v>
      </c>
      <c r="B649" s="78" t="s">
        <v>438</v>
      </c>
      <c r="C649" s="78" t="s">
        <v>439</v>
      </c>
      <c r="D649" s="78" t="s">
        <v>716</v>
      </c>
    </row>
    <row r="650" spans="1:4" s="78" customFormat="1" x14ac:dyDescent="0.2">
      <c r="A650" s="78" t="s">
        <v>440</v>
      </c>
      <c r="B650" s="78" t="s">
        <v>441</v>
      </c>
      <c r="C650" s="78" t="s">
        <v>442</v>
      </c>
      <c r="D650" s="78" t="s">
        <v>717</v>
      </c>
    </row>
    <row r="651" spans="1:4" s="78" customFormat="1" x14ac:dyDescent="0.2">
      <c r="A651" s="78" t="s">
        <v>443</v>
      </c>
      <c r="B651" s="78" t="s">
        <v>97</v>
      </c>
      <c r="C651" s="78" t="s">
        <v>98</v>
      </c>
      <c r="D651" s="78" t="s">
        <v>617</v>
      </c>
    </row>
    <row r="652" spans="1:4" s="78" customFormat="1" x14ac:dyDescent="0.2">
      <c r="A652" s="78" t="s">
        <v>444</v>
      </c>
      <c r="B652" s="78" t="s">
        <v>445</v>
      </c>
      <c r="C652" s="78" t="s">
        <v>446</v>
      </c>
      <c r="D652" s="78" t="s">
        <v>718</v>
      </c>
    </row>
    <row r="653" spans="1:4" s="78" customFormat="1" x14ac:dyDescent="0.2">
      <c r="A653" s="78" t="s">
        <v>447</v>
      </c>
      <c r="B653" s="78" t="s">
        <v>448</v>
      </c>
      <c r="C653" s="78" t="s">
        <v>449</v>
      </c>
      <c r="D653" s="78" t="s">
        <v>719</v>
      </c>
    </row>
    <row r="654" spans="1:4" s="78" customFormat="1" x14ac:dyDescent="0.2">
      <c r="A654" s="78" t="s">
        <v>450</v>
      </c>
      <c r="B654" s="78" t="s">
        <v>451</v>
      </c>
      <c r="C654" s="78" t="s">
        <v>452</v>
      </c>
      <c r="D654" s="78" t="s">
        <v>720</v>
      </c>
    </row>
    <row r="655" spans="1:4" s="78" customFormat="1" x14ac:dyDescent="0.2">
      <c r="A655" s="78" t="s">
        <v>453</v>
      </c>
      <c r="B655" s="78" t="s">
        <v>454</v>
      </c>
      <c r="C655" s="78" t="s">
        <v>455</v>
      </c>
      <c r="D655" s="78" t="s">
        <v>721</v>
      </c>
    </row>
    <row r="656" spans="1:4" s="78" customFormat="1" x14ac:dyDescent="0.2">
      <c r="A656" s="78" t="s">
        <v>456</v>
      </c>
      <c r="B656" s="78" t="s">
        <v>457</v>
      </c>
      <c r="C656" s="78" t="s">
        <v>458</v>
      </c>
      <c r="D656" s="78" t="s">
        <v>722</v>
      </c>
    </row>
    <row r="657" spans="1:4" s="78" customFormat="1" x14ac:dyDescent="0.2">
      <c r="A657" s="78" t="s">
        <v>459</v>
      </c>
      <c r="B657" s="78" t="s">
        <v>460</v>
      </c>
      <c r="C657" s="78" t="s">
        <v>461</v>
      </c>
      <c r="D657" s="78" t="s">
        <v>723</v>
      </c>
    </row>
    <row r="658" spans="1:4" s="78" customFormat="1" x14ac:dyDescent="0.2">
      <c r="A658" s="78" t="s">
        <v>462</v>
      </c>
      <c r="B658" s="78" t="s">
        <v>100</v>
      </c>
      <c r="C658" s="78" t="s">
        <v>101</v>
      </c>
      <c r="D658" s="78" t="s">
        <v>618</v>
      </c>
    </row>
    <row r="659" spans="1:4" s="78" customFormat="1" x14ac:dyDescent="0.2">
      <c r="A659" s="78" t="s">
        <v>463</v>
      </c>
      <c r="B659" s="78" t="s">
        <v>97</v>
      </c>
      <c r="C659" s="78" t="s">
        <v>98</v>
      </c>
      <c r="D659" s="78" t="s">
        <v>617</v>
      </c>
    </row>
    <row r="660" spans="1:4" s="78" customFormat="1" x14ac:dyDescent="0.2">
      <c r="A660" s="78" t="s">
        <v>464</v>
      </c>
      <c r="B660" s="78" t="s">
        <v>465</v>
      </c>
      <c r="C660" s="78" t="s">
        <v>466</v>
      </c>
      <c r="D660" s="78" t="s">
        <v>724</v>
      </c>
    </row>
    <row r="661" spans="1:4" s="78" customFormat="1" x14ac:dyDescent="0.2">
      <c r="A661" s="78" t="s">
        <v>467</v>
      </c>
      <c r="B661" s="78" t="s">
        <v>468</v>
      </c>
      <c r="C661" s="78" t="s">
        <v>469</v>
      </c>
      <c r="D661" s="78" t="s">
        <v>725</v>
      </c>
    </row>
    <row r="662" spans="1:4" s="78" customFormat="1" x14ac:dyDescent="0.2">
      <c r="A662" s="78" t="s">
        <v>470</v>
      </c>
      <c r="B662" s="78" t="s">
        <v>471</v>
      </c>
      <c r="C662" s="78" t="s">
        <v>472</v>
      </c>
      <c r="D662" s="78" t="s">
        <v>726</v>
      </c>
    </row>
    <row r="663" spans="1:4" s="78" customFormat="1" x14ac:dyDescent="0.2">
      <c r="A663" s="78" t="s">
        <v>473</v>
      </c>
      <c r="B663" s="78" t="s">
        <v>474</v>
      </c>
      <c r="C663" s="78" t="s">
        <v>475</v>
      </c>
      <c r="D663" s="78" t="s">
        <v>727</v>
      </c>
    </row>
    <row r="664" spans="1:4" s="78" customFormat="1" x14ac:dyDescent="0.2">
      <c r="A664" s="78" t="s">
        <v>476</v>
      </c>
      <c r="B664" s="78" t="s">
        <v>100</v>
      </c>
      <c r="C664" s="78" t="s">
        <v>101</v>
      </c>
      <c r="D664" s="78" t="s">
        <v>618</v>
      </c>
    </row>
    <row r="665" spans="1:4" s="78" customFormat="1" x14ac:dyDescent="0.2">
      <c r="A665" s="78" t="s">
        <v>477</v>
      </c>
      <c r="B665" s="78" t="s">
        <v>478</v>
      </c>
      <c r="C665" s="78" t="s">
        <v>479</v>
      </c>
      <c r="D665" s="78" t="s">
        <v>728</v>
      </c>
    </row>
    <row r="666" spans="1:4" s="78" customFormat="1" x14ac:dyDescent="0.2">
      <c r="A666" s="78" t="s">
        <v>480</v>
      </c>
      <c r="B666" s="78" t="s">
        <v>481</v>
      </c>
      <c r="C666" s="78" t="s">
        <v>482</v>
      </c>
      <c r="D666" s="78" t="s">
        <v>729</v>
      </c>
    </row>
    <row r="667" spans="1:4" s="78" customFormat="1" x14ac:dyDescent="0.2">
      <c r="A667" s="78" t="s">
        <v>483</v>
      </c>
      <c r="B667" s="78" t="s">
        <v>484</v>
      </c>
      <c r="C667" s="78" t="s">
        <v>485</v>
      </c>
      <c r="D667" s="78" t="s">
        <v>730</v>
      </c>
    </row>
    <row r="668" spans="1:4" s="78" customFormat="1" x14ac:dyDescent="0.2">
      <c r="A668" s="78" t="s">
        <v>486</v>
      </c>
      <c r="B668" s="78" t="s">
        <v>487</v>
      </c>
      <c r="C668" s="78" t="s">
        <v>488</v>
      </c>
      <c r="D668" s="78" t="s">
        <v>731</v>
      </c>
    </row>
    <row r="669" spans="1:4" s="78" customFormat="1" x14ac:dyDescent="0.2">
      <c r="A669" s="78" t="s">
        <v>489</v>
      </c>
      <c r="B669" s="78" t="s">
        <v>106</v>
      </c>
      <c r="C669" s="78" t="s">
        <v>107</v>
      </c>
      <c r="D669" s="78" t="s">
        <v>620</v>
      </c>
    </row>
    <row r="670" spans="1:4" s="78" customFormat="1" x14ac:dyDescent="0.2">
      <c r="A670" s="78" t="s">
        <v>490</v>
      </c>
      <c r="B670" s="78" t="s">
        <v>106</v>
      </c>
      <c r="C670" s="78" t="s">
        <v>107</v>
      </c>
      <c r="D670" s="78" t="s">
        <v>620</v>
      </c>
    </row>
    <row r="671" spans="1:4" s="78" customFormat="1" x14ac:dyDescent="0.2">
      <c r="A671" s="78" t="s">
        <v>491</v>
      </c>
      <c r="B671" s="78" t="s">
        <v>492</v>
      </c>
      <c r="C671" s="78" t="s">
        <v>493</v>
      </c>
      <c r="D671" s="78" t="s">
        <v>732</v>
      </c>
    </row>
    <row r="672" spans="1:4" s="78" customFormat="1" x14ac:dyDescent="0.2">
      <c r="A672" s="78" t="s">
        <v>494</v>
      </c>
      <c r="B672" s="78" t="s">
        <v>100</v>
      </c>
      <c r="C672" s="78" t="s">
        <v>101</v>
      </c>
      <c r="D672" s="78" t="s">
        <v>618</v>
      </c>
    </row>
    <row r="673" spans="1:4" s="78" customFormat="1" x14ac:dyDescent="0.2">
      <c r="A673" s="78" t="s">
        <v>495</v>
      </c>
      <c r="B673" s="78" t="s">
        <v>496</v>
      </c>
      <c r="C673" s="78" t="s">
        <v>497</v>
      </c>
      <c r="D673" s="78" t="s">
        <v>733</v>
      </c>
    </row>
    <row r="674" spans="1:4" s="78" customFormat="1" x14ac:dyDescent="0.2">
      <c r="A674" s="78" t="s">
        <v>498</v>
      </c>
      <c r="B674" s="78" t="s">
        <v>499</v>
      </c>
      <c r="C674" s="78" t="s">
        <v>500</v>
      </c>
      <c r="D674" s="78" t="s">
        <v>734</v>
      </c>
    </row>
    <row r="675" spans="1:4" s="78" customFormat="1" x14ac:dyDescent="0.2">
      <c r="A675" s="78" t="s">
        <v>501</v>
      </c>
      <c r="B675" s="78" t="s">
        <v>145</v>
      </c>
      <c r="C675" s="78" t="s">
        <v>146</v>
      </c>
      <c r="D675" s="78" t="s">
        <v>632</v>
      </c>
    </row>
    <row r="676" spans="1:4" s="78" customFormat="1" x14ac:dyDescent="0.2">
      <c r="A676" s="78" t="s">
        <v>502</v>
      </c>
      <c r="B676" s="78" t="s">
        <v>503</v>
      </c>
      <c r="C676" s="78" t="s">
        <v>504</v>
      </c>
      <c r="D676" s="78" t="s">
        <v>735</v>
      </c>
    </row>
    <row r="677" spans="1:4" s="78" customFormat="1" x14ac:dyDescent="0.2">
      <c r="A677" s="78" t="s">
        <v>505</v>
      </c>
      <c r="B677" s="78" t="s">
        <v>506</v>
      </c>
      <c r="C677" s="78" t="s">
        <v>507</v>
      </c>
      <c r="D677" s="78" t="s">
        <v>736</v>
      </c>
    </row>
    <row r="678" spans="1:4" s="78" customFormat="1" x14ac:dyDescent="0.2">
      <c r="A678" s="78" t="s">
        <v>508</v>
      </c>
      <c r="B678" s="78" t="s">
        <v>509</v>
      </c>
      <c r="C678" s="78" t="s">
        <v>510</v>
      </c>
      <c r="D678" s="78" t="s">
        <v>737</v>
      </c>
    </row>
    <row r="679" spans="1:4" s="78" customFormat="1" x14ac:dyDescent="0.2">
      <c r="A679" s="78" t="s">
        <v>511</v>
      </c>
      <c r="B679" s="78" t="s">
        <v>512</v>
      </c>
      <c r="C679" s="78" t="s">
        <v>513</v>
      </c>
      <c r="D679" s="78" t="s">
        <v>738</v>
      </c>
    </row>
    <row r="680" spans="1:4" s="78" customFormat="1" x14ac:dyDescent="0.2">
      <c r="A680" s="78" t="s">
        <v>514</v>
      </c>
      <c r="B680" s="78" t="s">
        <v>100</v>
      </c>
      <c r="C680" s="78" t="s">
        <v>101</v>
      </c>
      <c r="D680" s="78" t="s">
        <v>618</v>
      </c>
    </row>
    <row r="681" spans="1:4" s="78" customFormat="1" x14ac:dyDescent="0.2">
      <c r="A681" s="78" t="s">
        <v>515</v>
      </c>
      <c r="B681" s="78" t="s">
        <v>100</v>
      </c>
      <c r="C681" s="78" t="s">
        <v>101</v>
      </c>
      <c r="D681" s="78" t="s">
        <v>618</v>
      </c>
    </row>
    <row r="682" spans="1:4" s="78" customFormat="1" x14ac:dyDescent="0.2">
      <c r="A682" s="78" t="s">
        <v>516</v>
      </c>
      <c r="B682" s="78" t="s">
        <v>517</v>
      </c>
      <c r="C682" s="78" t="s">
        <v>518</v>
      </c>
      <c r="D682" s="78" t="s">
        <v>739</v>
      </c>
    </row>
    <row r="683" spans="1:4" s="78" customFormat="1" x14ac:dyDescent="0.2">
      <c r="A683" s="78" t="s">
        <v>519</v>
      </c>
      <c r="B683" s="78" t="s">
        <v>520</v>
      </c>
      <c r="C683" s="78" t="s">
        <v>521</v>
      </c>
      <c r="D683" s="78" t="s">
        <v>740</v>
      </c>
    </row>
    <row r="684" spans="1:4" s="78" customFormat="1" x14ac:dyDescent="0.2">
      <c r="A684" s="78" t="s">
        <v>522</v>
      </c>
      <c r="B684" s="78" t="s">
        <v>523</v>
      </c>
      <c r="C684" s="78" t="s">
        <v>524</v>
      </c>
      <c r="D684" s="78" t="s">
        <v>741</v>
      </c>
    </row>
    <row r="685" spans="1:4" s="78" customFormat="1" x14ac:dyDescent="0.2">
      <c r="A685" s="78" t="s">
        <v>525</v>
      </c>
      <c r="B685" s="78" t="s">
        <v>526</v>
      </c>
      <c r="C685" s="78" t="s">
        <v>527</v>
      </c>
      <c r="D685" s="78" t="s">
        <v>742</v>
      </c>
    </row>
    <row r="686" spans="1:4" s="78" customFormat="1" x14ac:dyDescent="0.2">
      <c r="A686" s="78" t="s">
        <v>528</v>
      </c>
      <c r="B686" s="78" t="s">
        <v>100</v>
      </c>
      <c r="C686" s="78" t="s">
        <v>101</v>
      </c>
      <c r="D686" s="78" t="s">
        <v>618</v>
      </c>
    </row>
    <row r="687" spans="1:4" s="78" customFormat="1" x14ac:dyDescent="0.2">
      <c r="A687" s="78" t="s">
        <v>529</v>
      </c>
      <c r="B687" s="78" t="s">
        <v>530</v>
      </c>
      <c r="C687" s="78" t="s">
        <v>531</v>
      </c>
      <c r="D687" s="78" t="s">
        <v>743</v>
      </c>
    </row>
    <row r="688" spans="1:4" s="78" customFormat="1" x14ac:dyDescent="0.2">
      <c r="A688" s="78" t="s">
        <v>532</v>
      </c>
      <c r="B688" s="78" t="s">
        <v>106</v>
      </c>
      <c r="C688" s="78" t="s">
        <v>107</v>
      </c>
      <c r="D688" s="78" t="s">
        <v>620</v>
      </c>
    </row>
    <row r="689" spans="1:4" s="78" customFormat="1" x14ac:dyDescent="0.2">
      <c r="A689" s="78" t="s">
        <v>533</v>
      </c>
      <c r="B689" s="78" t="s">
        <v>534</v>
      </c>
      <c r="C689" s="78" t="s">
        <v>535</v>
      </c>
      <c r="D689" s="78" t="s">
        <v>744</v>
      </c>
    </row>
    <row r="690" spans="1:4" s="78" customFormat="1" x14ac:dyDescent="0.2">
      <c r="A690" s="78" t="s">
        <v>536</v>
      </c>
      <c r="B690" s="78" t="s">
        <v>537</v>
      </c>
      <c r="C690" s="78" t="s">
        <v>538</v>
      </c>
      <c r="D690" s="78" t="s">
        <v>745</v>
      </c>
    </row>
    <row r="691" spans="1:4" s="78" customFormat="1" x14ac:dyDescent="0.2">
      <c r="A691" s="78" t="s">
        <v>539</v>
      </c>
      <c r="B691" s="78" t="s">
        <v>540</v>
      </c>
      <c r="C691" s="78" t="s">
        <v>541</v>
      </c>
      <c r="D691" s="78" t="s">
        <v>746</v>
      </c>
    </row>
    <row r="692" spans="1:4" s="78" customFormat="1" x14ac:dyDescent="0.2">
      <c r="A692" s="78" t="s">
        <v>542</v>
      </c>
      <c r="B692" s="78" t="s">
        <v>543</v>
      </c>
      <c r="C692" s="78" t="s">
        <v>544</v>
      </c>
      <c r="D692" s="78" t="s">
        <v>747</v>
      </c>
    </row>
    <row r="693" spans="1:4" s="78" customFormat="1" x14ac:dyDescent="0.2">
      <c r="A693" s="78" t="s">
        <v>545</v>
      </c>
      <c r="B693" s="78" t="s">
        <v>362</v>
      </c>
      <c r="C693" s="78" t="s">
        <v>363</v>
      </c>
      <c r="D693" s="78" t="s">
        <v>696</v>
      </c>
    </row>
    <row r="694" spans="1:4" s="78" customFormat="1" x14ac:dyDescent="0.2">
      <c r="A694" s="78" t="s">
        <v>546</v>
      </c>
      <c r="B694" s="78" t="s">
        <v>547</v>
      </c>
      <c r="C694" s="78" t="s">
        <v>548</v>
      </c>
      <c r="D694" s="78" t="s">
        <v>748</v>
      </c>
    </row>
    <row r="695" spans="1:4" s="78" customFormat="1" x14ac:dyDescent="0.2">
      <c r="A695" s="78" t="s">
        <v>549</v>
      </c>
      <c r="B695" s="78" t="s">
        <v>550</v>
      </c>
      <c r="C695" s="78" t="s">
        <v>551</v>
      </c>
      <c r="D695" s="78" t="s">
        <v>749</v>
      </c>
    </row>
    <row r="696" spans="1:4" s="78" customFormat="1" x14ac:dyDescent="0.2">
      <c r="A696" s="78" t="s">
        <v>552</v>
      </c>
      <c r="B696" s="78" t="s">
        <v>553</v>
      </c>
      <c r="C696" s="78" t="s">
        <v>554</v>
      </c>
      <c r="D696" s="78" t="s">
        <v>750</v>
      </c>
    </row>
    <row r="697" spans="1:4" s="78" customFormat="1" x14ac:dyDescent="0.2">
      <c r="A697" s="78" t="s">
        <v>555</v>
      </c>
      <c r="B697" s="78" t="s">
        <v>556</v>
      </c>
      <c r="C697" s="78" t="s">
        <v>557</v>
      </c>
      <c r="D697" s="78" t="s">
        <v>751</v>
      </c>
    </row>
    <row r="698" spans="1:4" s="78" customFormat="1" x14ac:dyDescent="0.2">
      <c r="A698" s="78" t="s">
        <v>558</v>
      </c>
      <c r="B698" s="78" t="s">
        <v>559</v>
      </c>
      <c r="C698" s="78" t="s">
        <v>560</v>
      </c>
      <c r="D698" s="78" t="s">
        <v>752</v>
      </c>
    </row>
    <row r="699" spans="1:4" s="78" customFormat="1" x14ac:dyDescent="0.2">
      <c r="A699" s="78" t="s">
        <v>561</v>
      </c>
      <c r="B699" s="78" t="s">
        <v>145</v>
      </c>
      <c r="C699" s="78" t="s">
        <v>146</v>
      </c>
      <c r="D699" s="78" t="s">
        <v>632</v>
      </c>
    </row>
    <row r="700" spans="1:4" s="78" customFormat="1" x14ac:dyDescent="0.2">
      <c r="A700" s="78" t="s">
        <v>562</v>
      </c>
      <c r="B700" s="78" t="s">
        <v>209</v>
      </c>
      <c r="C700" s="78" t="s">
        <v>210</v>
      </c>
      <c r="D700" s="78" t="s">
        <v>652</v>
      </c>
    </row>
    <row r="701" spans="1:4" s="78" customFormat="1" x14ac:dyDescent="0.2">
      <c r="A701" s="78" t="s">
        <v>563</v>
      </c>
      <c r="B701" s="78" t="s">
        <v>564</v>
      </c>
      <c r="C701" s="78" t="s">
        <v>565</v>
      </c>
      <c r="D701" s="78" t="s">
        <v>753</v>
      </c>
    </row>
    <row r="702" spans="1:4" s="78" customFormat="1" x14ac:dyDescent="0.2">
      <c r="A702" s="78" t="s">
        <v>566</v>
      </c>
      <c r="B702" s="78" t="s">
        <v>567</v>
      </c>
      <c r="C702" s="78" t="s">
        <v>568</v>
      </c>
      <c r="D702" s="78" t="s">
        <v>754</v>
      </c>
    </row>
    <row r="703" spans="1:4" s="78" customFormat="1" x14ac:dyDescent="0.2">
      <c r="A703" s="78" t="s">
        <v>569</v>
      </c>
      <c r="B703" s="78" t="s">
        <v>570</v>
      </c>
      <c r="C703" s="78" t="s">
        <v>571</v>
      </c>
      <c r="D703" s="78" t="s">
        <v>755</v>
      </c>
    </row>
    <row r="704" spans="1:4" s="78" customFormat="1" x14ac:dyDescent="0.2">
      <c r="A704" s="78" t="s">
        <v>572</v>
      </c>
      <c r="B704" s="78" t="s">
        <v>573</v>
      </c>
      <c r="C704" s="78" t="s">
        <v>574</v>
      </c>
      <c r="D704" s="78" t="s">
        <v>756</v>
      </c>
    </row>
    <row r="705" spans="1:4" s="78" customFormat="1" x14ac:dyDescent="0.2">
      <c r="A705" s="78" t="s">
        <v>575</v>
      </c>
      <c r="B705" s="78" t="s">
        <v>576</v>
      </c>
      <c r="C705" s="78" t="s">
        <v>577</v>
      </c>
      <c r="D705" s="78" t="s">
        <v>757</v>
      </c>
    </row>
    <row r="706" spans="1:4" s="78" customFormat="1" x14ac:dyDescent="0.2">
      <c r="A706" s="78" t="s">
        <v>578</v>
      </c>
      <c r="B706" s="78" t="s">
        <v>97</v>
      </c>
      <c r="C706" s="78" t="s">
        <v>98</v>
      </c>
      <c r="D706" s="78" t="s">
        <v>617</v>
      </c>
    </row>
    <row r="707" spans="1:4" s="78" customFormat="1" x14ac:dyDescent="0.2">
      <c r="A707" s="78" t="s">
        <v>579</v>
      </c>
      <c r="B707" s="78" t="s">
        <v>119</v>
      </c>
      <c r="C707" s="78" t="s">
        <v>120</v>
      </c>
      <c r="D707" s="78" t="s">
        <v>624</v>
      </c>
    </row>
    <row r="708" spans="1:4" s="78" customFormat="1" x14ac:dyDescent="0.2">
      <c r="A708" s="78" t="s">
        <v>580</v>
      </c>
      <c r="B708" s="78" t="s">
        <v>581</v>
      </c>
      <c r="C708" s="78" t="s">
        <v>582</v>
      </c>
      <c r="D708" s="78" t="s">
        <v>758</v>
      </c>
    </row>
    <row r="709" spans="1:4" s="78" customFormat="1" x14ac:dyDescent="0.2">
      <c r="A709" s="78" t="s">
        <v>583</v>
      </c>
      <c r="B709" s="78" t="s">
        <v>584</v>
      </c>
      <c r="C709" s="78" t="s">
        <v>585</v>
      </c>
      <c r="D709" s="78" t="s">
        <v>759</v>
      </c>
    </row>
    <row r="710" spans="1:4" s="78" customFormat="1" x14ac:dyDescent="0.2">
      <c r="A710" s="78" t="s">
        <v>586</v>
      </c>
      <c r="B710" s="78" t="s">
        <v>587</v>
      </c>
      <c r="C710" s="78" t="s">
        <v>588</v>
      </c>
      <c r="D710" s="78" t="s">
        <v>760</v>
      </c>
    </row>
    <row r="711" spans="1:4" s="78" customFormat="1" x14ac:dyDescent="0.2">
      <c r="A711" s="78" t="s">
        <v>589</v>
      </c>
      <c r="B711" s="78" t="s">
        <v>590</v>
      </c>
      <c r="C711" s="78" t="s">
        <v>591</v>
      </c>
      <c r="D711" s="78" t="s">
        <v>761</v>
      </c>
    </row>
    <row r="712" spans="1:4" s="78" customFormat="1" x14ac:dyDescent="0.2">
      <c r="A712" s="78" t="s">
        <v>592</v>
      </c>
      <c r="B712" s="78" t="s">
        <v>97</v>
      </c>
      <c r="C712" s="78" t="s">
        <v>98</v>
      </c>
      <c r="D712" s="78" t="s">
        <v>617</v>
      </c>
    </row>
    <row r="713" spans="1:4" s="78" customFormat="1" x14ac:dyDescent="0.2">
      <c r="A713" s="78" t="s">
        <v>593</v>
      </c>
      <c r="B713" s="78" t="s">
        <v>594</v>
      </c>
      <c r="C713" s="78" t="s">
        <v>595</v>
      </c>
      <c r="D713" s="78" t="s">
        <v>762</v>
      </c>
    </row>
    <row r="714" spans="1:4" s="78" customFormat="1" x14ac:dyDescent="0.2">
      <c r="A714" s="78" t="s">
        <v>596</v>
      </c>
      <c r="B714" s="78" t="s">
        <v>597</v>
      </c>
      <c r="C714" s="78" t="s">
        <v>598</v>
      </c>
      <c r="D714" s="78" t="s">
        <v>763</v>
      </c>
    </row>
    <row r="715" spans="1:4" s="78" customFormat="1" x14ac:dyDescent="0.2">
      <c r="A715" s="78" t="s">
        <v>599</v>
      </c>
      <c r="B715" s="78" t="s">
        <v>600</v>
      </c>
      <c r="C715" s="78" t="s">
        <v>601</v>
      </c>
      <c r="D715" s="78" t="s">
        <v>764</v>
      </c>
    </row>
    <row r="716" spans="1:4" s="78" customFormat="1" x14ac:dyDescent="0.2">
      <c r="A716" s="78" t="s">
        <v>602</v>
      </c>
      <c r="B716" s="78" t="s">
        <v>603</v>
      </c>
      <c r="C716" s="78" t="s">
        <v>604</v>
      </c>
      <c r="D716" s="78" t="s">
        <v>765</v>
      </c>
    </row>
    <row r="717" spans="1:4" s="78" customFormat="1" x14ac:dyDescent="0.2">
      <c r="A717" s="78" t="s">
        <v>605</v>
      </c>
      <c r="B717" s="78" t="s">
        <v>606</v>
      </c>
      <c r="C717" s="78" t="s">
        <v>607</v>
      </c>
      <c r="D717" s="78" t="s">
        <v>766</v>
      </c>
    </row>
    <row r="718" spans="1:4" s="78" customFormat="1" x14ac:dyDescent="0.2">
      <c r="A718" s="78" t="s">
        <v>608</v>
      </c>
      <c r="B718" s="78" t="s">
        <v>97</v>
      </c>
      <c r="C718" s="78" t="s">
        <v>98</v>
      </c>
      <c r="D718" s="78" t="s">
        <v>617</v>
      </c>
    </row>
    <row r="719" spans="1:4" s="78" customFormat="1" x14ac:dyDescent="0.2">
      <c r="A719" s="78" t="s">
        <v>609</v>
      </c>
      <c r="B719" s="78" t="s">
        <v>97</v>
      </c>
      <c r="C719" s="78" t="s">
        <v>98</v>
      </c>
      <c r="D719" s="78" t="s">
        <v>617</v>
      </c>
    </row>
    <row r="720" spans="1:4" s="78" customFormat="1" x14ac:dyDescent="0.2">
      <c r="A720" s="78" t="s">
        <v>610</v>
      </c>
      <c r="B720" s="78" t="s">
        <v>261</v>
      </c>
      <c r="C720" s="78" t="s">
        <v>262</v>
      </c>
      <c r="D720" s="78" t="s">
        <v>666</v>
      </c>
    </row>
    <row r="721" spans="1:4" s="78" customFormat="1" x14ac:dyDescent="0.2">
      <c r="A721" s="78" t="s">
        <v>611</v>
      </c>
      <c r="B721" s="78" t="s">
        <v>612</v>
      </c>
      <c r="C721" s="78" t="s">
        <v>613</v>
      </c>
      <c r="D721" s="78" t="s">
        <v>767</v>
      </c>
    </row>
    <row r="722" spans="1:4" s="78" customFormat="1" x14ac:dyDescent="0.2"/>
    <row r="723" spans="1:4" s="78" customFormat="1" x14ac:dyDescent="0.2"/>
    <row r="724" spans="1:4" s="78" customFormat="1" x14ac:dyDescent="0.2"/>
    <row r="725" spans="1:4" s="78" customFormat="1" x14ac:dyDescent="0.2"/>
    <row r="726" spans="1:4" s="78" customFormat="1" x14ac:dyDescent="0.2"/>
    <row r="727" spans="1:4" s="78" customFormat="1" x14ac:dyDescent="0.2"/>
    <row r="728" spans="1:4" s="78" customFormat="1" x14ac:dyDescent="0.2"/>
    <row r="729" spans="1:4" s="78" customFormat="1" ht="15" x14ac:dyDescent="0.25">
      <c r="A729" s="79" t="s">
        <v>86</v>
      </c>
    </row>
    <row r="730" spans="1:4" s="78" customFormat="1" ht="15" x14ac:dyDescent="0.25">
      <c r="A730" s="79"/>
    </row>
    <row r="731" spans="1:4" s="78" customFormat="1" x14ac:dyDescent="0.2">
      <c r="A731" s="80" t="s">
        <v>618</v>
      </c>
      <c r="C731" s="78">
        <v>3463</v>
      </c>
    </row>
    <row r="732" spans="1:4" s="78" customFormat="1" x14ac:dyDescent="0.2">
      <c r="A732" s="80" t="s">
        <v>617</v>
      </c>
    </row>
    <row r="733" spans="1:4" s="78" customFormat="1" x14ac:dyDescent="0.2">
      <c r="A733" s="80" t="s">
        <v>614</v>
      </c>
    </row>
    <row r="734" spans="1:4" s="78" customFormat="1" x14ac:dyDescent="0.2">
      <c r="A734" s="80" t="s">
        <v>615</v>
      </c>
    </row>
    <row r="735" spans="1:4" s="78" customFormat="1" x14ac:dyDescent="0.2">
      <c r="A735" s="80" t="s">
        <v>616</v>
      </c>
    </row>
    <row r="736" spans="1:4" s="78" customFormat="1" x14ac:dyDescent="0.2">
      <c r="A736" s="80" t="s">
        <v>619</v>
      </c>
    </row>
    <row r="737" spans="1:1" s="78" customFormat="1" x14ac:dyDescent="0.2">
      <c r="A737" s="80" t="s">
        <v>621</v>
      </c>
    </row>
    <row r="738" spans="1:1" s="78" customFormat="1" x14ac:dyDescent="0.2">
      <c r="A738" s="80" t="s">
        <v>622</v>
      </c>
    </row>
    <row r="739" spans="1:1" s="78" customFormat="1" x14ac:dyDescent="0.2">
      <c r="A739" s="80" t="s">
        <v>623</v>
      </c>
    </row>
    <row r="740" spans="1:1" s="78" customFormat="1" x14ac:dyDescent="0.2">
      <c r="A740" s="80" t="s">
        <v>624</v>
      </c>
    </row>
    <row r="741" spans="1:1" s="78" customFormat="1" x14ac:dyDescent="0.2">
      <c r="A741" s="80" t="s">
        <v>625</v>
      </c>
    </row>
    <row r="742" spans="1:1" s="78" customFormat="1" x14ac:dyDescent="0.2">
      <c r="A742" s="80" t="s">
        <v>626</v>
      </c>
    </row>
    <row r="743" spans="1:1" s="78" customFormat="1" x14ac:dyDescent="0.2">
      <c r="A743" s="80" t="s">
        <v>627</v>
      </c>
    </row>
    <row r="744" spans="1:1" s="78" customFormat="1" x14ac:dyDescent="0.2">
      <c r="A744" s="80" t="s">
        <v>628</v>
      </c>
    </row>
    <row r="745" spans="1:1" s="78" customFormat="1" x14ac:dyDescent="0.2">
      <c r="A745" s="80" t="s">
        <v>629</v>
      </c>
    </row>
    <row r="746" spans="1:1" s="78" customFormat="1" x14ac:dyDescent="0.2">
      <c r="A746" s="80" t="s">
        <v>630</v>
      </c>
    </row>
    <row r="747" spans="1:1" s="78" customFormat="1" x14ac:dyDescent="0.2">
      <c r="A747" s="80" t="s">
        <v>631</v>
      </c>
    </row>
    <row r="748" spans="1:1" s="78" customFormat="1" x14ac:dyDescent="0.2">
      <c r="A748" s="80" t="s">
        <v>633</v>
      </c>
    </row>
    <row r="749" spans="1:1" s="78" customFormat="1" x14ac:dyDescent="0.2">
      <c r="A749" s="80" t="s">
        <v>634</v>
      </c>
    </row>
    <row r="750" spans="1:1" s="78" customFormat="1" x14ac:dyDescent="0.2">
      <c r="A750" s="80" t="s">
        <v>635</v>
      </c>
    </row>
    <row r="751" spans="1:1" s="78" customFormat="1" x14ac:dyDescent="0.2">
      <c r="A751" s="80" t="s">
        <v>636</v>
      </c>
    </row>
    <row r="752" spans="1:1" s="78" customFormat="1" x14ac:dyDescent="0.2">
      <c r="A752" s="80" t="s">
        <v>637</v>
      </c>
    </row>
    <row r="753" spans="1:1" s="78" customFormat="1" x14ac:dyDescent="0.2">
      <c r="A753" s="80" t="s">
        <v>638</v>
      </c>
    </row>
    <row r="754" spans="1:1" s="78" customFormat="1" x14ac:dyDescent="0.2">
      <c r="A754" s="80" t="s">
        <v>639</v>
      </c>
    </row>
    <row r="755" spans="1:1" s="78" customFormat="1" x14ac:dyDescent="0.2">
      <c r="A755" s="80" t="s">
        <v>640</v>
      </c>
    </row>
    <row r="756" spans="1:1" s="78" customFormat="1" x14ac:dyDescent="0.2">
      <c r="A756" s="80" t="s">
        <v>641</v>
      </c>
    </row>
    <row r="757" spans="1:1" s="78" customFormat="1" x14ac:dyDescent="0.2">
      <c r="A757" s="80" t="s">
        <v>642</v>
      </c>
    </row>
    <row r="758" spans="1:1" s="78" customFormat="1" x14ac:dyDescent="0.2">
      <c r="A758" s="80" t="s">
        <v>644</v>
      </c>
    </row>
    <row r="759" spans="1:1" s="78" customFormat="1" x14ac:dyDescent="0.2">
      <c r="A759" s="80" t="s">
        <v>645</v>
      </c>
    </row>
    <row r="760" spans="1:1" s="78" customFormat="1" x14ac:dyDescent="0.2">
      <c r="A760" s="80" t="s">
        <v>646</v>
      </c>
    </row>
    <row r="761" spans="1:1" s="78" customFormat="1" x14ac:dyDescent="0.2">
      <c r="A761" s="80" t="s">
        <v>643</v>
      </c>
    </row>
    <row r="762" spans="1:1" s="78" customFormat="1" x14ac:dyDescent="0.2">
      <c r="A762" s="80" t="s">
        <v>632</v>
      </c>
    </row>
    <row r="763" spans="1:1" s="78" customFormat="1" x14ac:dyDescent="0.2">
      <c r="A763" s="80" t="s">
        <v>666</v>
      </c>
    </row>
    <row r="764" spans="1:1" s="78" customFormat="1" x14ac:dyDescent="0.2">
      <c r="A764" s="80" t="s">
        <v>647</v>
      </c>
    </row>
    <row r="765" spans="1:1" s="78" customFormat="1" x14ac:dyDescent="0.2">
      <c r="A765" s="80" t="s">
        <v>648</v>
      </c>
    </row>
    <row r="766" spans="1:1" s="78" customFormat="1" x14ac:dyDescent="0.2">
      <c r="A766" s="80" t="s">
        <v>649</v>
      </c>
    </row>
    <row r="767" spans="1:1" s="78" customFormat="1" x14ac:dyDescent="0.2">
      <c r="A767" s="80" t="s">
        <v>650</v>
      </c>
    </row>
    <row r="768" spans="1:1" s="78" customFormat="1" x14ac:dyDescent="0.2">
      <c r="A768" s="80" t="s">
        <v>651</v>
      </c>
    </row>
    <row r="769" spans="1:1" s="78" customFormat="1" x14ac:dyDescent="0.2">
      <c r="A769" s="80" t="s">
        <v>653</v>
      </c>
    </row>
    <row r="770" spans="1:1" s="78" customFormat="1" x14ac:dyDescent="0.2">
      <c r="A770" s="80" t="s">
        <v>654</v>
      </c>
    </row>
    <row r="771" spans="1:1" s="78" customFormat="1" x14ac:dyDescent="0.2">
      <c r="A771" s="80" t="s">
        <v>655</v>
      </c>
    </row>
    <row r="772" spans="1:1" s="78" customFormat="1" x14ac:dyDescent="0.2">
      <c r="A772" s="80" t="s">
        <v>656</v>
      </c>
    </row>
    <row r="773" spans="1:1" s="78" customFormat="1" x14ac:dyDescent="0.2">
      <c r="A773" s="80" t="s">
        <v>658</v>
      </c>
    </row>
    <row r="774" spans="1:1" s="78" customFormat="1" x14ac:dyDescent="0.2">
      <c r="A774" s="80" t="s">
        <v>659</v>
      </c>
    </row>
    <row r="775" spans="1:1" s="78" customFormat="1" x14ac:dyDescent="0.2">
      <c r="A775" s="80" t="s">
        <v>660</v>
      </c>
    </row>
    <row r="776" spans="1:1" s="78" customFormat="1" x14ac:dyDescent="0.2">
      <c r="A776" s="80" t="s">
        <v>620</v>
      </c>
    </row>
    <row r="777" spans="1:1" s="78" customFormat="1" x14ac:dyDescent="0.2">
      <c r="A777" s="80" t="s">
        <v>661</v>
      </c>
    </row>
    <row r="778" spans="1:1" s="78" customFormat="1" x14ac:dyDescent="0.2">
      <c r="A778" s="80" t="s">
        <v>662</v>
      </c>
    </row>
    <row r="779" spans="1:1" s="78" customFormat="1" x14ac:dyDescent="0.2">
      <c r="A779" s="80" t="s">
        <v>663</v>
      </c>
    </row>
    <row r="780" spans="1:1" s="78" customFormat="1" x14ac:dyDescent="0.2">
      <c r="A780" s="80" t="s">
        <v>664</v>
      </c>
    </row>
    <row r="781" spans="1:1" s="78" customFormat="1" x14ac:dyDescent="0.2">
      <c r="A781" s="80" t="s">
        <v>665</v>
      </c>
    </row>
    <row r="782" spans="1:1" s="78" customFormat="1" x14ac:dyDescent="0.2">
      <c r="A782" s="80" t="s">
        <v>667</v>
      </c>
    </row>
    <row r="783" spans="1:1" s="78" customFormat="1" x14ac:dyDescent="0.2">
      <c r="A783" s="80" t="s">
        <v>668</v>
      </c>
    </row>
    <row r="784" spans="1:1" s="78" customFormat="1" x14ac:dyDescent="0.2">
      <c r="A784" s="80" t="s">
        <v>669</v>
      </c>
    </row>
    <row r="785" spans="1:1" s="78" customFormat="1" x14ac:dyDescent="0.2">
      <c r="A785" s="80" t="s">
        <v>670</v>
      </c>
    </row>
    <row r="786" spans="1:1" s="78" customFormat="1" x14ac:dyDescent="0.2">
      <c r="A786" s="80" t="s">
        <v>671</v>
      </c>
    </row>
    <row r="787" spans="1:1" s="78" customFormat="1" x14ac:dyDescent="0.2">
      <c r="A787" s="80" t="s">
        <v>672</v>
      </c>
    </row>
    <row r="788" spans="1:1" s="78" customFormat="1" x14ac:dyDescent="0.2">
      <c r="A788" s="80" t="s">
        <v>673</v>
      </c>
    </row>
    <row r="789" spans="1:1" s="78" customFormat="1" x14ac:dyDescent="0.2">
      <c r="A789" s="80" t="s">
        <v>674</v>
      </c>
    </row>
    <row r="790" spans="1:1" s="78" customFormat="1" x14ac:dyDescent="0.2">
      <c r="A790" s="80" t="s">
        <v>675</v>
      </c>
    </row>
    <row r="791" spans="1:1" s="78" customFormat="1" x14ac:dyDescent="0.2">
      <c r="A791" s="80" t="s">
        <v>676</v>
      </c>
    </row>
    <row r="792" spans="1:1" s="78" customFormat="1" x14ac:dyDescent="0.2">
      <c r="A792" s="80" t="s">
        <v>677</v>
      </c>
    </row>
    <row r="793" spans="1:1" s="78" customFormat="1" x14ac:dyDescent="0.2">
      <c r="A793" s="80" t="s">
        <v>678</v>
      </c>
    </row>
    <row r="794" spans="1:1" s="78" customFormat="1" x14ac:dyDescent="0.2">
      <c r="A794" s="80" t="s">
        <v>679</v>
      </c>
    </row>
    <row r="795" spans="1:1" s="78" customFormat="1" x14ac:dyDescent="0.2">
      <c r="A795" s="80" t="s">
        <v>680</v>
      </c>
    </row>
    <row r="796" spans="1:1" s="78" customFormat="1" x14ac:dyDescent="0.2">
      <c r="A796" s="80" t="s">
        <v>681</v>
      </c>
    </row>
    <row r="797" spans="1:1" s="78" customFormat="1" x14ac:dyDescent="0.2">
      <c r="A797" s="80" t="s">
        <v>682</v>
      </c>
    </row>
    <row r="798" spans="1:1" s="78" customFormat="1" x14ac:dyDescent="0.2">
      <c r="A798" s="80" t="s">
        <v>683</v>
      </c>
    </row>
    <row r="799" spans="1:1" s="78" customFormat="1" x14ac:dyDescent="0.2">
      <c r="A799" s="80" t="s">
        <v>684</v>
      </c>
    </row>
    <row r="800" spans="1:1" s="78" customFormat="1" x14ac:dyDescent="0.2">
      <c r="A800" s="80" t="s">
        <v>685</v>
      </c>
    </row>
    <row r="801" spans="1:1" s="78" customFormat="1" x14ac:dyDescent="0.2">
      <c r="A801" s="80" t="s">
        <v>686</v>
      </c>
    </row>
    <row r="802" spans="1:1" s="78" customFormat="1" x14ac:dyDescent="0.2">
      <c r="A802" s="80" t="s">
        <v>687</v>
      </c>
    </row>
    <row r="803" spans="1:1" s="78" customFormat="1" x14ac:dyDescent="0.2">
      <c r="A803" s="80" t="s">
        <v>657</v>
      </c>
    </row>
    <row r="804" spans="1:1" s="78" customFormat="1" x14ac:dyDescent="0.2">
      <c r="A804" s="80" t="s">
        <v>725</v>
      </c>
    </row>
    <row r="805" spans="1:1" s="78" customFormat="1" x14ac:dyDescent="0.2">
      <c r="A805" s="80" t="s">
        <v>688</v>
      </c>
    </row>
    <row r="806" spans="1:1" s="78" customFormat="1" x14ac:dyDescent="0.2">
      <c r="A806" s="80" t="s">
        <v>689</v>
      </c>
    </row>
    <row r="807" spans="1:1" s="78" customFormat="1" x14ac:dyDescent="0.2">
      <c r="A807" s="80" t="s">
        <v>690</v>
      </c>
    </row>
    <row r="808" spans="1:1" s="78" customFormat="1" x14ac:dyDescent="0.2">
      <c r="A808" s="80" t="s">
        <v>691</v>
      </c>
    </row>
    <row r="809" spans="1:1" s="78" customFormat="1" x14ac:dyDescent="0.2">
      <c r="A809" s="80" t="s">
        <v>692</v>
      </c>
    </row>
    <row r="810" spans="1:1" s="78" customFormat="1" x14ac:dyDescent="0.2">
      <c r="A810" s="80" t="s">
        <v>693</v>
      </c>
    </row>
    <row r="811" spans="1:1" s="78" customFormat="1" x14ac:dyDescent="0.2">
      <c r="A811" s="80" t="s">
        <v>694</v>
      </c>
    </row>
    <row r="812" spans="1:1" s="78" customFormat="1" x14ac:dyDescent="0.2">
      <c r="A812" s="80" t="s">
        <v>695</v>
      </c>
    </row>
    <row r="813" spans="1:1" s="78" customFormat="1" x14ac:dyDescent="0.2">
      <c r="A813" s="80" t="s">
        <v>697</v>
      </c>
    </row>
    <row r="814" spans="1:1" s="78" customFormat="1" x14ac:dyDescent="0.2">
      <c r="A814" s="80" t="s">
        <v>698</v>
      </c>
    </row>
    <row r="815" spans="1:1" s="78" customFormat="1" x14ac:dyDescent="0.2">
      <c r="A815" s="80" t="s">
        <v>751</v>
      </c>
    </row>
    <row r="816" spans="1:1" s="78" customFormat="1" x14ac:dyDescent="0.2">
      <c r="A816" s="80" t="s">
        <v>699</v>
      </c>
    </row>
    <row r="817" spans="1:1" s="78" customFormat="1" x14ac:dyDescent="0.2">
      <c r="A817" s="80" t="s">
        <v>700</v>
      </c>
    </row>
    <row r="818" spans="1:1" s="78" customFormat="1" x14ac:dyDescent="0.2">
      <c r="A818" s="80" t="s">
        <v>701</v>
      </c>
    </row>
    <row r="819" spans="1:1" s="78" customFormat="1" x14ac:dyDescent="0.2">
      <c r="A819" s="80" t="s">
        <v>702</v>
      </c>
    </row>
    <row r="820" spans="1:1" s="78" customFormat="1" x14ac:dyDescent="0.2">
      <c r="A820" s="80" t="s">
        <v>703</v>
      </c>
    </row>
    <row r="821" spans="1:1" s="78" customFormat="1" x14ac:dyDescent="0.2">
      <c r="A821" s="80" t="s">
        <v>704</v>
      </c>
    </row>
    <row r="822" spans="1:1" s="78" customFormat="1" x14ac:dyDescent="0.2">
      <c r="A822" s="80" t="s">
        <v>705</v>
      </c>
    </row>
    <row r="823" spans="1:1" s="78" customFormat="1" x14ac:dyDescent="0.2">
      <c r="A823" s="80" t="s">
        <v>726</v>
      </c>
    </row>
    <row r="824" spans="1:1" s="78" customFormat="1" x14ac:dyDescent="0.2">
      <c r="A824" s="80" t="s">
        <v>706</v>
      </c>
    </row>
    <row r="825" spans="1:1" s="78" customFormat="1" x14ac:dyDescent="0.2">
      <c r="A825" s="80" t="s">
        <v>707</v>
      </c>
    </row>
    <row r="826" spans="1:1" s="78" customFormat="1" x14ac:dyDescent="0.2">
      <c r="A826" s="80" t="s">
        <v>708</v>
      </c>
    </row>
    <row r="827" spans="1:1" s="78" customFormat="1" x14ac:dyDescent="0.2">
      <c r="A827" s="80" t="s">
        <v>709</v>
      </c>
    </row>
    <row r="828" spans="1:1" s="78" customFormat="1" x14ac:dyDescent="0.2">
      <c r="A828" s="80" t="s">
        <v>710</v>
      </c>
    </row>
    <row r="829" spans="1:1" s="78" customFormat="1" x14ac:dyDescent="0.2">
      <c r="A829" s="80" t="s">
        <v>711</v>
      </c>
    </row>
    <row r="830" spans="1:1" s="78" customFormat="1" x14ac:dyDescent="0.2">
      <c r="A830" s="80" t="s">
        <v>712</v>
      </c>
    </row>
    <row r="831" spans="1:1" s="78" customFormat="1" x14ac:dyDescent="0.2">
      <c r="A831" s="80" t="s">
        <v>652</v>
      </c>
    </row>
    <row r="832" spans="1:1" s="78" customFormat="1" x14ac:dyDescent="0.2">
      <c r="A832" s="80" t="s">
        <v>713</v>
      </c>
    </row>
    <row r="833" spans="1:1" s="78" customFormat="1" x14ac:dyDescent="0.2">
      <c r="A833" s="80" t="s">
        <v>714</v>
      </c>
    </row>
    <row r="834" spans="1:1" s="78" customFormat="1" x14ac:dyDescent="0.2">
      <c r="A834" s="80" t="s">
        <v>715</v>
      </c>
    </row>
    <row r="835" spans="1:1" s="78" customFormat="1" x14ac:dyDescent="0.2">
      <c r="A835" s="80" t="s">
        <v>716</v>
      </c>
    </row>
    <row r="836" spans="1:1" s="78" customFormat="1" x14ac:dyDescent="0.2">
      <c r="A836" s="80" t="s">
        <v>717</v>
      </c>
    </row>
    <row r="837" spans="1:1" s="78" customFormat="1" x14ac:dyDescent="0.2">
      <c r="A837" s="80" t="s">
        <v>718</v>
      </c>
    </row>
    <row r="838" spans="1:1" s="78" customFormat="1" x14ac:dyDescent="0.2">
      <c r="A838" s="80" t="s">
        <v>719</v>
      </c>
    </row>
    <row r="839" spans="1:1" s="78" customFormat="1" x14ac:dyDescent="0.2">
      <c r="A839" s="80" t="s">
        <v>720</v>
      </c>
    </row>
    <row r="840" spans="1:1" s="78" customFormat="1" x14ac:dyDescent="0.2">
      <c r="A840" s="80" t="s">
        <v>721</v>
      </c>
    </row>
    <row r="841" spans="1:1" s="78" customFormat="1" x14ac:dyDescent="0.2">
      <c r="A841" s="80" t="s">
        <v>722</v>
      </c>
    </row>
    <row r="842" spans="1:1" s="78" customFormat="1" x14ac:dyDescent="0.2">
      <c r="A842" s="80" t="s">
        <v>723</v>
      </c>
    </row>
    <row r="843" spans="1:1" s="78" customFormat="1" x14ac:dyDescent="0.2">
      <c r="A843" s="80" t="s">
        <v>724</v>
      </c>
    </row>
    <row r="844" spans="1:1" s="78" customFormat="1" x14ac:dyDescent="0.2">
      <c r="A844" s="80" t="s">
        <v>728</v>
      </c>
    </row>
    <row r="845" spans="1:1" s="78" customFormat="1" x14ac:dyDescent="0.2">
      <c r="A845" s="80" t="s">
        <v>729</v>
      </c>
    </row>
    <row r="846" spans="1:1" s="78" customFormat="1" x14ac:dyDescent="0.2">
      <c r="A846" s="80" t="s">
        <v>730</v>
      </c>
    </row>
    <row r="847" spans="1:1" s="78" customFormat="1" x14ac:dyDescent="0.2">
      <c r="A847" s="80" t="s">
        <v>732</v>
      </c>
    </row>
    <row r="848" spans="1:1" s="78" customFormat="1" x14ac:dyDescent="0.2">
      <c r="A848" s="80" t="s">
        <v>733</v>
      </c>
    </row>
    <row r="849" spans="1:1" s="78" customFormat="1" x14ac:dyDescent="0.2">
      <c r="A849" s="80" t="s">
        <v>734</v>
      </c>
    </row>
    <row r="850" spans="1:1" s="78" customFormat="1" x14ac:dyDescent="0.2">
      <c r="A850" s="80" t="s">
        <v>735</v>
      </c>
    </row>
    <row r="851" spans="1:1" s="78" customFormat="1" x14ac:dyDescent="0.2">
      <c r="A851" s="80" t="s">
        <v>736</v>
      </c>
    </row>
    <row r="852" spans="1:1" s="78" customFormat="1" x14ac:dyDescent="0.2">
      <c r="A852" s="80" t="s">
        <v>737</v>
      </c>
    </row>
    <row r="853" spans="1:1" s="78" customFormat="1" x14ac:dyDescent="0.2">
      <c r="A853" s="80" t="s">
        <v>738</v>
      </c>
    </row>
    <row r="854" spans="1:1" s="78" customFormat="1" x14ac:dyDescent="0.2">
      <c r="A854" s="80" t="s">
        <v>739</v>
      </c>
    </row>
    <row r="855" spans="1:1" s="78" customFormat="1" x14ac:dyDescent="0.2">
      <c r="A855" s="80" t="s">
        <v>740</v>
      </c>
    </row>
    <row r="856" spans="1:1" s="78" customFormat="1" x14ac:dyDescent="0.2">
      <c r="A856" s="80" t="s">
        <v>741</v>
      </c>
    </row>
    <row r="857" spans="1:1" s="78" customFormat="1" x14ac:dyDescent="0.2">
      <c r="A857" s="80" t="s">
        <v>742</v>
      </c>
    </row>
    <row r="858" spans="1:1" s="78" customFormat="1" x14ac:dyDescent="0.2">
      <c r="A858" s="80" t="s">
        <v>743</v>
      </c>
    </row>
    <row r="859" spans="1:1" s="78" customFormat="1" x14ac:dyDescent="0.2">
      <c r="A859" s="80" t="s">
        <v>731</v>
      </c>
    </row>
    <row r="860" spans="1:1" s="78" customFormat="1" x14ac:dyDescent="0.2">
      <c r="A860" s="80" t="s">
        <v>744</v>
      </c>
    </row>
    <row r="861" spans="1:1" s="78" customFormat="1" x14ac:dyDescent="0.2">
      <c r="A861" s="80" t="s">
        <v>745</v>
      </c>
    </row>
    <row r="862" spans="1:1" s="78" customFormat="1" x14ac:dyDescent="0.2">
      <c r="A862" s="80" t="s">
        <v>746</v>
      </c>
    </row>
    <row r="863" spans="1:1" s="78" customFormat="1" x14ac:dyDescent="0.2">
      <c r="A863" s="80" t="s">
        <v>747</v>
      </c>
    </row>
    <row r="864" spans="1:1" s="78" customFormat="1" x14ac:dyDescent="0.2">
      <c r="A864" s="80" t="s">
        <v>696</v>
      </c>
    </row>
    <row r="865" spans="1:1" s="78" customFormat="1" x14ac:dyDescent="0.2">
      <c r="A865" s="80" t="s">
        <v>748</v>
      </c>
    </row>
    <row r="866" spans="1:1" s="78" customFormat="1" x14ac:dyDescent="0.2">
      <c r="A866" s="80" t="s">
        <v>749</v>
      </c>
    </row>
    <row r="867" spans="1:1" s="78" customFormat="1" x14ac:dyDescent="0.2">
      <c r="A867" s="80" t="s">
        <v>750</v>
      </c>
    </row>
    <row r="868" spans="1:1" s="78" customFormat="1" x14ac:dyDescent="0.2">
      <c r="A868" s="80" t="s">
        <v>752</v>
      </c>
    </row>
    <row r="869" spans="1:1" s="78" customFormat="1" x14ac:dyDescent="0.2">
      <c r="A869" s="80" t="s">
        <v>753</v>
      </c>
    </row>
    <row r="870" spans="1:1" s="78" customFormat="1" x14ac:dyDescent="0.2">
      <c r="A870" s="80" t="s">
        <v>754</v>
      </c>
    </row>
    <row r="871" spans="1:1" s="78" customFormat="1" x14ac:dyDescent="0.2">
      <c r="A871" s="80" t="s">
        <v>755</v>
      </c>
    </row>
    <row r="872" spans="1:1" s="78" customFormat="1" x14ac:dyDescent="0.2">
      <c r="A872" s="80" t="s">
        <v>756</v>
      </c>
    </row>
    <row r="873" spans="1:1" s="78" customFormat="1" x14ac:dyDescent="0.2">
      <c r="A873" s="80" t="s">
        <v>757</v>
      </c>
    </row>
    <row r="874" spans="1:1" s="78" customFormat="1" x14ac:dyDescent="0.2">
      <c r="A874" s="80" t="s">
        <v>761</v>
      </c>
    </row>
    <row r="875" spans="1:1" s="78" customFormat="1" x14ac:dyDescent="0.2">
      <c r="A875" s="80" t="s">
        <v>758</v>
      </c>
    </row>
    <row r="876" spans="1:1" s="78" customFormat="1" x14ac:dyDescent="0.2">
      <c r="A876" s="80" t="s">
        <v>759</v>
      </c>
    </row>
    <row r="877" spans="1:1" s="78" customFormat="1" x14ac:dyDescent="0.2">
      <c r="A877" s="80" t="s">
        <v>760</v>
      </c>
    </row>
    <row r="878" spans="1:1" s="78" customFormat="1" x14ac:dyDescent="0.2">
      <c r="A878" s="80" t="s">
        <v>762</v>
      </c>
    </row>
    <row r="879" spans="1:1" s="78" customFormat="1" x14ac:dyDescent="0.2">
      <c r="A879" s="80" t="s">
        <v>763</v>
      </c>
    </row>
    <row r="880" spans="1:1" s="78" customFormat="1" x14ac:dyDescent="0.2">
      <c r="A880" s="80" t="s">
        <v>764</v>
      </c>
    </row>
    <row r="881" spans="1:1" s="78" customFormat="1" x14ac:dyDescent="0.2">
      <c r="A881" s="80" t="s">
        <v>765</v>
      </c>
    </row>
    <row r="882" spans="1:1" s="78" customFormat="1" x14ac:dyDescent="0.2">
      <c r="A882" s="80" t="s">
        <v>766</v>
      </c>
    </row>
    <row r="883" spans="1:1" s="78" customFormat="1" x14ac:dyDescent="0.2">
      <c r="A883" s="80" t="s">
        <v>727</v>
      </c>
    </row>
    <row r="884" spans="1:1" s="78" customFormat="1" x14ac:dyDescent="0.2">
      <c r="A884" s="80" t="s">
        <v>767</v>
      </c>
    </row>
    <row r="885" spans="1:1" s="78" customFormat="1" x14ac:dyDescent="0.2"/>
    <row r="886" spans="1:1" s="78" customFormat="1" x14ac:dyDescent="0.2"/>
    <row r="887" spans="1:1" s="78" customFormat="1" x14ac:dyDescent="0.2">
      <c r="A887" s="78" t="s">
        <v>1261</v>
      </c>
    </row>
    <row r="888" spans="1:1" s="78" customFormat="1" x14ac:dyDescent="0.2">
      <c r="A888" s="78" t="s">
        <v>1262</v>
      </c>
    </row>
    <row r="889" spans="1:1" s="78" customFormat="1" x14ac:dyDescent="0.2">
      <c r="A889" s="78" t="s">
        <v>1263</v>
      </c>
    </row>
    <row r="890" spans="1:1" s="78" customFormat="1" x14ac:dyDescent="0.2">
      <c r="A890" s="78" t="s">
        <v>34</v>
      </c>
    </row>
    <row r="891" spans="1:1" s="78" customFormat="1" x14ac:dyDescent="0.2">
      <c r="A891" s="78" t="s">
        <v>1264</v>
      </c>
    </row>
    <row r="892" spans="1:1" s="78" customFormat="1" x14ac:dyDescent="0.2">
      <c r="A892" s="78" t="s">
        <v>35</v>
      </c>
    </row>
    <row r="893" spans="1:1" s="78" customFormat="1" x14ac:dyDescent="0.2">
      <c r="A893" s="78" t="s">
        <v>1265</v>
      </c>
    </row>
    <row r="894" spans="1:1" s="78" customFormat="1" x14ac:dyDescent="0.2"/>
    <row r="895" spans="1:1" s="78" customFormat="1" x14ac:dyDescent="0.2"/>
    <row r="896" spans="1:1" s="78" customFormat="1" x14ac:dyDescent="0.2">
      <c r="A896" s="78" t="s">
        <v>1266</v>
      </c>
    </row>
    <row r="897" spans="1:1" s="78" customFormat="1" x14ac:dyDescent="0.2">
      <c r="A897" s="78" t="s">
        <v>1267</v>
      </c>
    </row>
    <row r="898" spans="1:1" s="78" customFormat="1" x14ac:dyDescent="0.2">
      <c r="A898" s="78" t="s">
        <v>1268</v>
      </c>
    </row>
    <row r="899" spans="1:1" s="78" customFormat="1" x14ac:dyDescent="0.2">
      <c r="A899" s="78" t="s">
        <v>1269</v>
      </c>
    </row>
    <row r="900" spans="1:1" s="78" customFormat="1" x14ac:dyDescent="0.2">
      <c r="A900" s="78" t="s">
        <v>1272</v>
      </c>
    </row>
    <row r="901" spans="1:1" s="78" customFormat="1" x14ac:dyDescent="0.2">
      <c r="A901" s="78" t="s">
        <v>1271</v>
      </c>
    </row>
    <row r="902" spans="1:1" s="78" customFormat="1" x14ac:dyDescent="0.2">
      <c r="A902" s="78" t="s">
        <v>779</v>
      </c>
    </row>
    <row r="903" spans="1:1" s="78" customFormat="1" x14ac:dyDescent="0.2">
      <c r="A903" s="78" t="s">
        <v>1270</v>
      </c>
    </row>
    <row r="904" spans="1:1" s="78" customFormat="1" x14ac:dyDescent="0.2">
      <c r="A904" s="78" t="s">
        <v>1274</v>
      </c>
    </row>
    <row r="905" spans="1:1" s="78" customFormat="1" x14ac:dyDescent="0.2">
      <c r="A905" s="78" t="s">
        <v>1273</v>
      </c>
    </row>
    <row r="906" spans="1:1" s="78" customFormat="1" x14ac:dyDescent="0.2"/>
    <row r="907" spans="1:1" s="78" customFormat="1" x14ac:dyDescent="0.2"/>
    <row r="908" spans="1:1" s="78" customFormat="1" x14ac:dyDescent="0.2"/>
    <row r="909" spans="1:1" s="78" customFormat="1" x14ac:dyDescent="0.2">
      <c r="A909" s="78" t="s">
        <v>1275</v>
      </c>
    </row>
    <row r="910" spans="1:1" s="78" customFormat="1" x14ac:dyDescent="0.2">
      <c r="A910" s="78" t="s">
        <v>1277</v>
      </c>
    </row>
    <row r="911" spans="1:1" s="78" customFormat="1" x14ac:dyDescent="0.2">
      <c r="A911" s="78" t="s">
        <v>1276</v>
      </c>
    </row>
    <row r="912" spans="1:1" s="78" customFormat="1" x14ac:dyDescent="0.2"/>
    <row r="913" spans="1:1" s="78" customFormat="1" x14ac:dyDescent="0.2"/>
    <row r="914" spans="1:1" s="78" customFormat="1" x14ac:dyDescent="0.2"/>
    <row r="915" spans="1:1" s="78" customFormat="1" x14ac:dyDescent="0.2"/>
    <row r="916" spans="1:1" s="78" customFormat="1" x14ac:dyDescent="0.2">
      <c r="A916" s="78" t="s">
        <v>1278</v>
      </c>
    </row>
    <row r="917" spans="1:1" s="78" customFormat="1" x14ac:dyDescent="0.2">
      <c r="A917" s="78" t="s">
        <v>1280</v>
      </c>
    </row>
    <row r="918" spans="1:1" s="78" customFormat="1" x14ac:dyDescent="0.2">
      <c r="A918" s="78" t="s">
        <v>1279</v>
      </c>
    </row>
    <row r="919" spans="1:1" s="78" customFormat="1" x14ac:dyDescent="0.2"/>
    <row r="920" spans="1:1" s="78" customFormat="1" x14ac:dyDescent="0.2"/>
    <row r="921" spans="1:1" s="78" customFormat="1" x14ac:dyDescent="0.2"/>
    <row r="922" spans="1:1" s="78" customFormat="1" x14ac:dyDescent="0.2">
      <c r="A922" s="78" t="s">
        <v>1281</v>
      </c>
    </row>
    <row r="923" spans="1:1" s="78" customFormat="1" x14ac:dyDescent="0.2">
      <c r="A923" s="78" t="s">
        <v>1282</v>
      </c>
    </row>
    <row r="924" spans="1:1" s="78" customFormat="1" x14ac:dyDescent="0.2">
      <c r="A924" s="78" t="s">
        <v>1283</v>
      </c>
    </row>
    <row r="925" spans="1:1" s="78" customFormat="1" x14ac:dyDescent="0.2">
      <c r="A925" s="78" t="s">
        <v>1284</v>
      </c>
    </row>
    <row r="926" spans="1:1" s="78" customFormat="1" x14ac:dyDescent="0.2">
      <c r="A926" s="78" t="s">
        <v>1285</v>
      </c>
    </row>
    <row r="927" spans="1:1" s="78" customFormat="1" x14ac:dyDescent="0.2">
      <c r="A927" s="78" t="s">
        <v>1286</v>
      </c>
    </row>
    <row r="928" spans="1:1" s="78" customFormat="1" x14ac:dyDescent="0.2">
      <c r="A928" s="78" t="s">
        <v>1287</v>
      </c>
    </row>
    <row r="929" spans="1:6" s="78" customFormat="1" x14ac:dyDescent="0.2">
      <c r="A929" s="78" t="s">
        <v>1288</v>
      </c>
    </row>
    <row r="930" spans="1:6" s="78" customFormat="1" x14ac:dyDescent="0.2">
      <c r="A930" s="78" t="s">
        <v>1289</v>
      </c>
    </row>
    <row r="931" spans="1:6" s="78" customFormat="1" x14ac:dyDescent="0.2">
      <c r="A931" s="146"/>
      <c r="B931" s="146"/>
      <c r="C931" s="146"/>
      <c r="D931" s="146"/>
      <c r="E931" s="146"/>
      <c r="F931" s="146"/>
    </row>
    <row r="932" spans="1:6" s="78" customFormat="1" x14ac:dyDescent="0.2">
      <c r="A932" s="146"/>
      <c r="B932" s="146"/>
      <c r="C932" s="146"/>
      <c r="D932" s="146"/>
      <c r="E932" s="146"/>
      <c r="F932" s="146"/>
    </row>
    <row r="933" spans="1:6" s="78" customFormat="1" x14ac:dyDescent="0.2">
      <c r="A933" s="146"/>
      <c r="B933" s="146"/>
      <c r="C933" s="146"/>
      <c r="D933" s="146"/>
      <c r="E933" s="146"/>
      <c r="F933" s="146"/>
    </row>
    <row r="934" spans="1:6" s="78" customFormat="1" x14ac:dyDescent="0.2">
      <c r="A934" s="146"/>
      <c r="B934" s="146"/>
      <c r="C934" s="146"/>
      <c r="D934" s="146"/>
      <c r="E934" s="146"/>
      <c r="F934" s="146"/>
    </row>
    <row r="935" spans="1:6" s="78" customFormat="1" x14ac:dyDescent="0.2">
      <c r="A935" s="146"/>
      <c r="B935" s="146"/>
      <c r="C935" s="146"/>
      <c r="D935" s="146"/>
      <c r="E935" s="146"/>
      <c r="F935" s="146"/>
    </row>
    <row r="936" spans="1:6" s="78" customFormat="1" x14ac:dyDescent="0.2">
      <c r="A936" s="146"/>
      <c r="B936" s="146"/>
      <c r="C936" s="146"/>
      <c r="D936" s="146"/>
      <c r="E936" s="146"/>
      <c r="F936" s="146"/>
    </row>
    <row r="937" spans="1:6" s="78" customFormat="1" x14ac:dyDescent="0.2">
      <c r="A937" s="146"/>
      <c r="B937" s="146"/>
      <c r="C937" s="146"/>
      <c r="D937" s="146"/>
      <c r="E937" s="146"/>
      <c r="F937" s="146"/>
    </row>
    <row r="938" spans="1:6" s="78" customFormat="1" x14ac:dyDescent="0.2">
      <c r="A938" s="146"/>
      <c r="B938" s="146"/>
      <c r="C938" s="146"/>
      <c r="D938" s="146"/>
      <c r="E938" s="146"/>
      <c r="F938" s="146"/>
    </row>
    <row r="939" spans="1:6" s="78" customFormat="1" x14ac:dyDescent="0.2">
      <c r="A939" s="146"/>
      <c r="B939" s="146"/>
      <c r="C939" s="146"/>
      <c r="D939" s="146"/>
      <c r="E939" s="146"/>
      <c r="F939" s="146"/>
    </row>
    <row r="940" spans="1:6" s="78" customFormat="1" x14ac:dyDescent="0.2">
      <c r="A940" s="146"/>
      <c r="B940" s="146"/>
      <c r="C940" s="146"/>
      <c r="D940" s="146"/>
      <c r="E940" s="146"/>
      <c r="F940" s="146"/>
    </row>
    <row r="941" spans="1:6" s="78" customFormat="1" x14ac:dyDescent="0.2">
      <c r="A941" s="146"/>
      <c r="B941" s="146"/>
      <c r="C941" s="146"/>
      <c r="D941" s="146"/>
      <c r="E941" s="146"/>
      <c r="F941" s="146"/>
    </row>
    <row r="942" spans="1:6" s="78" customFormat="1" x14ac:dyDescent="0.2">
      <c r="B942" s="146"/>
      <c r="C942" s="146"/>
      <c r="D942" s="146"/>
      <c r="E942" s="146"/>
      <c r="F942" s="146"/>
    </row>
    <row r="943" spans="1:6" s="78" customFormat="1" x14ac:dyDescent="0.2">
      <c r="A943" s="78" t="s">
        <v>1738</v>
      </c>
      <c r="B943" s="146"/>
      <c r="C943" s="146"/>
      <c r="D943" s="146"/>
      <c r="E943" s="146"/>
      <c r="F943" s="146"/>
    </row>
    <row r="944" spans="1:6" s="78" customFormat="1" x14ac:dyDescent="0.2">
      <c r="A944" s="78" t="s">
        <v>1739</v>
      </c>
      <c r="B944" s="146"/>
      <c r="C944" s="146"/>
      <c r="D944" s="146"/>
      <c r="E944" s="146"/>
      <c r="F944" s="146"/>
    </row>
    <row r="945" spans="1:6" s="78" customFormat="1" x14ac:dyDescent="0.2">
      <c r="B945" s="146"/>
      <c r="C945" s="146"/>
      <c r="D945" s="146"/>
      <c r="E945" s="146"/>
      <c r="F945" s="146"/>
    </row>
    <row r="946" spans="1:6" s="78" customFormat="1" x14ac:dyDescent="0.2">
      <c r="A946" s="146"/>
      <c r="B946" s="146"/>
      <c r="C946" s="146"/>
      <c r="D946" s="146"/>
      <c r="E946" s="146"/>
      <c r="F946" s="146"/>
    </row>
    <row r="947" spans="1:6" s="78" customFormat="1" x14ac:dyDescent="0.2">
      <c r="A947" s="146"/>
      <c r="B947" s="146"/>
      <c r="C947" s="146"/>
      <c r="D947" s="146"/>
      <c r="E947" s="146"/>
      <c r="F947" s="146"/>
    </row>
    <row r="948" spans="1:6" s="78" customFormat="1" x14ac:dyDescent="0.2">
      <c r="A948" s="146"/>
      <c r="B948" s="146"/>
      <c r="C948" s="146"/>
      <c r="D948" s="146"/>
      <c r="E948" s="146"/>
      <c r="F948" s="146"/>
    </row>
    <row r="949" spans="1:6" s="78" customFormat="1" x14ac:dyDescent="0.2">
      <c r="A949" s="146"/>
      <c r="B949" s="146"/>
      <c r="C949" s="146"/>
      <c r="D949" s="146"/>
      <c r="E949" s="146"/>
      <c r="F949" s="146"/>
    </row>
    <row r="950" spans="1:6" s="78" customFormat="1" x14ac:dyDescent="0.2">
      <c r="A950" s="147"/>
      <c r="B950" s="146"/>
      <c r="C950" s="146"/>
      <c r="D950" s="146"/>
      <c r="E950" s="146"/>
      <c r="F950" s="146"/>
    </row>
    <row r="951" spans="1:6" s="78" customFormat="1" x14ac:dyDescent="0.2">
      <c r="A951" s="146"/>
      <c r="B951" s="146"/>
      <c r="C951" s="146"/>
      <c r="D951" s="146"/>
      <c r="E951" s="146"/>
      <c r="F951" s="146"/>
    </row>
    <row r="952" spans="1:6" s="78" customFormat="1" x14ac:dyDescent="0.2">
      <c r="A952" s="146"/>
      <c r="B952" s="146"/>
      <c r="C952" s="146"/>
      <c r="D952" s="146"/>
      <c r="E952" s="146"/>
      <c r="F952" s="146"/>
    </row>
    <row r="953" spans="1:6" s="78" customFormat="1" x14ac:dyDescent="0.2">
      <c r="A953" s="146"/>
      <c r="B953" s="146"/>
      <c r="C953" s="146"/>
      <c r="D953" s="146"/>
      <c r="E953" s="146"/>
      <c r="F953" s="146"/>
    </row>
    <row r="954" spans="1:6" s="78" customFormat="1" x14ac:dyDescent="0.2">
      <c r="A954" s="146"/>
      <c r="B954" s="146"/>
      <c r="C954" s="146"/>
      <c r="D954" s="146"/>
      <c r="E954" s="146"/>
      <c r="F954" s="146"/>
    </row>
    <row r="955" spans="1:6" s="78" customFormat="1" x14ac:dyDescent="0.2"/>
    <row r="956" spans="1:6" s="78" customFormat="1" x14ac:dyDescent="0.2"/>
    <row r="957" spans="1:6" s="78" customFormat="1" x14ac:dyDescent="0.2"/>
    <row r="958" spans="1:6" s="78" customFormat="1" x14ac:dyDescent="0.2"/>
    <row r="959" spans="1:6" s="78" customFormat="1" x14ac:dyDescent="0.2"/>
    <row r="960" spans="1:6" s="78" customFormat="1" x14ac:dyDescent="0.2"/>
    <row r="961" s="78" customFormat="1" x14ac:dyDescent="0.2"/>
    <row r="962" s="78" customFormat="1" x14ac:dyDescent="0.2"/>
    <row r="963" s="78" customFormat="1" x14ac:dyDescent="0.2"/>
    <row r="964" s="78" customFormat="1" x14ac:dyDescent="0.2"/>
    <row r="965" s="78" customFormat="1" x14ac:dyDescent="0.2"/>
    <row r="966" s="78" customFormat="1" x14ac:dyDescent="0.2"/>
    <row r="967" s="78" customFormat="1" x14ac:dyDescent="0.2"/>
    <row r="968" s="78" customFormat="1" x14ac:dyDescent="0.2"/>
    <row r="969" s="78" customFormat="1" x14ac:dyDescent="0.2"/>
    <row r="970" s="78" customFormat="1" x14ac:dyDescent="0.2"/>
    <row r="971" s="78" customFormat="1" x14ac:dyDescent="0.2"/>
    <row r="972" s="78" customFormat="1" x14ac:dyDescent="0.2"/>
    <row r="973" s="78" customFormat="1" x14ac:dyDescent="0.2"/>
    <row r="974" s="78" customFormat="1" x14ac:dyDescent="0.2"/>
    <row r="975" s="78" customFormat="1" x14ac:dyDescent="0.2"/>
    <row r="976" s="78" customFormat="1" x14ac:dyDescent="0.2"/>
    <row r="977" s="78" customFormat="1" x14ac:dyDescent="0.2"/>
    <row r="978" s="78" customFormat="1" x14ac:dyDescent="0.2"/>
    <row r="979" s="78" customFormat="1" x14ac:dyDescent="0.2"/>
    <row r="980" s="78" customFormat="1" x14ac:dyDescent="0.2"/>
    <row r="981" s="78" customFormat="1" x14ac:dyDescent="0.2"/>
    <row r="982" s="78" customFormat="1" x14ac:dyDescent="0.2"/>
    <row r="983" s="78" customFormat="1" x14ac:dyDescent="0.2"/>
    <row r="984" s="78" customFormat="1" x14ac:dyDescent="0.2"/>
    <row r="985" s="78" customFormat="1" x14ac:dyDescent="0.2"/>
    <row r="986" s="78" customFormat="1" x14ac:dyDescent="0.2"/>
    <row r="987" s="78" customFormat="1" x14ac:dyDescent="0.2"/>
    <row r="988" s="78" customFormat="1" x14ac:dyDescent="0.2"/>
    <row r="989" s="78" customFormat="1" x14ac:dyDescent="0.2"/>
    <row r="990" s="78" customFormat="1" x14ac:dyDescent="0.2"/>
    <row r="991" s="78" customFormat="1" x14ac:dyDescent="0.2"/>
    <row r="992" s="78" customFormat="1" x14ac:dyDescent="0.2"/>
    <row r="993" s="78" customFormat="1" x14ac:dyDescent="0.2"/>
    <row r="994" s="78" customFormat="1" x14ac:dyDescent="0.2"/>
    <row r="995" s="78" customFormat="1" x14ac:dyDescent="0.2"/>
    <row r="996" s="78" customFormat="1" x14ac:dyDescent="0.2"/>
    <row r="997" s="78" customFormat="1" x14ac:dyDescent="0.2"/>
    <row r="998" s="78" customFormat="1" x14ac:dyDescent="0.2"/>
    <row r="999" s="78" customFormat="1" x14ac:dyDescent="0.2"/>
    <row r="1000" s="78" customFormat="1" x14ac:dyDescent="0.2"/>
    <row r="1001" s="78" customFormat="1" x14ac:dyDescent="0.2"/>
    <row r="1002" s="78" customFormat="1" x14ac:dyDescent="0.2"/>
    <row r="1003" s="78" customFormat="1" x14ac:dyDescent="0.2"/>
    <row r="1004" s="78" customFormat="1" x14ac:dyDescent="0.2"/>
    <row r="1005" s="78" customFormat="1" x14ac:dyDescent="0.2"/>
    <row r="1006" s="78" customFormat="1" x14ac:dyDescent="0.2"/>
    <row r="1007" s="78" customFormat="1" x14ac:dyDescent="0.2"/>
    <row r="1008" s="78" customFormat="1" x14ac:dyDescent="0.2"/>
    <row r="1009" s="78" customFormat="1" x14ac:dyDescent="0.2"/>
    <row r="1010" s="78" customFormat="1" x14ac:dyDescent="0.2"/>
    <row r="1011" s="78" customFormat="1" x14ac:dyDescent="0.2"/>
    <row r="1012" s="78" customFormat="1" x14ac:dyDescent="0.2"/>
    <row r="1013" s="78" customFormat="1" x14ac:dyDescent="0.2"/>
    <row r="1014" s="78" customFormat="1" x14ac:dyDescent="0.2"/>
    <row r="1015" s="78" customFormat="1" x14ac:dyDescent="0.2"/>
    <row r="1016" s="78" customFormat="1" x14ac:dyDescent="0.2"/>
    <row r="1017" s="78" customFormat="1" x14ac:dyDescent="0.2"/>
    <row r="1018" s="78" customFormat="1" x14ac:dyDescent="0.2"/>
    <row r="1019" s="78" customFormat="1" x14ac:dyDescent="0.2"/>
    <row r="1020" s="78" customFormat="1" x14ac:dyDescent="0.2"/>
    <row r="1021" s="78" customFormat="1" x14ac:dyDescent="0.2"/>
    <row r="1022" s="78" customFormat="1" x14ac:dyDescent="0.2"/>
    <row r="1023" s="78" customFormat="1" x14ac:dyDescent="0.2"/>
    <row r="1024" s="78" customFormat="1" x14ac:dyDescent="0.2"/>
    <row r="1025" spans="1:1" s="78" customFormat="1" x14ac:dyDescent="0.2"/>
    <row r="1026" spans="1:1" s="78" customFormat="1" x14ac:dyDescent="0.2"/>
    <row r="1027" spans="1:1" s="78" customFormat="1" x14ac:dyDescent="0.2"/>
    <row r="1028" spans="1:1" s="78" customFormat="1" x14ac:dyDescent="0.2"/>
    <row r="1029" spans="1:1" s="78" customFormat="1" x14ac:dyDescent="0.2"/>
    <row r="1030" spans="1:1" s="78" customFormat="1" x14ac:dyDescent="0.2"/>
    <row r="1031" spans="1:1" s="78" customFormat="1" x14ac:dyDescent="0.2"/>
    <row r="1032" spans="1:1" s="78" customFormat="1" x14ac:dyDescent="0.2"/>
    <row r="1033" spans="1:1" s="78" customFormat="1" x14ac:dyDescent="0.2"/>
    <row r="1034" spans="1:1" s="78" customFormat="1" x14ac:dyDescent="0.2"/>
    <row r="1035" spans="1:1" s="78" customFormat="1" x14ac:dyDescent="0.2"/>
    <row r="1036" spans="1:1" s="78" customFormat="1" x14ac:dyDescent="0.2"/>
    <row r="1037" spans="1:1" s="78" customFormat="1" x14ac:dyDescent="0.2"/>
    <row r="1038" spans="1:1" s="78" customFormat="1" x14ac:dyDescent="0.2"/>
    <row r="1039" spans="1:1" s="78" customFormat="1" x14ac:dyDescent="0.2">
      <c r="A1039" s="78" t="s">
        <v>1738</v>
      </c>
    </row>
    <row r="1040" spans="1:1" s="78" customFormat="1" x14ac:dyDescent="0.2">
      <c r="A1040" s="78" t="s">
        <v>806</v>
      </c>
    </row>
    <row r="1041" s="78" customFormat="1" x14ac:dyDescent="0.2"/>
    <row r="1042" s="78" customFormat="1" x14ac:dyDescent="0.2"/>
    <row r="1043" s="78" customFormat="1" x14ac:dyDescent="0.2"/>
    <row r="1044" s="78" customFormat="1" x14ac:dyDescent="0.2"/>
    <row r="1045" s="78" customFormat="1" x14ac:dyDescent="0.2"/>
    <row r="1046" s="78" customFormat="1" x14ac:dyDescent="0.2"/>
    <row r="1047" s="78" customFormat="1" x14ac:dyDescent="0.2"/>
    <row r="1048" s="78" customFormat="1" x14ac:dyDescent="0.2"/>
    <row r="1049" s="78" customFormat="1" x14ac:dyDescent="0.2"/>
    <row r="1050" s="78" customFormat="1" x14ac:dyDescent="0.2"/>
    <row r="1051" s="78" customFormat="1" x14ac:dyDescent="0.2"/>
    <row r="1052" s="78" customFormat="1" x14ac:dyDescent="0.2"/>
    <row r="1053" s="78" customFormat="1" x14ac:dyDescent="0.2"/>
    <row r="1054" s="78" customFormat="1" x14ac:dyDescent="0.2"/>
    <row r="1055" s="78" customFormat="1" x14ac:dyDescent="0.2"/>
    <row r="1056" s="78" customFormat="1" x14ac:dyDescent="0.2"/>
    <row r="1057" s="78" customFormat="1" x14ac:dyDescent="0.2"/>
    <row r="1058" s="78" customFormat="1" x14ac:dyDescent="0.2"/>
    <row r="1059" s="78" customFormat="1" x14ac:dyDescent="0.2"/>
    <row r="1060" s="78" customFormat="1" x14ac:dyDescent="0.2"/>
    <row r="1061" s="78" customFormat="1" x14ac:dyDescent="0.2"/>
    <row r="1062" s="78" customFormat="1" x14ac:dyDescent="0.2"/>
    <row r="1063" s="78" customFormat="1" x14ac:dyDescent="0.2"/>
    <row r="1064" s="78" customFormat="1" x14ac:dyDescent="0.2"/>
    <row r="1065" s="78" customFormat="1" x14ac:dyDescent="0.2"/>
    <row r="1066" s="78" customFormat="1" x14ac:dyDescent="0.2"/>
    <row r="1067" s="78" customFormat="1" x14ac:dyDescent="0.2"/>
    <row r="1068" s="78" customFormat="1" x14ac:dyDescent="0.2"/>
    <row r="1069" s="78" customFormat="1" x14ac:dyDescent="0.2"/>
    <row r="1070" s="78" customFormat="1" x14ac:dyDescent="0.2"/>
    <row r="1071" s="78" customFormat="1" x14ac:dyDescent="0.2"/>
    <row r="1072" s="78" customFormat="1" x14ac:dyDescent="0.2"/>
    <row r="1073" s="78" customFormat="1" x14ac:dyDescent="0.2"/>
    <row r="1074" s="78" customFormat="1" x14ac:dyDescent="0.2"/>
    <row r="1075" s="78" customFormat="1" x14ac:dyDescent="0.2"/>
    <row r="1076" s="78" customFormat="1" x14ac:dyDescent="0.2"/>
    <row r="1077" s="78" customFormat="1" x14ac:dyDescent="0.2"/>
    <row r="1078" s="78" customFormat="1" x14ac:dyDescent="0.2"/>
    <row r="1079" s="78" customFormat="1" x14ac:dyDescent="0.2"/>
    <row r="1080" s="78" customFormat="1" x14ac:dyDescent="0.2"/>
    <row r="1081" s="78" customFormat="1" x14ac:dyDescent="0.2"/>
    <row r="1082" s="78" customFormat="1" x14ac:dyDescent="0.2"/>
    <row r="1083" s="78" customFormat="1" x14ac:dyDescent="0.2"/>
    <row r="1084" s="78" customFormat="1" x14ac:dyDescent="0.2"/>
    <row r="1085" s="78" customFormat="1" x14ac:dyDescent="0.2"/>
    <row r="1086" s="78" customFormat="1" x14ac:dyDescent="0.2"/>
    <row r="1087" s="78" customFormat="1" x14ac:dyDescent="0.2"/>
    <row r="1088" s="78" customFormat="1" x14ac:dyDescent="0.2"/>
    <row r="1089" s="78" customFormat="1" x14ac:dyDescent="0.2"/>
    <row r="1090" s="78" customFormat="1" x14ac:dyDescent="0.2"/>
    <row r="1091" s="78" customFormat="1" x14ac:dyDescent="0.2"/>
    <row r="1092" s="78" customFormat="1" x14ac:dyDescent="0.2"/>
    <row r="1093" s="78" customFormat="1" x14ac:dyDescent="0.2"/>
    <row r="1094" s="78" customFormat="1" x14ac:dyDescent="0.2"/>
    <row r="1095" s="78" customFormat="1" x14ac:dyDescent="0.2"/>
    <row r="1096" s="78" customFormat="1" x14ac:dyDescent="0.2"/>
    <row r="1097" s="78" customFormat="1" x14ac:dyDescent="0.2"/>
    <row r="1098" s="78" customFormat="1" x14ac:dyDescent="0.2"/>
    <row r="1099" s="78" customFormat="1" x14ac:dyDescent="0.2"/>
    <row r="1100" s="78" customFormat="1" x14ac:dyDescent="0.2"/>
    <row r="1101" s="78" customFormat="1" x14ac:dyDescent="0.2"/>
    <row r="1102" s="78" customFormat="1" x14ac:dyDescent="0.2"/>
    <row r="1103" s="78" customFormat="1" x14ac:dyDescent="0.2"/>
    <row r="1104" s="78" customFormat="1" x14ac:dyDescent="0.2"/>
    <row r="1105" s="78" customFormat="1" x14ac:dyDescent="0.2"/>
    <row r="1106" s="78" customFormat="1" x14ac:dyDescent="0.2"/>
    <row r="1107" s="78" customFormat="1" x14ac:dyDescent="0.2"/>
    <row r="1108" s="78" customFormat="1" x14ac:dyDescent="0.2"/>
    <row r="1109" s="78" customFormat="1" x14ac:dyDescent="0.2"/>
    <row r="1110" s="78" customFormat="1" x14ac:dyDescent="0.2"/>
    <row r="1111" s="78" customFormat="1" x14ac:dyDescent="0.2"/>
    <row r="1112" s="78" customFormat="1" x14ac:dyDescent="0.2"/>
    <row r="1113" s="78" customFormat="1" x14ac:dyDescent="0.2"/>
    <row r="1114" s="78" customFormat="1" x14ac:dyDescent="0.2"/>
    <row r="1115" s="78" customFormat="1" x14ac:dyDescent="0.2"/>
    <row r="1116" s="78" customFormat="1" x14ac:dyDescent="0.2"/>
    <row r="1117" s="78" customFormat="1" x14ac:dyDescent="0.2"/>
    <row r="1118" s="78" customFormat="1" x14ac:dyDescent="0.2"/>
    <row r="1119" s="78" customFormat="1" x14ac:dyDescent="0.2"/>
    <row r="1120" s="78" customFormat="1" x14ac:dyDescent="0.2"/>
    <row r="1121" s="78" customFormat="1" x14ac:dyDescent="0.2"/>
    <row r="1122" s="78" customFormat="1" x14ac:dyDescent="0.2"/>
    <row r="1123" s="78" customFormat="1" x14ac:dyDescent="0.2"/>
    <row r="1124" s="78" customFormat="1" x14ac:dyDescent="0.2"/>
    <row r="1125" s="78" customFormat="1" x14ac:dyDescent="0.2"/>
    <row r="1126" s="78" customFormat="1" x14ac:dyDescent="0.2"/>
    <row r="1127" s="78" customFormat="1" x14ac:dyDescent="0.2"/>
    <row r="1128" s="78" customFormat="1" x14ac:dyDescent="0.2"/>
    <row r="1129" s="78" customFormat="1" x14ac:dyDescent="0.2"/>
    <row r="1130" s="78" customFormat="1" x14ac:dyDescent="0.2"/>
    <row r="1131" s="78" customFormat="1" x14ac:dyDescent="0.2"/>
    <row r="1132" s="78" customFormat="1" x14ac:dyDescent="0.2"/>
    <row r="1133" s="78" customFormat="1" x14ac:dyDescent="0.2"/>
    <row r="1134" s="78" customFormat="1" x14ac:dyDescent="0.2"/>
    <row r="1135" s="78" customFormat="1" x14ac:dyDescent="0.2"/>
    <row r="1136" s="78" customFormat="1" x14ac:dyDescent="0.2"/>
    <row r="1137" s="78" customFormat="1" x14ac:dyDescent="0.2"/>
    <row r="1138" s="78" customFormat="1" x14ac:dyDescent="0.2"/>
    <row r="1139" s="78" customFormat="1" x14ac:dyDescent="0.2"/>
    <row r="1140" s="78" customFormat="1" x14ac:dyDescent="0.2"/>
    <row r="1141" s="78" customFormat="1" x14ac:dyDescent="0.2"/>
    <row r="1142" s="78" customFormat="1" x14ac:dyDescent="0.2"/>
    <row r="1143" s="78" customFormat="1" x14ac:dyDescent="0.2"/>
    <row r="1144" s="78" customFormat="1" x14ac:dyDescent="0.2"/>
    <row r="1145" s="78" customFormat="1" x14ac:dyDescent="0.2"/>
    <row r="1146" s="78" customFormat="1" x14ac:dyDescent="0.2"/>
    <row r="1147" s="78" customFormat="1" x14ac:dyDescent="0.2"/>
    <row r="1148" s="78" customFormat="1" x14ac:dyDescent="0.2"/>
    <row r="1149" s="78" customFormat="1" x14ac:dyDescent="0.2"/>
    <row r="1150" s="78" customFormat="1" x14ac:dyDescent="0.2"/>
    <row r="1151" s="78" customFormat="1" x14ac:dyDescent="0.2"/>
    <row r="1152" s="78" customFormat="1" x14ac:dyDescent="0.2"/>
    <row r="1153" s="78" customFormat="1" x14ac:dyDescent="0.2"/>
    <row r="1154" s="78" customFormat="1" x14ac:dyDescent="0.2"/>
    <row r="1155" s="78" customFormat="1" x14ac:dyDescent="0.2"/>
    <row r="1156" s="78" customFormat="1" x14ac:dyDescent="0.2"/>
    <row r="1157" s="78" customFormat="1" x14ac:dyDescent="0.2"/>
    <row r="1158" s="78" customFormat="1" x14ac:dyDescent="0.2"/>
    <row r="1159" s="78" customFormat="1" x14ac:dyDescent="0.2"/>
    <row r="1160" s="78" customFormat="1" x14ac:dyDescent="0.2"/>
    <row r="1161" s="78" customFormat="1" x14ac:dyDescent="0.2"/>
    <row r="1162" s="78" customFormat="1" x14ac:dyDescent="0.2"/>
    <row r="1163" s="78" customFormat="1" x14ac:dyDescent="0.2"/>
    <row r="1164" s="78" customFormat="1" x14ac:dyDescent="0.2"/>
    <row r="1165" s="78" customFormat="1" x14ac:dyDescent="0.2"/>
    <row r="1166" s="78" customFormat="1" x14ac:dyDescent="0.2"/>
    <row r="1167" s="78" customFormat="1" x14ac:dyDescent="0.2"/>
    <row r="1168" s="78" customFormat="1" x14ac:dyDescent="0.2"/>
    <row r="1169" s="78" customFormat="1" x14ac:dyDescent="0.2"/>
    <row r="1170" s="78" customFormat="1" x14ac:dyDescent="0.2"/>
    <row r="1171" s="78" customFormat="1" x14ac:dyDescent="0.2"/>
    <row r="1172" s="78" customFormat="1" x14ac:dyDescent="0.2"/>
    <row r="1173" s="78" customFormat="1" x14ac:dyDescent="0.2"/>
    <row r="1174" s="78" customFormat="1" x14ac:dyDescent="0.2"/>
    <row r="1175" s="78" customFormat="1" x14ac:dyDescent="0.2"/>
    <row r="1176" s="78" customFormat="1" x14ac:dyDescent="0.2"/>
    <row r="1177" s="78" customFormat="1" x14ac:dyDescent="0.2"/>
    <row r="1178" s="78" customFormat="1" x14ac:dyDescent="0.2"/>
    <row r="1179" s="78" customFormat="1" x14ac:dyDescent="0.2"/>
    <row r="1180" s="78" customFormat="1" x14ac:dyDescent="0.2"/>
    <row r="1181" s="78" customFormat="1" x14ac:dyDescent="0.2"/>
    <row r="1182" s="78" customFormat="1" x14ac:dyDescent="0.2"/>
    <row r="1183" s="78" customFormat="1" x14ac:dyDescent="0.2"/>
    <row r="1184" s="78" customFormat="1" x14ac:dyDescent="0.2"/>
    <row r="1185" spans="1:1" s="78" customFormat="1" x14ac:dyDescent="0.2"/>
    <row r="1186" spans="1:1" s="78" customFormat="1" x14ac:dyDescent="0.2">
      <c r="A1186" s="80"/>
    </row>
    <row r="1187" spans="1:1" s="78" customFormat="1" x14ac:dyDescent="0.2">
      <c r="A1187" s="80"/>
    </row>
    <row r="1188" spans="1:1" s="78" customFormat="1" x14ac:dyDescent="0.2">
      <c r="A1188" s="80" t="s">
        <v>805</v>
      </c>
    </row>
    <row r="1189" spans="1:1" s="78" customFormat="1" x14ac:dyDescent="0.2">
      <c r="A1189" s="80" t="s">
        <v>806</v>
      </c>
    </row>
    <row r="1190" spans="1:1" s="78" customFormat="1" x14ac:dyDescent="0.2"/>
    <row r="1191" spans="1:1" s="78" customFormat="1" x14ac:dyDescent="0.2"/>
    <row r="1192" spans="1:1" s="78" customFormat="1" x14ac:dyDescent="0.2"/>
    <row r="1193" spans="1:1" s="78" customFormat="1" x14ac:dyDescent="0.2"/>
    <row r="1194" spans="1:1" s="78" customFormat="1" x14ac:dyDescent="0.2"/>
    <row r="1195" spans="1:1" s="78" customFormat="1" x14ac:dyDescent="0.2"/>
    <row r="1196" spans="1:1" s="78" customFormat="1" x14ac:dyDescent="0.2"/>
    <row r="1197" spans="1:1" s="78" customFormat="1" x14ac:dyDescent="0.2"/>
    <row r="1198" spans="1:1" s="78" customFormat="1" x14ac:dyDescent="0.2"/>
    <row r="1199" spans="1:1" s="78" customFormat="1" x14ac:dyDescent="0.2"/>
    <row r="1200" spans="1:1" s="78" customFormat="1" x14ac:dyDescent="0.2"/>
    <row r="1201" s="78" customFormat="1" x14ac:dyDescent="0.2"/>
    <row r="1202" s="78" customFormat="1" x14ac:dyDescent="0.2"/>
    <row r="1203" s="78" customFormat="1" x14ac:dyDescent="0.2"/>
    <row r="1204" s="78" customFormat="1" x14ac:dyDescent="0.2"/>
    <row r="1205" s="78" customFormat="1" x14ac:dyDescent="0.2"/>
    <row r="1206" s="78" customFormat="1" x14ac:dyDescent="0.2"/>
    <row r="1207" s="78" customFormat="1" x14ac:dyDescent="0.2"/>
    <row r="1208" s="78" customFormat="1" x14ac:dyDescent="0.2"/>
    <row r="1209" s="78" customFormat="1" x14ac:dyDescent="0.2"/>
    <row r="1210" s="78" customFormat="1" x14ac:dyDescent="0.2"/>
    <row r="1211" s="78" customFormat="1" x14ac:dyDescent="0.2"/>
    <row r="1212" s="78" customFormat="1" x14ac:dyDescent="0.2"/>
    <row r="1213" s="78" customFormat="1" x14ac:dyDescent="0.2"/>
    <row r="1214" s="78" customFormat="1" x14ac:dyDescent="0.2"/>
    <row r="1215" s="78" customFormat="1" x14ac:dyDescent="0.2"/>
    <row r="1216" s="78" customFormat="1" x14ac:dyDescent="0.2"/>
    <row r="1217" s="78" customFormat="1" x14ac:dyDescent="0.2"/>
    <row r="1218" s="78" customFormat="1" x14ac:dyDescent="0.2"/>
    <row r="1219" s="78" customFormat="1" x14ac:dyDescent="0.2"/>
    <row r="1220" s="78" customFormat="1" x14ac:dyDescent="0.2"/>
    <row r="1221" s="78" customFormat="1" x14ac:dyDescent="0.2"/>
    <row r="1222" s="78" customFormat="1" x14ac:dyDescent="0.2"/>
    <row r="1223" s="78" customFormat="1" x14ac:dyDescent="0.2"/>
    <row r="1224" s="78" customFormat="1" x14ac:dyDescent="0.2"/>
    <row r="1225" s="78" customFormat="1" x14ac:dyDescent="0.2"/>
    <row r="1226" s="78" customFormat="1" x14ac:dyDescent="0.2"/>
    <row r="1227" s="78" customFormat="1" x14ac:dyDescent="0.2"/>
    <row r="1228" s="78" customFormat="1" x14ac:dyDescent="0.2"/>
    <row r="1229" s="78" customFormat="1" x14ac:dyDescent="0.2"/>
    <row r="1230" s="78" customFormat="1" x14ac:dyDescent="0.2"/>
    <row r="1231" s="78" customFormat="1" x14ac:dyDescent="0.2"/>
    <row r="1232" s="78" customFormat="1" x14ac:dyDescent="0.2"/>
    <row r="1233" s="78" customFormat="1" x14ac:dyDescent="0.2"/>
    <row r="1234" s="78" customFormat="1" x14ac:dyDescent="0.2"/>
    <row r="1235" s="78" customFormat="1" x14ac:dyDescent="0.2"/>
    <row r="1236" s="78" customFormat="1" x14ac:dyDescent="0.2"/>
    <row r="1237" s="78" customFormat="1" x14ac:dyDescent="0.2"/>
    <row r="1238" s="78" customFormat="1" x14ac:dyDescent="0.2"/>
    <row r="1239" s="78" customFormat="1" x14ac:dyDescent="0.2"/>
    <row r="1240" s="78" customFormat="1" x14ac:dyDescent="0.2"/>
    <row r="1241" s="78" customFormat="1" x14ac:dyDescent="0.2"/>
    <row r="1242" s="78" customFormat="1" x14ac:dyDescent="0.2"/>
    <row r="1243" s="78" customFormat="1" x14ac:dyDescent="0.2"/>
    <row r="1244" s="78" customFormat="1" x14ac:dyDescent="0.2"/>
    <row r="1245" s="78" customFormat="1" x14ac:dyDescent="0.2"/>
    <row r="1246" s="78" customFormat="1" x14ac:dyDescent="0.2"/>
    <row r="1247" s="78" customFormat="1" x14ac:dyDescent="0.2"/>
    <row r="1248" s="78" customFormat="1" x14ac:dyDescent="0.2"/>
    <row r="1249" s="78" customFormat="1" x14ac:dyDescent="0.2"/>
    <row r="1250" s="78" customFormat="1" x14ac:dyDescent="0.2"/>
    <row r="1251" s="78" customFormat="1" x14ac:dyDescent="0.2"/>
    <row r="1252" s="78" customFormat="1" x14ac:dyDescent="0.2"/>
    <row r="1253" s="78" customFormat="1" x14ac:dyDescent="0.2"/>
    <row r="1254" s="78" customFormat="1" x14ac:dyDescent="0.2"/>
    <row r="1255" s="78" customFormat="1" x14ac:dyDescent="0.2"/>
    <row r="1256" s="78" customFormat="1" x14ac:dyDescent="0.2"/>
    <row r="1257" s="78" customFormat="1" x14ac:dyDescent="0.2"/>
    <row r="1258" s="78" customFormat="1" x14ac:dyDescent="0.2"/>
    <row r="1259" s="78" customFormat="1" x14ac:dyDescent="0.2"/>
    <row r="1260" s="78" customFormat="1" x14ac:dyDescent="0.2"/>
    <row r="1261" s="78" customFormat="1" x14ac:dyDescent="0.2"/>
    <row r="1262" s="78" customFormat="1" x14ac:dyDescent="0.2"/>
    <row r="1263" s="78" customFormat="1" x14ac:dyDescent="0.2"/>
    <row r="1264" s="78" customFormat="1" x14ac:dyDescent="0.2"/>
    <row r="1265" s="78" customFormat="1" x14ac:dyDescent="0.2"/>
    <row r="1266" s="78" customFormat="1" x14ac:dyDescent="0.2"/>
    <row r="1267" s="78" customFormat="1" x14ac:dyDescent="0.2"/>
    <row r="1268" s="78" customFormat="1" x14ac:dyDescent="0.2"/>
    <row r="1269" s="78" customFormat="1" x14ac:dyDescent="0.2"/>
    <row r="1270" s="78" customFormat="1" x14ac:dyDescent="0.2"/>
    <row r="1271" s="78" customFormat="1" x14ac:dyDescent="0.2"/>
    <row r="1272" s="78" customFormat="1" x14ac:dyDescent="0.2"/>
    <row r="1273" s="78" customFormat="1" x14ac:dyDescent="0.2"/>
    <row r="1274" s="78" customFormat="1" x14ac:dyDescent="0.2"/>
    <row r="1275" s="78" customFormat="1" x14ac:dyDescent="0.2"/>
    <row r="1276" s="78" customFormat="1" x14ac:dyDescent="0.2"/>
    <row r="1277" s="78" customFormat="1" x14ac:dyDescent="0.2"/>
    <row r="1278" s="78" customFormat="1" x14ac:dyDescent="0.2"/>
    <row r="1279" s="78" customFormat="1" x14ac:dyDescent="0.2"/>
    <row r="1280" s="78" customFormat="1" x14ac:dyDescent="0.2"/>
    <row r="1281" s="78" customFormat="1" x14ac:dyDescent="0.2"/>
    <row r="1282" s="78" customFormat="1" x14ac:dyDescent="0.2"/>
    <row r="1283" s="78" customFormat="1" x14ac:dyDescent="0.2"/>
    <row r="1284" s="78" customFormat="1" x14ac:dyDescent="0.2"/>
    <row r="1285" s="78" customFormat="1" x14ac:dyDescent="0.2"/>
    <row r="1286" s="78" customFormat="1" x14ac:dyDescent="0.2"/>
    <row r="1287" s="78" customFormat="1" x14ac:dyDescent="0.2"/>
    <row r="1288" s="78" customFormat="1" x14ac:dyDescent="0.2"/>
    <row r="1289" s="78" customFormat="1" x14ac:dyDescent="0.2"/>
    <row r="1290" s="78" customFormat="1" x14ac:dyDescent="0.2"/>
    <row r="1291" s="78" customFormat="1" x14ac:dyDescent="0.2"/>
    <row r="1292" s="78" customFormat="1" x14ac:dyDescent="0.2"/>
    <row r="1293" s="78" customFormat="1" x14ac:dyDescent="0.2"/>
    <row r="1294" s="78" customFormat="1" x14ac:dyDescent="0.2"/>
    <row r="1295" s="78" customFormat="1" x14ac:dyDescent="0.2"/>
    <row r="1296" s="78" customFormat="1" x14ac:dyDescent="0.2"/>
    <row r="1297" s="78" customFormat="1" x14ac:dyDescent="0.2"/>
    <row r="1298" s="78" customFormat="1" x14ac:dyDescent="0.2"/>
    <row r="1299" s="78" customFormat="1" x14ac:dyDescent="0.2"/>
    <row r="1300" s="78" customFormat="1" x14ac:dyDescent="0.2"/>
    <row r="1301" s="78" customFormat="1" x14ac:dyDescent="0.2"/>
    <row r="1302" s="78" customFormat="1" x14ac:dyDescent="0.2"/>
    <row r="1303" s="78" customFormat="1" x14ac:dyDescent="0.2"/>
    <row r="1304" s="78" customFormat="1" x14ac:dyDescent="0.2"/>
    <row r="1305" s="78" customFormat="1" x14ac:dyDescent="0.2"/>
    <row r="1306" s="78" customFormat="1" x14ac:dyDescent="0.2"/>
    <row r="1307" s="78" customFormat="1" x14ac:dyDescent="0.2"/>
    <row r="1308" s="78" customFormat="1" x14ac:dyDescent="0.2"/>
    <row r="1309" s="78" customFormat="1" x14ac:dyDescent="0.2"/>
    <row r="1310" s="78" customFormat="1" x14ac:dyDescent="0.2"/>
    <row r="1311" s="78" customFormat="1" x14ac:dyDescent="0.2"/>
    <row r="1312" s="78" customFormat="1" x14ac:dyDescent="0.2"/>
    <row r="1313" s="78" customFormat="1" x14ac:dyDescent="0.2"/>
    <row r="1314" s="78" customFormat="1" x14ac:dyDescent="0.2"/>
    <row r="1315" s="78" customFormat="1" x14ac:dyDescent="0.2"/>
    <row r="1316" s="78" customFormat="1" x14ac:dyDescent="0.2"/>
    <row r="1317" s="78" customFormat="1" x14ac:dyDescent="0.2"/>
    <row r="1318" s="78" customFormat="1" x14ac:dyDescent="0.2"/>
    <row r="1319" s="78" customFormat="1" x14ac:dyDescent="0.2"/>
    <row r="1320" s="78" customFormat="1" x14ac:dyDescent="0.2"/>
    <row r="1321" s="78" customFormat="1" x14ac:dyDescent="0.2"/>
    <row r="1322" s="78" customFormat="1" x14ac:dyDescent="0.2"/>
    <row r="1323" s="78" customFormat="1" x14ac:dyDescent="0.2"/>
    <row r="1324" s="78" customFormat="1" x14ac:dyDescent="0.2"/>
    <row r="1325" s="78" customFormat="1" x14ac:dyDescent="0.2"/>
    <row r="1326" s="78" customFormat="1" x14ac:dyDescent="0.2"/>
    <row r="1327" s="78" customFormat="1" x14ac:dyDescent="0.2"/>
    <row r="1328" s="78" customFormat="1" x14ac:dyDescent="0.2"/>
    <row r="1329" spans="1:5" s="78" customFormat="1" x14ac:dyDescent="0.2"/>
    <row r="1330" spans="1:5" s="78" customFormat="1" x14ac:dyDescent="0.2"/>
    <row r="1331" spans="1:5" s="78" customFormat="1" x14ac:dyDescent="0.2"/>
    <row r="1332" spans="1:5" s="78" customFormat="1" x14ac:dyDescent="0.2">
      <c r="A1332" s="78" t="s">
        <v>943</v>
      </c>
      <c r="C1332" s="78" t="s">
        <v>944</v>
      </c>
      <c r="D1332" s="78" t="s">
        <v>945</v>
      </c>
      <c r="E1332" s="78" t="s">
        <v>994</v>
      </c>
    </row>
    <row r="1333" spans="1:5" s="78" customFormat="1" x14ac:dyDescent="0.2"/>
    <row r="1334" spans="1:5" s="78" customFormat="1" x14ac:dyDescent="0.2">
      <c r="A1334" s="78" t="s">
        <v>950</v>
      </c>
      <c r="C1334" s="78" t="s">
        <v>949</v>
      </c>
      <c r="D1334" s="78" t="s">
        <v>949</v>
      </c>
      <c r="E1334" s="78" t="s">
        <v>995</v>
      </c>
    </row>
    <row r="1335" spans="1:5" s="78" customFormat="1" x14ac:dyDescent="0.2">
      <c r="A1335" s="78" t="s">
        <v>951</v>
      </c>
      <c r="C1335" s="78" t="s">
        <v>973</v>
      </c>
      <c r="D1335" s="78" t="s">
        <v>973</v>
      </c>
      <c r="E1335" s="78" t="s">
        <v>996</v>
      </c>
    </row>
    <row r="1336" spans="1:5" s="78" customFormat="1" x14ac:dyDescent="0.2">
      <c r="A1336" s="78" t="s">
        <v>953</v>
      </c>
      <c r="C1336" s="78" t="s">
        <v>974</v>
      </c>
      <c r="D1336" s="78" t="s">
        <v>974</v>
      </c>
      <c r="E1336" s="78" t="s">
        <v>997</v>
      </c>
    </row>
    <row r="1337" spans="1:5" s="78" customFormat="1" x14ac:dyDescent="0.2">
      <c r="A1337" s="78" t="s">
        <v>954</v>
      </c>
      <c r="C1337" s="78" t="s">
        <v>975</v>
      </c>
      <c r="D1337" s="78" t="s">
        <v>975</v>
      </c>
      <c r="E1337" s="78" t="s">
        <v>998</v>
      </c>
    </row>
    <row r="1338" spans="1:5" s="78" customFormat="1" x14ac:dyDescent="0.2">
      <c r="A1338" s="78" t="s">
        <v>955</v>
      </c>
      <c r="C1338" s="78" t="s">
        <v>976</v>
      </c>
      <c r="D1338" s="78" t="s">
        <v>976</v>
      </c>
      <c r="E1338" s="78" t="s">
        <v>999</v>
      </c>
    </row>
    <row r="1339" spans="1:5" s="78" customFormat="1" x14ac:dyDescent="0.2">
      <c r="A1339" s="78" t="s">
        <v>956</v>
      </c>
      <c r="C1339" s="78" t="s">
        <v>952</v>
      </c>
      <c r="D1339" s="78" t="s">
        <v>952</v>
      </c>
      <c r="E1339" s="78" t="s">
        <v>1000</v>
      </c>
    </row>
    <row r="1340" spans="1:5" s="78" customFormat="1" x14ac:dyDescent="0.2">
      <c r="A1340" s="78" t="s">
        <v>957</v>
      </c>
      <c r="C1340" s="78" t="s">
        <v>977</v>
      </c>
      <c r="D1340" s="78" t="s">
        <v>977</v>
      </c>
      <c r="E1340" s="78" t="s">
        <v>1001</v>
      </c>
    </row>
    <row r="1341" spans="1:5" s="78" customFormat="1" x14ac:dyDescent="0.2">
      <c r="A1341" s="78" t="s">
        <v>958</v>
      </c>
      <c r="C1341" s="78" t="s">
        <v>978</v>
      </c>
      <c r="D1341" s="78" t="s">
        <v>978</v>
      </c>
      <c r="E1341" s="78" t="s">
        <v>1002</v>
      </c>
    </row>
    <row r="1342" spans="1:5" s="78" customFormat="1" x14ac:dyDescent="0.2">
      <c r="A1342" s="78" t="s">
        <v>959</v>
      </c>
      <c r="C1342" s="78" t="s">
        <v>979</v>
      </c>
      <c r="D1342" s="78" t="s">
        <v>979</v>
      </c>
      <c r="E1342" s="78" t="s">
        <v>1003</v>
      </c>
    </row>
    <row r="1343" spans="1:5" s="78" customFormat="1" x14ac:dyDescent="0.2">
      <c r="A1343" s="78" t="s">
        <v>960</v>
      </c>
      <c r="C1343" s="78" t="s">
        <v>980</v>
      </c>
      <c r="D1343" s="78" t="s">
        <v>980</v>
      </c>
      <c r="E1343" s="78" t="s">
        <v>1004</v>
      </c>
    </row>
    <row r="1344" spans="1:5" s="78" customFormat="1" x14ac:dyDescent="0.2">
      <c r="A1344" s="78" t="s">
        <v>961</v>
      </c>
      <c r="C1344" s="78" t="s">
        <v>981</v>
      </c>
      <c r="D1344" s="78" t="s">
        <v>981</v>
      </c>
    </row>
    <row r="1345" spans="1:4" s="78" customFormat="1" x14ac:dyDescent="0.2">
      <c r="A1345" s="78" t="s">
        <v>962</v>
      </c>
      <c r="C1345" s="78" t="s">
        <v>982</v>
      </c>
      <c r="D1345" s="78" t="s">
        <v>982</v>
      </c>
    </row>
    <row r="1346" spans="1:4" s="78" customFormat="1" x14ac:dyDescent="0.2">
      <c r="A1346" s="78" t="s">
        <v>963</v>
      </c>
      <c r="C1346" s="78" t="s">
        <v>983</v>
      </c>
      <c r="D1346" s="78" t="s">
        <v>983</v>
      </c>
    </row>
    <row r="1347" spans="1:4" s="78" customFormat="1" x14ac:dyDescent="0.2">
      <c r="A1347" s="78" t="s">
        <v>964</v>
      </c>
      <c r="C1347" s="78" t="s">
        <v>984</v>
      </c>
      <c r="D1347" s="78" t="s">
        <v>984</v>
      </c>
    </row>
    <row r="1348" spans="1:4" s="78" customFormat="1" x14ac:dyDescent="0.2">
      <c r="A1348" s="78" t="s">
        <v>965</v>
      </c>
      <c r="C1348" s="78" t="s">
        <v>985</v>
      </c>
      <c r="D1348" s="78" t="s">
        <v>985</v>
      </c>
    </row>
    <row r="1349" spans="1:4" s="78" customFormat="1" x14ac:dyDescent="0.2">
      <c r="A1349" s="78" t="s">
        <v>966</v>
      </c>
      <c r="C1349" s="78" t="s">
        <v>986</v>
      </c>
      <c r="D1349" s="78" t="s">
        <v>986</v>
      </c>
    </row>
    <row r="1350" spans="1:4" s="78" customFormat="1" x14ac:dyDescent="0.2">
      <c r="A1350" s="78" t="s">
        <v>967</v>
      </c>
      <c r="C1350" s="78" t="s">
        <v>987</v>
      </c>
      <c r="D1350" s="78" t="s">
        <v>988</v>
      </c>
    </row>
    <row r="1351" spans="1:4" s="78" customFormat="1" x14ac:dyDescent="0.2">
      <c r="A1351" s="78" t="s">
        <v>968</v>
      </c>
      <c r="C1351" s="78" t="s">
        <v>988</v>
      </c>
      <c r="D1351" s="78" t="s">
        <v>992</v>
      </c>
    </row>
    <row r="1352" spans="1:4" s="78" customFormat="1" x14ac:dyDescent="0.2">
      <c r="A1352" s="78" t="s">
        <v>969</v>
      </c>
      <c r="C1352" s="78" t="s">
        <v>989</v>
      </c>
      <c r="D1352" s="78" t="s">
        <v>993</v>
      </c>
    </row>
    <row r="1353" spans="1:4" s="78" customFormat="1" x14ac:dyDescent="0.2">
      <c r="A1353" s="78" t="s">
        <v>970</v>
      </c>
      <c r="C1353" s="78" t="s">
        <v>990</v>
      </c>
      <c r="D1353" s="78" t="s">
        <v>991</v>
      </c>
    </row>
    <row r="1354" spans="1:4" s="78" customFormat="1" x14ac:dyDescent="0.2">
      <c r="A1354" s="78" t="s">
        <v>971</v>
      </c>
      <c r="C1354" s="78" t="s">
        <v>971</v>
      </c>
    </row>
    <row r="1355" spans="1:4" s="78" customFormat="1" x14ac:dyDescent="0.2">
      <c r="A1355" s="78" t="s">
        <v>972</v>
      </c>
      <c r="C1355" s="78" t="s">
        <v>991</v>
      </c>
    </row>
    <row r="1356" spans="1:4" s="78" customFormat="1" x14ac:dyDescent="0.2"/>
    <row r="1357" spans="1:4" s="78" customFormat="1" x14ac:dyDescent="0.2"/>
    <row r="1358" spans="1:4" s="78" customFormat="1" x14ac:dyDescent="0.2"/>
    <row r="1359" spans="1:4" s="78" customFormat="1" x14ac:dyDescent="0.2"/>
    <row r="1360" spans="1:4" s="78" customFormat="1" x14ac:dyDescent="0.2"/>
    <row r="1361" s="78" customFormat="1" x14ac:dyDescent="0.2"/>
    <row r="1362" s="78" customFormat="1" x14ac:dyDescent="0.2"/>
    <row r="1363" s="78" customFormat="1" x14ac:dyDescent="0.2"/>
    <row r="1364" s="78" customFormat="1" x14ac:dyDescent="0.2"/>
    <row r="1365" s="78" customFormat="1" x14ac:dyDescent="0.2"/>
    <row r="1366" s="78" customFormat="1" x14ac:dyDescent="0.2"/>
    <row r="1367" s="78" customFormat="1" x14ac:dyDescent="0.2"/>
    <row r="1368" s="78" customFormat="1" x14ac:dyDescent="0.2"/>
    <row r="1369" s="78" customFormat="1" x14ac:dyDescent="0.2"/>
    <row r="1370" s="78" customFormat="1" x14ac:dyDescent="0.2"/>
    <row r="1371" s="78" customFormat="1" x14ac:dyDescent="0.2"/>
    <row r="1372" s="78" customFormat="1" x14ac:dyDescent="0.2"/>
    <row r="1373" s="78" customFormat="1" x14ac:dyDescent="0.2"/>
    <row r="1374" s="78" customFormat="1" x14ac:dyDescent="0.2"/>
    <row r="1375" s="78" customFormat="1" x14ac:dyDescent="0.2"/>
    <row r="1376" s="78" customFormat="1" x14ac:dyDescent="0.2"/>
    <row r="1377" s="78" customFormat="1" x14ac:dyDescent="0.2"/>
    <row r="1378" s="78" customFormat="1" x14ac:dyDescent="0.2"/>
    <row r="1379" s="78" customFormat="1" x14ac:dyDescent="0.2"/>
    <row r="1380" s="78" customFormat="1" x14ac:dyDescent="0.2"/>
    <row r="1381" s="78" customFormat="1" x14ac:dyDescent="0.2"/>
    <row r="1382" s="78" customFormat="1" x14ac:dyDescent="0.2"/>
    <row r="1383" s="78" customFormat="1" x14ac:dyDescent="0.2"/>
    <row r="1384" s="78" customFormat="1" x14ac:dyDescent="0.2"/>
    <row r="1385" s="78" customFormat="1" x14ac:dyDescent="0.2"/>
    <row r="1386" s="78" customFormat="1" x14ac:dyDescent="0.2"/>
    <row r="1387" s="78" customFormat="1" x14ac:dyDescent="0.2"/>
    <row r="1388" s="78" customFormat="1" x14ac:dyDescent="0.2"/>
    <row r="1389" s="78" customFormat="1" x14ac:dyDescent="0.2"/>
    <row r="1390" s="78" customFormat="1" x14ac:dyDescent="0.2"/>
    <row r="1391" s="78" customFormat="1" x14ac:dyDescent="0.2"/>
    <row r="1392" s="78" customFormat="1" x14ac:dyDescent="0.2"/>
    <row r="1393" s="78" customFormat="1" x14ac:dyDescent="0.2"/>
    <row r="1394" s="78" customFormat="1" x14ac:dyDescent="0.2"/>
    <row r="1395" s="78" customFormat="1" x14ac:dyDescent="0.2"/>
    <row r="1396" s="78" customFormat="1" x14ac:dyDescent="0.2"/>
    <row r="1397" s="78" customFormat="1" x14ac:dyDescent="0.2"/>
    <row r="1398" s="78" customFormat="1" x14ac:dyDescent="0.2"/>
    <row r="1399" s="78" customFormat="1" x14ac:dyDescent="0.2"/>
    <row r="1400" s="78" customFormat="1" x14ac:dyDescent="0.2"/>
    <row r="1401" s="78" customFormat="1" x14ac:dyDescent="0.2"/>
    <row r="1402" s="78" customFormat="1" x14ac:dyDescent="0.2"/>
    <row r="1403" s="78" customFormat="1" x14ac:dyDescent="0.2"/>
    <row r="1404" s="78" customFormat="1" x14ac:dyDescent="0.2"/>
    <row r="1405" s="78" customFormat="1" x14ac:dyDescent="0.2"/>
    <row r="1406" s="78" customFormat="1" x14ac:dyDescent="0.2"/>
    <row r="1407" s="78" customFormat="1" x14ac:dyDescent="0.2"/>
    <row r="1408" s="78" customFormat="1" x14ac:dyDescent="0.2"/>
    <row r="1409" s="78" customFormat="1" x14ac:dyDescent="0.2"/>
    <row r="1410" s="78" customFormat="1" x14ac:dyDescent="0.2"/>
    <row r="1411" s="78" customFormat="1" x14ac:dyDescent="0.2"/>
    <row r="1412" s="78" customFormat="1" x14ac:dyDescent="0.2"/>
    <row r="1413" s="78" customFormat="1" x14ac:dyDescent="0.2"/>
    <row r="1414" s="78" customFormat="1" x14ac:dyDescent="0.2"/>
    <row r="1415" s="78" customFormat="1" x14ac:dyDescent="0.2"/>
    <row r="1416" s="78" customFormat="1" x14ac:dyDescent="0.2"/>
    <row r="1417" s="78" customFormat="1" x14ac:dyDescent="0.2"/>
    <row r="1418" s="78" customFormat="1" x14ac:dyDescent="0.2"/>
    <row r="1419" s="78" customFormat="1" x14ac:dyDescent="0.2"/>
    <row r="1420" s="78" customFormat="1" x14ac:dyDescent="0.2"/>
    <row r="1421" s="78" customFormat="1" x14ac:dyDescent="0.2"/>
    <row r="1422" s="78" customFormat="1" x14ac:dyDescent="0.2"/>
    <row r="1423" s="78" customFormat="1" x14ac:dyDescent="0.2"/>
    <row r="1424" s="78" customFormat="1" x14ac:dyDescent="0.2"/>
    <row r="1425" s="78" customFormat="1" x14ac:dyDescent="0.2"/>
    <row r="1426" s="78" customFormat="1" x14ac:dyDescent="0.2"/>
    <row r="1427" s="78" customFormat="1" x14ac:dyDescent="0.2"/>
    <row r="1428" s="78" customFormat="1" x14ac:dyDescent="0.2"/>
    <row r="1429" s="78" customFormat="1" x14ac:dyDescent="0.2"/>
    <row r="1430" s="78" customFormat="1" x14ac:dyDescent="0.2"/>
    <row r="1431" s="78" customFormat="1" x14ac:dyDescent="0.2"/>
    <row r="1432" s="78" customFormat="1" x14ac:dyDescent="0.2"/>
    <row r="1433" s="78" customFormat="1" x14ac:dyDescent="0.2"/>
    <row r="1434" s="78" customFormat="1" x14ac:dyDescent="0.2"/>
    <row r="1435" s="78" customFormat="1" x14ac:dyDescent="0.2"/>
    <row r="1436" s="78" customFormat="1" x14ac:dyDescent="0.2"/>
    <row r="1437" s="78" customFormat="1" x14ac:dyDescent="0.2"/>
    <row r="1438" s="78" customFormat="1" x14ac:dyDescent="0.2"/>
    <row r="1439" s="78" customFormat="1" x14ac:dyDescent="0.2"/>
    <row r="1440" s="78" customFormat="1" x14ac:dyDescent="0.2"/>
    <row r="1441" s="78" customFormat="1" x14ac:dyDescent="0.2"/>
    <row r="1442" s="78" customFormat="1" x14ac:dyDescent="0.2"/>
    <row r="1443" s="78" customFormat="1" x14ac:dyDescent="0.2"/>
    <row r="1444" s="78" customFormat="1" x14ac:dyDescent="0.2"/>
    <row r="1445" s="78" customFormat="1" x14ac:dyDescent="0.2"/>
    <row r="1446" s="78" customFormat="1" x14ac:dyDescent="0.2"/>
    <row r="1447" s="78" customFormat="1" x14ac:dyDescent="0.2"/>
    <row r="1448" s="78" customFormat="1" x14ac:dyDescent="0.2"/>
    <row r="1449" s="78" customFormat="1" x14ac:dyDescent="0.2"/>
    <row r="1450" s="78" customFormat="1" x14ac:dyDescent="0.2"/>
    <row r="1451" s="78" customFormat="1" x14ac:dyDescent="0.2"/>
    <row r="1452" s="78" customFormat="1" x14ac:dyDescent="0.2"/>
    <row r="1453" s="78" customFormat="1" x14ac:dyDescent="0.2"/>
    <row r="1454" s="78" customFormat="1" x14ac:dyDescent="0.2"/>
    <row r="1455" s="78" customFormat="1" x14ac:dyDescent="0.2"/>
    <row r="1456" s="78" customFormat="1" x14ac:dyDescent="0.2"/>
    <row r="1457" s="78" customFormat="1" x14ac:dyDescent="0.2"/>
    <row r="1458" s="78" customFormat="1" x14ac:dyDescent="0.2"/>
    <row r="1459" s="78" customFormat="1" x14ac:dyDescent="0.2"/>
    <row r="1460" s="78" customFormat="1" x14ac:dyDescent="0.2"/>
    <row r="1461" s="78" customFormat="1" x14ac:dyDescent="0.2"/>
    <row r="1462" s="78" customFormat="1" x14ac:dyDescent="0.2"/>
    <row r="1463" s="78" customFormat="1" x14ac:dyDescent="0.2"/>
    <row r="1464" s="78" customFormat="1" x14ac:dyDescent="0.2"/>
    <row r="1465" s="78" customFormat="1" x14ac:dyDescent="0.2"/>
    <row r="1466" s="78" customFormat="1" x14ac:dyDescent="0.2"/>
    <row r="1467" s="78" customFormat="1" x14ac:dyDescent="0.2"/>
    <row r="1468" s="78" customFormat="1" x14ac:dyDescent="0.2"/>
    <row r="1469" s="78" customFormat="1" x14ac:dyDescent="0.2"/>
    <row r="1470" s="78" customFormat="1" x14ac:dyDescent="0.2"/>
    <row r="1471" s="78" customFormat="1" x14ac:dyDescent="0.2"/>
    <row r="1472" s="78" customFormat="1" x14ac:dyDescent="0.2"/>
    <row r="1473" s="78" customFormat="1" x14ac:dyDescent="0.2"/>
    <row r="1474" s="78" customFormat="1" x14ac:dyDescent="0.2"/>
    <row r="1475" s="78" customFormat="1" x14ac:dyDescent="0.2"/>
    <row r="1476" s="78" customFormat="1" x14ac:dyDescent="0.2"/>
    <row r="1477" s="78" customFormat="1" x14ac:dyDescent="0.2"/>
    <row r="1478" s="78" customFormat="1" x14ac:dyDescent="0.2"/>
    <row r="1479" s="78" customFormat="1" x14ac:dyDescent="0.2"/>
    <row r="1480" s="78" customFormat="1" x14ac:dyDescent="0.2"/>
    <row r="1481" s="78" customFormat="1" x14ac:dyDescent="0.2"/>
    <row r="1482" s="78" customFormat="1" x14ac:dyDescent="0.2"/>
    <row r="1483" s="78" customFormat="1" x14ac:dyDescent="0.2"/>
    <row r="1484" s="78" customFormat="1" x14ac:dyDescent="0.2"/>
    <row r="1485" s="78" customFormat="1" x14ac:dyDescent="0.2"/>
    <row r="1486" s="78" customFormat="1" x14ac:dyDescent="0.2"/>
    <row r="1487" s="78" customFormat="1" x14ac:dyDescent="0.2"/>
    <row r="1488" s="78" customFormat="1" x14ac:dyDescent="0.2"/>
    <row r="1489" s="78" customFormat="1" x14ac:dyDescent="0.2"/>
    <row r="1490" s="78" customFormat="1" x14ac:dyDescent="0.2"/>
    <row r="1491" s="78" customFormat="1" x14ac:dyDescent="0.2"/>
    <row r="1492" s="78" customFormat="1" x14ac:dyDescent="0.2"/>
    <row r="1493" s="78" customFormat="1" x14ac:dyDescent="0.2"/>
    <row r="1494" s="78" customFormat="1" x14ac:dyDescent="0.2"/>
    <row r="1495" s="78" customFormat="1" x14ac:dyDescent="0.2"/>
    <row r="1496" s="78" customFormat="1" x14ac:dyDescent="0.2"/>
    <row r="1497" s="78" customFormat="1" x14ac:dyDescent="0.2"/>
    <row r="1498" s="78" customFormat="1" x14ac:dyDescent="0.2"/>
    <row r="1499" s="78" customFormat="1" x14ac:dyDescent="0.2"/>
    <row r="1500" s="78" customFormat="1" x14ac:dyDescent="0.2"/>
    <row r="1501" s="78" customFormat="1" x14ac:dyDescent="0.2"/>
    <row r="1502" s="78" customFormat="1" x14ac:dyDescent="0.2"/>
    <row r="1503" s="78" customFormat="1" x14ac:dyDescent="0.2"/>
    <row r="1504" s="78" customFormat="1" x14ac:dyDescent="0.2"/>
    <row r="1505" s="78" customFormat="1" x14ac:dyDescent="0.2"/>
    <row r="1506" s="78" customFormat="1" x14ac:dyDescent="0.2"/>
    <row r="1507" s="78" customFormat="1" x14ac:dyDescent="0.2"/>
    <row r="1508" s="78" customFormat="1" x14ac:dyDescent="0.2"/>
    <row r="1509" s="78" customFormat="1" x14ac:dyDescent="0.2"/>
    <row r="1510" s="78" customFormat="1" x14ac:dyDescent="0.2"/>
    <row r="1511" s="78" customFormat="1" x14ac:dyDescent="0.2"/>
    <row r="1512" s="78" customFormat="1" x14ac:dyDescent="0.2"/>
    <row r="1513" s="78" customFormat="1" x14ac:dyDescent="0.2"/>
    <row r="1514" s="78" customFormat="1" x14ac:dyDescent="0.2"/>
    <row r="1515" s="78" customFormat="1" x14ac:dyDescent="0.2"/>
    <row r="1516" s="78" customFormat="1" x14ac:dyDescent="0.2"/>
    <row r="1517" s="78" customFormat="1" x14ac:dyDescent="0.2"/>
    <row r="1518" s="78" customFormat="1" x14ac:dyDescent="0.2"/>
    <row r="1519" s="78" customFormat="1" x14ac:dyDescent="0.2"/>
    <row r="1520" s="78" customFormat="1" x14ac:dyDescent="0.2"/>
    <row r="1521" s="78" customFormat="1" x14ac:dyDescent="0.2"/>
    <row r="1522" s="78" customFormat="1" x14ac:dyDescent="0.2"/>
    <row r="1523" s="78" customFormat="1" x14ac:dyDescent="0.2"/>
    <row r="1524" s="78" customFormat="1" x14ac:dyDescent="0.2"/>
    <row r="1525" s="78" customFormat="1" x14ac:dyDescent="0.2"/>
    <row r="1526" s="78" customFormat="1" x14ac:dyDescent="0.2"/>
    <row r="1527" s="78" customFormat="1" x14ac:dyDescent="0.2"/>
    <row r="1528" s="78" customFormat="1" x14ac:dyDescent="0.2"/>
    <row r="1529" s="78" customFormat="1" x14ac:dyDescent="0.2"/>
    <row r="1530" s="78" customFormat="1" x14ac:dyDescent="0.2"/>
    <row r="1531" s="78" customFormat="1" x14ac:dyDescent="0.2"/>
    <row r="1532" s="78" customFormat="1" x14ac:dyDescent="0.2"/>
    <row r="1533" s="78" customFormat="1" x14ac:dyDescent="0.2"/>
    <row r="1534" s="78" customFormat="1" x14ac:dyDescent="0.2"/>
    <row r="1535" s="78" customFormat="1" x14ac:dyDescent="0.2"/>
    <row r="1536" s="78" customFormat="1" x14ac:dyDescent="0.2"/>
    <row r="1537" s="78" customFormat="1" x14ac:dyDescent="0.2"/>
    <row r="1538" s="78" customFormat="1" x14ac:dyDescent="0.2"/>
    <row r="1539" s="78" customFormat="1" x14ac:dyDescent="0.2"/>
    <row r="1540" s="78" customFormat="1" x14ac:dyDescent="0.2"/>
    <row r="1541" s="78" customFormat="1" x14ac:dyDescent="0.2"/>
    <row r="1542" s="78" customFormat="1" x14ac:dyDescent="0.2"/>
    <row r="1543" s="78" customFormat="1" x14ac:dyDescent="0.2"/>
    <row r="1544" s="78" customFormat="1" x14ac:dyDescent="0.2"/>
    <row r="1545" s="78" customFormat="1" x14ac:dyDescent="0.2"/>
    <row r="1546" s="78" customFormat="1" x14ac:dyDescent="0.2"/>
    <row r="1547" s="78" customFormat="1" x14ac:dyDescent="0.2"/>
    <row r="1548" s="78" customFormat="1" x14ac:dyDescent="0.2"/>
    <row r="1549" s="78" customFormat="1" x14ac:dyDescent="0.2"/>
    <row r="1550" s="78" customFormat="1" x14ac:dyDescent="0.2"/>
    <row r="1551" s="78" customFormat="1" x14ac:dyDescent="0.2"/>
    <row r="1552" s="78" customFormat="1" x14ac:dyDescent="0.2"/>
    <row r="1553" s="78" customFormat="1" x14ac:dyDescent="0.2"/>
    <row r="1554" s="78" customFormat="1" x14ac:dyDescent="0.2"/>
    <row r="1555" s="78" customFormat="1" x14ac:dyDescent="0.2"/>
    <row r="1556" s="78" customFormat="1" x14ac:dyDescent="0.2"/>
    <row r="1557" s="78" customFormat="1" x14ac:dyDescent="0.2"/>
    <row r="1558" s="78" customFormat="1" x14ac:dyDescent="0.2"/>
    <row r="1559" s="78" customFormat="1" x14ac:dyDescent="0.2"/>
    <row r="1560" s="78" customFormat="1" x14ac:dyDescent="0.2"/>
    <row r="1561" s="78" customFormat="1" x14ac:dyDescent="0.2"/>
    <row r="1562" s="78" customFormat="1" x14ac:dyDescent="0.2"/>
    <row r="1563" s="78" customFormat="1" x14ac:dyDescent="0.2"/>
    <row r="1564" s="78" customFormat="1" x14ac:dyDescent="0.2"/>
    <row r="1565" s="78" customFormat="1" x14ac:dyDescent="0.2"/>
    <row r="1566" s="78" customFormat="1" x14ac:dyDescent="0.2"/>
    <row r="1567" s="78" customFormat="1" x14ac:dyDescent="0.2"/>
    <row r="1568" s="78" customFormat="1" x14ac:dyDescent="0.2"/>
    <row r="1569" s="78" customFormat="1" x14ac:dyDescent="0.2"/>
    <row r="1570" s="78" customFormat="1" x14ac:dyDescent="0.2"/>
    <row r="1571" s="78" customFormat="1" x14ac:dyDescent="0.2"/>
    <row r="1572" s="78" customFormat="1" x14ac:dyDescent="0.2"/>
    <row r="1573" s="78" customFormat="1" x14ac:dyDescent="0.2"/>
    <row r="1574" s="78" customFormat="1" x14ac:dyDescent="0.2"/>
    <row r="1575" s="78" customFormat="1" x14ac:dyDescent="0.2"/>
    <row r="1576" s="78" customFormat="1" x14ac:dyDescent="0.2"/>
    <row r="1577" s="78" customFormat="1" x14ac:dyDescent="0.2"/>
    <row r="1578" s="78" customFormat="1" x14ac:dyDescent="0.2"/>
    <row r="1579" s="78" customFormat="1" x14ac:dyDescent="0.2"/>
    <row r="1580" s="78" customFormat="1" x14ac:dyDescent="0.2"/>
    <row r="1581" s="78" customFormat="1" x14ac:dyDescent="0.2"/>
    <row r="1582" s="78" customFormat="1" x14ac:dyDescent="0.2"/>
    <row r="1583" s="78" customFormat="1" x14ac:dyDescent="0.2"/>
    <row r="1584" s="78" customFormat="1" x14ac:dyDescent="0.2"/>
    <row r="1585" spans="1:1" s="78" customFormat="1" x14ac:dyDescent="0.2"/>
    <row r="1586" spans="1:1" s="78" customFormat="1" x14ac:dyDescent="0.2"/>
    <row r="1587" spans="1:1" s="78" customFormat="1" x14ac:dyDescent="0.2"/>
    <row r="1588" spans="1:1" s="78" customFormat="1" x14ac:dyDescent="0.2"/>
    <row r="1589" spans="1:1" s="78" customFormat="1" x14ac:dyDescent="0.2"/>
    <row r="1590" spans="1:1" s="78" customFormat="1" x14ac:dyDescent="0.2"/>
    <row r="1591" spans="1:1" s="78" customFormat="1" x14ac:dyDescent="0.2"/>
    <row r="1592" spans="1:1" s="78" customFormat="1" x14ac:dyDescent="0.2"/>
    <row r="1593" spans="1:1" s="78" customFormat="1" x14ac:dyDescent="0.2">
      <c r="A1593" s="78" t="s">
        <v>805</v>
      </c>
    </row>
    <row r="1594" spans="1:1" s="78" customFormat="1" x14ac:dyDescent="0.2">
      <c r="A1594" s="78" t="s">
        <v>806</v>
      </c>
    </row>
    <row r="1595" spans="1:1" s="78" customFormat="1" x14ac:dyDescent="0.2"/>
    <row r="1596" spans="1:1" s="78" customFormat="1" x14ac:dyDescent="0.2"/>
    <row r="1597" spans="1:1" s="78" customFormat="1" x14ac:dyDescent="0.2"/>
    <row r="1598" spans="1:1" s="78" customFormat="1" x14ac:dyDescent="0.2"/>
    <row r="1599" spans="1:1" s="78" customFormat="1" x14ac:dyDescent="0.2"/>
    <row r="1600" spans="1:1" s="78" customFormat="1" x14ac:dyDescent="0.2"/>
    <row r="1601" s="78" customFormat="1" x14ac:dyDescent="0.2"/>
    <row r="1602" s="78" customFormat="1" x14ac:dyDescent="0.2"/>
    <row r="1603" s="78" customFormat="1" x14ac:dyDescent="0.2"/>
    <row r="1604" s="78" customFormat="1" x14ac:dyDescent="0.2"/>
    <row r="1605" s="78" customFormat="1" x14ac:dyDescent="0.2"/>
    <row r="1606" s="78" customFormat="1" x14ac:dyDescent="0.2"/>
    <row r="1607" s="78" customFormat="1" x14ac:dyDescent="0.2"/>
    <row r="1608" s="78" customFormat="1" x14ac:dyDescent="0.2"/>
    <row r="1609" s="78" customFormat="1" x14ac:dyDescent="0.2"/>
    <row r="1610" s="78" customFormat="1" x14ac:dyDescent="0.2"/>
    <row r="1611" s="78" customFormat="1" x14ac:dyDescent="0.2"/>
    <row r="1612" s="78" customFormat="1" x14ac:dyDescent="0.2"/>
    <row r="1613" s="78" customFormat="1" x14ac:dyDescent="0.2"/>
    <row r="1614" s="78" customFormat="1" x14ac:dyDescent="0.2"/>
    <row r="1615" s="78" customFormat="1" x14ac:dyDescent="0.2"/>
    <row r="1616" s="78" customFormat="1" x14ac:dyDescent="0.2"/>
    <row r="1617" s="78" customFormat="1" x14ac:dyDescent="0.2"/>
    <row r="1618" s="78" customFormat="1" x14ac:dyDescent="0.2"/>
    <row r="1619" s="78" customFormat="1" x14ac:dyDescent="0.2"/>
    <row r="1620" s="78" customFormat="1" x14ac:dyDescent="0.2"/>
    <row r="1621" s="78" customFormat="1" x14ac:dyDescent="0.2"/>
    <row r="1622" s="78" customFormat="1" x14ac:dyDescent="0.2"/>
    <row r="1623" s="78" customFormat="1" x14ac:dyDescent="0.2"/>
    <row r="1624" s="78" customFormat="1" x14ac:dyDescent="0.2"/>
    <row r="1625" s="78" customFormat="1" x14ac:dyDescent="0.2"/>
    <row r="1626" s="78" customFormat="1" x14ac:dyDescent="0.2"/>
    <row r="1627" s="78" customFormat="1" x14ac:dyDescent="0.2"/>
    <row r="1628" s="78" customFormat="1" x14ac:dyDescent="0.2"/>
    <row r="1629" s="78" customFormat="1" x14ac:dyDescent="0.2"/>
    <row r="1630" s="78" customFormat="1" x14ac:dyDescent="0.2"/>
    <row r="1631" s="78" customFormat="1" x14ac:dyDescent="0.2"/>
    <row r="1632" s="78" customFormat="1" x14ac:dyDescent="0.2"/>
    <row r="1633" s="78" customFormat="1" x14ac:dyDescent="0.2"/>
    <row r="1634" s="78" customFormat="1" x14ac:dyDescent="0.2"/>
    <row r="1635" s="78" customFormat="1" x14ac:dyDescent="0.2"/>
    <row r="1636" s="78" customFormat="1" x14ac:dyDescent="0.2"/>
    <row r="1637" s="78" customFormat="1" x14ac:dyDescent="0.2"/>
    <row r="1638" s="78" customFormat="1" x14ac:dyDescent="0.2"/>
    <row r="1639" s="78" customFormat="1" x14ac:dyDescent="0.2"/>
    <row r="1640" s="78" customFormat="1" x14ac:dyDescent="0.2"/>
    <row r="1641" s="78" customFormat="1" x14ac:dyDescent="0.2"/>
    <row r="1642" s="78" customFormat="1" x14ac:dyDescent="0.2"/>
    <row r="1643" s="78" customFormat="1" x14ac:dyDescent="0.2"/>
    <row r="1644" s="78" customFormat="1" x14ac:dyDescent="0.2"/>
    <row r="1645" s="78" customFormat="1" x14ac:dyDescent="0.2"/>
    <row r="1646" s="78" customFormat="1" x14ac:dyDescent="0.2"/>
    <row r="1647" s="78" customFormat="1" x14ac:dyDescent="0.2"/>
    <row r="1648" s="78" customFormat="1" x14ac:dyDescent="0.2"/>
    <row r="1649" s="78" customFormat="1" x14ac:dyDescent="0.2"/>
    <row r="1650" s="78" customFormat="1" x14ac:dyDescent="0.2"/>
    <row r="1651" s="78" customFormat="1" x14ac:dyDescent="0.2"/>
    <row r="1652" s="78" customFormat="1" x14ac:dyDescent="0.2"/>
    <row r="1653" s="78" customFormat="1" x14ac:dyDescent="0.2"/>
    <row r="1654" s="78" customFormat="1" x14ac:dyDescent="0.2"/>
    <row r="1655" s="78" customFormat="1" x14ac:dyDescent="0.2"/>
    <row r="1656" s="78" customFormat="1" x14ac:dyDescent="0.2"/>
    <row r="1657" s="78" customFormat="1" x14ac:dyDescent="0.2"/>
    <row r="1658" s="78" customFormat="1" x14ac:dyDescent="0.2"/>
    <row r="1659" s="78" customFormat="1" x14ac:dyDescent="0.2"/>
    <row r="1660" s="78" customFormat="1" x14ac:dyDescent="0.2"/>
    <row r="1661" s="78" customFormat="1" x14ac:dyDescent="0.2"/>
    <row r="1662" s="78" customFormat="1" x14ac:dyDescent="0.2"/>
    <row r="1663" s="78" customFormat="1" x14ac:dyDescent="0.2"/>
    <row r="1664" s="78" customFormat="1" x14ac:dyDescent="0.2"/>
    <row r="1665" s="78" customFormat="1" x14ac:dyDescent="0.2"/>
    <row r="1666" s="78" customFormat="1" x14ac:dyDescent="0.2"/>
    <row r="1667" s="78" customFormat="1" x14ac:dyDescent="0.2"/>
    <row r="1668" s="78" customFormat="1" x14ac:dyDescent="0.2"/>
    <row r="1669" s="78" customFormat="1" x14ac:dyDescent="0.2"/>
    <row r="1670" s="78" customFormat="1" x14ac:dyDescent="0.2"/>
    <row r="1671" s="78" customFormat="1" x14ac:dyDescent="0.2"/>
    <row r="1672" s="78" customFormat="1" x14ac:dyDescent="0.2"/>
    <row r="1673" s="78" customFormat="1" x14ac:dyDescent="0.2"/>
    <row r="1674" s="78" customFormat="1" x14ac:dyDescent="0.2"/>
    <row r="1675" s="78" customFormat="1" x14ac:dyDescent="0.2"/>
    <row r="1676" s="78" customFormat="1" x14ac:dyDescent="0.2"/>
    <row r="1677" s="78" customFormat="1" x14ac:dyDescent="0.2"/>
    <row r="1678" s="78" customFormat="1" x14ac:dyDescent="0.2"/>
    <row r="1679" s="78" customFormat="1" x14ac:dyDescent="0.2"/>
    <row r="1680" s="78" customFormat="1" x14ac:dyDescent="0.2"/>
    <row r="1681" s="78" customFormat="1" x14ac:dyDescent="0.2"/>
    <row r="1682" s="78" customFormat="1" x14ac:dyDescent="0.2"/>
    <row r="1683" s="78" customFormat="1" x14ac:dyDescent="0.2"/>
    <row r="1684" s="78" customFormat="1" x14ac:dyDescent="0.2"/>
    <row r="1685" s="78" customFormat="1" x14ac:dyDescent="0.2"/>
    <row r="1686" s="78" customFormat="1" x14ac:dyDescent="0.2"/>
    <row r="1687" s="78" customFormat="1" x14ac:dyDescent="0.2"/>
    <row r="1688" s="78" customFormat="1" x14ac:dyDescent="0.2"/>
    <row r="1689" s="78" customFormat="1" x14ac:dyDescent="0.2"/>
    <row r="1690" s="78" customFormat="1" x14ac:dyDescent="0.2"/>
    <row r="1691" s="78" customFormat="1" x14ac:dyDescent="0.2"/>
    <row r="1692" s="78" customFormat="1" x14ac:dyDescent="0.2"/>
    <row r="1693" s="78" customFormat="1" x14ac:dyDescent="0.2"/>
    <row r="1694" s="78" customFormat="1" x14ac:dyDescent="0.2"/>
    <row r="1695" s="78" customFormat="1" x14ac:dyDescent="0.2"/>
    <row r="1696" s="78" customFormat="1" x14ac:dyDescent="0.2"/>
    <row r="1697" s="78" customFormat="1" x14ac:dyDescent="0.2"/>
    <row r="1698" s="78" customFormat="1" x14ac:dyDescent="0.2"/>
    <row r="1699" s="78" customFormat="1" x14ac:dyDescent="0.2"/>
    <row r="1700" s="78" customFormat="1" x14ac:dyDescent="0.2"/>
    <row r="1701" s="78" customFormat="1" x14ac:dyDescent="0.2"/>
    <row r="1702" s="78" customFormat="1" x14ac:dyDescent="0.2"/>
    <row r="1703" s="78" customFormat="1" x14ac:dyDescent="0.2"/>
    <row r="1704" s="78" customFormat="1" x14ac:dyDescent="0.2"/>
    <row r="1705" s="78" customFormat="1" x14ac:dyDescent="0.2"/>
    <row r="1706" s="78" customFormat="1" x14ac:dyDescent="0.2"/>
    <row r="1707" s="78" customFormat="1" x14ac:dyDescent="0.2"/>
    <row r="1708" s="78" customFormat="1" x14ac:dyDescent="0.2"/>
    <row r="1709" s="78" customFormat="1" x14ac:dyDescent="0.2"/>
    <row r="1710" s="78" customFormat="1" x14ac:dyDescent="0.2"/>
    <row r="1711" s="78" customFormat="1" x14ac:dyDescent="0.2"/>
    <row r="1712" s="78" customFormat="1" x14ac:dyDescent="0.2"/>
    <row r="1713" s="78" customFormat="1" x14ac:dyDescent="0.2"/>
    <row r="1714" s="78" customFormat="1" x14ac:dyDescent="0.2"/>
    <row r="1715" s="78" customFormat="1" x14ac:dyDescent="0.2"/>
    <row r="1716" s="78" customFormat="1" x14ac:dyDescent="0.2"/>
    <row r="1717" s="78" customFormat="1" x14ac:dyDescent="0.2"/>
    <row r="1718" s="78" customFormat="1" x14ac:dyDescent="0.2"/>
    <row r="1719" s="78" customFormat="1" x14ac:dyDescent="0.2"/>
    <row r="1720" s="78" customFormat="1" x14ac:dyDescent="0.2"/>
    <row r="1721" s="78" customFormat="1" x14ac:dyDescent="0.2"/>
    <row r="1722" s="78" customFormat="1" x14ac:dyDescent="0.2"/>
    <row r="1723" s="78" customFormat="1" x14ac:dyDescent="0.2"/>
    <row r="1724" s="78" customFormat="1" x14ac:dyDescent="0.2"/>
    <row r="1725" s="78" customFormat="1" x14ac:dyDescent="0.2"/>
    <row r="1726" s="78" customFormat="1" x14ac:dyDescent="0.2"/>
    <row r="1727" s="78" customFormat="1" x14ac:dyDescent="0.2"/>
    <row r="1728" s="78" customFormat="1" x14ac:dyDescent="0.2"/>
    <row r="1729" s="78" customFormat="1" x14ac:dyDescent="0.2"/>
    <row r="1730" s="78" customFormat="1" x14ac:dyDescent="0.2"/>
    <row r="1731" s="78" customFormat="1" x14ac:dyDescent="0.2"/>
    <row r="1732" s="78" customFormat="1" x14ac:dyDescent="0.2"/>
    <row r="1733" s="78" customFormat="1" x14ac:dyDescent="0.2"/>
    <row r="1734" s="78" customFormat="1" x14ac:dyDescent="0.2"/>
    <row r="1735" s="78" customFormat="1" x14ac:dyDescent="0.2"/>
    <row r="1736" s="78" customFormat="1" x14ac:dyDescent="0.2"/>
    <row r="1737" s="78" customFormat="1" x14ac:dyDescent="0.2"/>
    <row r="1738" s="78" customFormat="1" x14ac:dyDescent="0.2"/>
    <row r="1739" s="78" customFormat="1" x14ac:dyDescent="0.2"/>
    <row r="1740" s="78" customFormat="1" x14ac:dyDescent="0.2"/>
    <row r="1741" s="78" customFormat="1" x14ac:dyDescent="0.2"/>
    <row r="1742" s="78" customFormat="1" x14ac:dyDescent="0.2"/>
    <row r="1743" s="78" customFormat="1" x14ac:dyDescent="0.2"/>
    <row r="1744" s="78" customFormat="1" x14ac:dyDescent="0.2"/>
    <row r="1745" s="78" customFormat="1" x14ac:dyDescent="0.2"/>
    <row r="1746" s="78" customFormat="1" x14ac:dyDescent="0.2"/>
    <row r="1747" s="78" customFormat="1" x14ac:dyDescent="0.2"/>
    <row r="1748" s="78" customFormat="1" x14ac:dyDescent="0.2"/>
    <row r="1749" s="78" customFormat="1" x14ac:dyDescent="0.2"/>
    <row r="1750" s="78" customFormat="1" x14ac:dyDescent="0.2"/>
    <row r="1751" s="78" customFormat="1" x14ac:dyDescent="0.2"/>
    <row r="1752" s="78" customFormat="1" x14ac:dyDescent="0.2"/>
    <row r="1753" s="78" customFormat="1" x14ac:dyDescent="0.2"/>
    <row r="1754" s="78" customFormat="1" x14ac:dyDescent="0.2"/>
    <row r="1755" s="78" customFormat="1" x14ac:dyDescent="0.2"/>
    <row r="1756" s="78" customFormat="1" x14ac:dyDescent="0.2"/>
    <row r="1757" s="78" customFormat="1" x14ac:dyDescent="0.2"/>
    <row r="1758" s="78" customFormat="1" x14ac:dyDescent="0.2"/>
    <row r="1759" s="78" customFormat="1" x14ac:dyDescent="0.2"/>
    <row r="1760" s="78" customFormat="1" x14ac:dyDescent="0.2"/>
    <row r="1761" s="78" customFormat="1" x14ac:dyDescent="0.2"/>
    <row r="1762" s="78" customFormat="1" x14ac:dyDescent="0.2"/>
    <row r="1763" s="78" customFormat="1" x14ac:dyDescent="0.2"/>
    <row r="1764" s="78" customFormat="1" x14ac:dyDescent="0.2"/>
    <row r="1765" s="78" customFormat="1" x14ac:dyDescent="0.2"/>
    <row r="1766" s="78" customFormat="1" x14ac:dyDescent="0.2"/>
    <row r="1767" s="78" customFormat="1" x14ac:dyDescent="0.2"/>
    <row r="1768" s="78" customFormat="1" x14ac:dyDescent="0.2"/>
    <row r="1769" s="78" customFormat="1" x14ac:dyDescent="0.2"/>
    <row r="1770" s="78" customFormat="1" x14ac:dyDescent="0.2"/>
    <row r="1771" s="78" customFormat="1" x14ac:dyDescent="0.2"/>
    <row r="1772" s="78" customFormat="1" x14ac:dyDescent="0.2"/>
    <row r="1773" s="78" customFormat="1" x14ac:dyDescent="0.2"/>
    <row r="1774" s="78" customFormat="1" x14ac:dyDescent="0.2"/>
    <row r="1775" s="78" customFormat="1" x14ac:dyDescent="0.2"/>
    <row r="1776" s="78" customFormat="1" x14ac:dyDescent="0.2"/>
    <row r="1777" s="78" customFormat="1" x14ac:dyDescent="0.2"/>
    <row r="1778" s="78" customFormat="1" x14ac:dyDescent="0.2"/>
    <row r="1779" s="78" customFormat="1" x14ac:dyDescent="0.2"/>
    <row r="1780" s="78" customFormat="1" x14ac:dyDescent="0.2"/>
    <row r="1781" s="78" customFormat="1" x14ac:dyDescent="0.2"/>
    <row r="1782" s="78" customFormat="1" x14ac:dyDescent="0.2"/>
    <row r="1783" s="78" customFormat="1" x14ac:dyDescent="0.2"/>
    <row r="1784" s="78" customFormat="1" x14ac:dyDescent="0.2"/>
    <row r="1785" s="78" customFormat="1" x14ac:dyDescent="0.2"/>
    <row r="1786" s="78" customFormat="1" x14ac:dyDescent="0.2"/>
    <row r="1787" s="78" customFormat="1" x14ac:dyDescent="0.2"/>
    <row r="1788" s="78" customFormat="1" x14ac:dyDescent="0.2"/>
    <row r="1789" s="78" customFormat="1" x14ac:dyDescent="0.2"/>
    <row r="1790" s="78" customFormat="1" x14ac:dyDescent="0.2"/>
    <row r="1791" s="78" customFormat="1" x14ac:dyDescent="0.2"/>
    <row r="1792" s="78" customFormat="1" x14ac:dyDescent="0.2"/>
    <row r="1793" s="78" customFormat="1" x14ac:dyDescent="0.2"/>
    <row r="1794" s="78" customFormat="1" x14ac:dyDescent="0.2"/>
    <row r="1795" s="78" customFormat="1" x14ac:dyDescent="0.2"/>
    <row r="1796" s="78" customFormat="1" x14ac:dyDescent="0.2"/>
    <row r="1797" s="78" customFormat="1" x14ac:dyDescent="0.2"/>
    <row r="1798" s="78" customFormat="1" x14ac:dyDescent="0.2"/>
    <row r="1799" s="78" customFormat="1" x14ac:dyDescent="0.2"/>
    <row r="1800" s="78" customFormat="1" x14ac:dyDescent="0.2"/>
    <row r="1801" s="78" customFormat="1" x14ac:dyDescent="0.2"/>
    <row r="1802" s="78" customFormat="1" x14ac:dyDescent="0.2"/>
    <row r="1803" s="78" customFormat="1" x14ac:dyDescent="0.2"/>
    <row r="1804" s="78" customFormat="1" x14ac:dyDescent="0.2"/>
    <row r="1805" s="78" customFormat="1" x14ac:dyDescent="0.2"/>
    <row r="1806" s="78" customFormat="1" x14ac:dyDescent="0.2"/>
    <row r="1807" s="78" customFormat="1" x14ac:dyDescent="0.2"/>
    <row r="1808" s="78" customFormat="1" x14ac:dyDescent="0.2"/>
    <row r="1809" s="78" customFormat="1" x14ac:dyDescent="0.2"/>
    <row r="1810" s="78" customFormat="1" x14ac:dyDescent="0.2"/>
    <row r="1811" s="78" customFormat="1" x14ac:dyDescent="0.2"/>
    <row r="1812" s="78" customFormat="1" x14ac:dyDescent="0.2"/>
    <row r="1813" s="78" customFormat="1" x14ac:dyDescent="0.2"/>
    <row r="1814" s="78" customFormat="1" x14ac:dyDescent="0.2"/>
    <row r="1815" s="78" customFormat="1" x14ac:dyDescent="0.2"/>
    <row r="1816" s="78" customFormat="1" x14ac:dyDescent="0.2"/>
    <row r="1817" s="78" customFormat="1" x14ac:dyDescent="0.2"/>
    <row r="1818" s="78" customFormat="1" x14ac:dyDescent="0.2"/>
    <row r="1819" s="78" customFormat="1" x14ac:dyDescent="0.2"/>
    <row r="1820" s="78" customFormat="1" x14ac:dyDescent="0.2"/>
    <row r="1821" s="78" customFormat="1" x14ac:dyDescent="0.2"/>
    <row r="1822" s="78" customFormat="1" x14ac:dyDescent="0.2"/>
    <row r="1823" s="78" customFormat="1" x14ac:dyDescent="0.2"/>
    <row r="1824" s="78" customFormat="1" x14ac:dyDescent="0.2"/>
    <row r="1825" s="78" customFormat="1" x14ac:dyDescent="0.2"/>
    <row r="1826" s="78" customFormat="1" x14ac:dyDescent="0.2"/>
    <row r="1827" s="78" customFormat="1" x14ac:dyDescent="0.2"/>
    <row r="1828" s="78" customFormat="1" x14ac:dyDescent="0.2"/>
    <row r="1829" s="78" customFormat="1" x14ac:dyDescent="0.2"/>
    <row r="1830" s="78" customFormat="1" x14ac:dyDescent="0.2"/>
    <row r="1831" s="78" customFormat="1" x14ac:dyDescent="0.2"/>
    <row r="1832" s="78" customFormat="1" x14ac:dyDescent="0.2"/>
    <row r="1833" s="78" customFormat="1" x14ac:dyDescent="0.2"/>
    <row r="1834" s="78" customFormat="1" x14ac:dyDescent="0.2"/>
    <row r="1835" s="78" customFormat="1" x14ac:dyDescent="0.2"/>
    <row r="1836" s="78" customFormat="1" x14ac:dyDescent="0.2"/>
    <row r="1837" s="78" customFormat="1" x14ac:dyDescent="0.2"/>
    <row r="1838" s="78" customFormat="1" x14ac:dyDescent="0.2"/>
    <row r="1839" s="78" customFormat="1" x14ac:dyDescent="0.2"/>
    <row r="1840" s="78" customFormat="1" x14ac:dyDescent="0.2"/>
    <row r="1841" s="78" customFormat="1" x14ac:dyDescent="0.2"/>
    <row r="1842" s="78" customFormat="1" x14ac:dyDescent="0.2"/>
    <row r="1843" s="78" customFormat="1" x14ac:dyDescent="0.2"/>
    <row r="1844" s="78" customFormat="1" x14ac:dyDescent="0.2"/>
    <row r="1845" s="78" customFormat="1" x14ac:dyDescent="0.2"/>
    <row r="1846" s="78" customFormat="1" x14ac:dyDescent="0.2"/>
    <row r="1847" s="78" customFormat="1" x14ac:dyDescent="0.2"/>
    <row r="1848" s="78" customFormat="1" x14ac:dyDescent="0.2"/>
    <row r="1849" s="78" customFormat="1" x14ac:dyDescent="0.2"/>
    <row r="1850" s="78" customFormat="1" x14ac:dyDescent="0.2"/>
    <row r="1851" s="78" customFormat="1" x14ac:dyDescent="0.2"/>
    <row r="1852" s="78" customFormat="1" x14ac:dyDescent="0.2"/>
    <row r="1853" s="78" customFormat="1" x14ac:dyDescent="0.2"/>
    <row r="1854" s="78" customFormat="1" x14ac:dyDescent="0.2"/>
    <row r="1855" s="78" customFormat="1" x14ac:dyDescent="0.2"/>
    <row r="1856" s="78" customFormat="1" x14ac:dyDescent="0.2"/>
    <row r="1857" s="78" customFormat="1" x14ac:dyDescent="0.2"/>
    <row r="1858" s="78" customFormat="1" x14ac:dyDescent="0.2"/>
    <row r="1859" s="78" customFormat="1" x14ac:dyDescent="0.2"/>
    <row r="1860" s="78" customFormat="1" x14ac:dyDescent="0.2"/>
    <row r="1861" s="78" customFormat="1" x14ac:dyDescent="0.2"/>
    <row r="1862" s="78" customFormat="1" x14ac:dyDescent="0.2"/>
    <row r="1863" s="78" customFormat="1" x14ac:dyDescent="0.2"/>
    <row r="1864" s="78" customFormat="1" x14ac:dyDescent="0.2"/>
    <row r="1865" s="78" customFormat="1" x14ac:dyDescent="0.2"/>
    <row r="1866" s="78" customFormat="1" x14ac:dyDescent="0.2"/>
    <row r="1867" s="78" customFormat="1" x14ac:dyDescent="0.2"/>
    <row r="1868" s="78" customFormat="1" x14ac:dyDescent="0.2"/>
    <row r="1869" s="78" customFormat="1" x14ac:dyDescent="0.2"/>
    <row r="1870" s="78" customFormat="1" x14ac:dyDescent="0.2"/>
    <row r="1871" s="78" customFormat="1" x14ac:dyDescent="0.2"/>
    <row r="1872" s="78" customFormat="1" x14ac:dyDescent="0.2"/>
    <row r="1873" s="78" customFormat="1" x14ac:dyDescent="0.2"/>
    <row r="1874" s="78" customFormat="1" x14ac:dyDescent="0.2"/>
    <row r="1875" s="78" customFormat="1" x14ac:dyDescent="0.2"/>
    <row r="1876" s="78" customFormat="1" x14ac:dyDescent="0.2"/>
    <row r="1877" s="78" customFormat="1" x14ac:dyDescent="0.2"/>
    <row r="1878" s="78" customFormat="1" x14ac:dyDescent="0.2"/>
    <row r="1879" s="78" customFormat="1" x14ac:dyDescent="0.2"/>
    <row r="1880" s="78" customFormat="1" x14ac:dyDescent="0.2"/>
    <row r="1881" s="78" customFormat="1" x14ac:dyDescent="0.2"/>
    <row r="1882" s="78" customFormat="1" x14ac:dyDescent="0.2"/>
    <row r="1883" s="78" customFormat="1" x14ac:dyDescent="0.2"/>
    <row r="1884" s="78" customFormat="1" x14ac:dyDescent="0.2"/>
    <row r="1885" s="78" customFormat="1" x14ac:dyDescent="0.2"/>
    <row r="1886" s="78" customFormat="1" x14ac:dyDescent="0.2"/>
    <row r="1887" s="78" customFormat="1" x14ac:dyDescent="0.2"/>
    <row r="1888" s="78" customFormat="1" x14ac:dyDescent="0.2"/>
    <row r="1889" s="78" customFormat="1" x14ac:dyDescent="0.2"/>
    <row r="1890" s="78" customFormat="1" x14ac:dyDescent="0.2"/>
    <row r="1891" s="78" customFormat="1" x14ac:dyDescent="0.2"/>
    <row r="1892" s="78" customFormat="1" x14ac:dyDescent="0.2"/>
    <row r="1893" s="78" customFormat="1" x14ac:dyDescent="0.2"/>
    <row r="1894" s="78" customFormat="1" x14ac:dyDescent="0.2"/>
    <row r="1895" s="78" customFormat="1" x14ac:dyDescent="0.2"/>
    <row r="1896" s="78" customFormat="1" x14ac:dyDescent="0.2"/>
    <row r="1897" s="78" customFormat="1" x14ac:dyDescent="0.2"/>
    <row r="1898" s="78" customFormat="1" x14ac:dyDescent="0.2"/>
    <row r="1899" s="78" customFormat="1" x14ac:dyDescent="0.2"/>
    <row r="1900" s="78" customFormat="1" x14ac:dyDescent="0.2"/>
    <row r="1901" s="78" customFormat="1" x14ac:dyDescent="0.2"/>
    <row r="1902" s="78" customFormat="1" x14ac:dyDescent="0.2"/>
    <row r="1903" s="78" customFormat="1" x14ac:dyDescent="0.2"/>
    <row r="1904" s="78" customFormat="1" x14ac:dyDescent="0.2"/>
    <row r="1905" s="78" customFormat="1" x14ac:dyDescent="0.2"/>
    <row r="1906" s="78" customFormat="1" x14ac:dyDescent="0.2"/>
    <row r="1907" s="78" customFormat="1" x14ac:dyDescent="0.2"/>
    <row r="1908" s="78" customFormat="1" x14ac:dyDescent="0.2"/>
    <row r="1909" s="78" customFormat="1" x14ac:dyDescent="0.2"/>
    <row r="1910" s="78" customFormat="1" x14ac:dyDescent="0.2"/>
    <row r="1911" s="78" customFormat="1" x14ac:dyDescent="0.2"/>
    <row r="1912" s="78" customFormat="1" x14ac:dyDescent="0.2"/>
    <row r="1913" s="78" customFormat="1" x14ac:dyDescent="0.2"/>
    <row r="1914" s="78" customFormat="1" x14ac:dyDescent="0.2"/>
    <row r="1915" s="78" customFormat="1" x14ac:dyDescent="0.2"/>
    <row r="1916" s="78" customFormat="1" x14ac:dyDescent="0.2"/>
    <row r="1917" s="78" customFormat="1" x14ac:dyDescent="0.2"/>
    <row r="1918" s="78" customFormat="1" x14ac:dyDescent="0.2"/>
    <row r="1919" s="78" customFormat="1" x14ac:dyDescent="0.2"/>
    <row r="1920" s="78" customFormat="1" x14ac:dyDescent="0.2"/>
    <row r="1921" s="78" customFormat="1" x14ac:dyDescent="0.2"/>
    <row r="1922" s="78" customFormat="1" x14ac:dyDescent="0.2"/>
    <row r="1923" s="78" customFormat="1" x14ac:dyDescent="0.2"/>
    <row r="1924" s="78" customFormat="1" x14ac:dyDescent="0.2"/>
    <row r="1925" s="78" customFormat="1" x14ac:dyDescent="0.2"/>
    <row r="1926" s="78" customFormat="1" x14ac:dyDescent="0.2"/>
    <row r="1927" s="78" customFormat="1" x14ac:dyDescent="0.2"/>
    <row r="1928" s="78" customFormat="1" x14ac:dyDescent="0.2"/>
    <row r="1929" s="78" customFormat="1" x14ac:dyDescent="0.2"/>
    <row r="1930" s="78" customFormat="1" x14ac:dyDescent="0.2"/>
    <row r="1931" s="78" customFormat="1" x14ac:dyDescent="0.2"/>
    <row r="1932" s="78" customFormat="1" x14ac:dyDescent="0.2"/>
    <row r="1933" s="78" customFormat="1" x14ac:dyDescent="0.2"/>
    <row r="1934" s="78" customFormat="1" x14ac:dyDescent="0.2"/>
    <row r="1935" s="78" customFormat="1" x14ac:dyDescent="0.2"/>
    <row r="1936" s="78" customFormat="1" x14ac:dyDescent="0.2"/>
    <row r="1937" s="78" customFormat="1" x14ac:dyDescent="0.2"/>
    <row r="1938" s="78" customFormat="1" x14ac:dyDescent="0.2"/>
    <row r="1939" s="78" customFormat="1" x14ac:dyDescent="0.2"/>
    <row r="1940" s="78" customFormat="1" x14ac:dyDescent="0.2"/>
    <row r="1941" s="78" customFormat="1" x14ac:dyDescent="0.2"/>
    <row r="1942" s="78" customFormat="1" x14ac:dyDescent="0.2"/>
    <row r="1943" s="78" customFormat="1" x14ac:dyDescent="0.2"/>
    <row r="1944" s="78" customFormat="1" x14ac:dyDescent="0.2"/>
    <row r="1945" s="78" customFormat="1" x14ac:dyDescent="0.2"/>
    <row r="1946" s="78" customFormat="1" x14ac:dyDescent="0.2"/>
    <row r="1947" s="78" customFormat="1" x14ac:dyDescent="0.2"/>
    <row r="1948" s="78" customFormat="1" x14ac:dyDescent="0.2"/>
    <row r="1949" s="78" customFormat="1" x14ac:dyDescent="0.2"/>
    <row r="1950" s="78" customFormat="1" x14ac:dyDescent="0.2"/>
    <row r="1951" s="78" customFormat="1" x14ac:dyDescent="0.2"/>
    <row r="1952" s="78" customFormat="1" x14ac:dyDescent="0.2"/>
    <row r="1953" s="78" customFormat="1" x14ac:dyDescent="0.2"/>
    <row r="1954" s="78" customFormat="1" x14ac:dyDescent="0.2"/>
    <row r="1955" s="78" customFormat="1" x14ac:dyDescent="0.2"/>
    <row r="1956" s="78" customFormat="1" x14ac:dyDescent="0.2"/>
    <row r="1957" s="78" customFormat="1" x14ac:dyDescent="0.2"/>
    <row r="1958" s="78" customFormat="1" x14ac:dyDescent="0.2"/>
    <row r="1959" s="78" customFormat="1" x14ac:dyDescent="0.2"/>
    <row r="1960" s="78" customFormat="1" x14ac:dyDescent="0.2"/>
    <row r="1961" s="78" customFormat="1" x14ac:dyDescent="0.2"/>
    <row r="1962" s="78" customFormat="1" x14ac:dyDescent="0.2"/>
    <row r="1963" s="78" customFormat="1" x14ac:dyDescent="0.2"/>
    <row r="1964" s="78" customFormat="1" x14ac:dyDescent="0.2"/>
    <row r="1965" s="78" customFormat="1" x14ac:dyDescent="0.2"/>
    <row r="1966" s="78" customFormat="1" x14ac:dyDescent="0.2"/>
    <row r="1967" s="78" customFormat="1" x14ac:dyDescent="0.2"/>
    <row r="1968" s="78" customFormat="1" x14ac:dyDescent="0.2"/>
    <row r="1969" s="78" customFormat="1" x14ac:dyDescent="0.2"/>
    <row r="1970" s="78" customFormat="1" x14ac:dyDescent="0.2"/>
    <row r="1971" s="78" customFormat="1" x14ac:dyDescent="0.2"/>
    <row r="1972" s="78" customFormat="1" x14ac:dyDescent="0.2"/>
    <row r="1973" s="78" customFormat="1" x14ac:dyDescent="0.2"/>
    <row r="1974" s="78" customFormat="1" x14ac:dyDescent="0.2"/>
    <row r="1975" s="78" customFormat="1" x14ac:dyDescent="0.2"/>
    <row r="1976" s="78" customFormat="1" x14ac:dyDescent="0.2"/>
    <row r="1977" s="78" customFormat="1" x14ac:dyDescent="0.2"/>
    <row r="1978" s="78" customFormat="1" x14ac:dyDescent="0.2"/>
    <row r="1979" s="78" customFormat="1" x14ac:dyDescent="0.2"/>
    <row r="1980" s="78" customFormat="1" x14ac:dyDescent="0.2"/>
    <row r="1981" s="78" customFormat="1" x14ac:dyDescent="0.2"/>
    <row r="1982" s="78" customFormat="1" x14ac:dyDescent="0.2"/>
    <row r="1983" s="78" customFormat="1" x14ac:dyDescent="0.2"/>
    <row r="1984" s="78" customFormat="1" x14ac:dyDescent="0.2"/>
    <row r="1985" s="78" customFormat="1" x14ac:dyDescent="0.2"/>
    <row r="1986" s="78" customFormat="1" x14ac:dyDescent="0.2"/>
    <row r="1987" s="78" customFormat="1" x14ac:dyDescent="0.2"/>
    <row r="1988" s="78" customFormat="1" x14ac:dyDescent="0.2"/>
    <row r="1989" s="78" customFormat="1" x14ac:dyDescent="0.2"/>
    <row r="1990" s="78" customFormat="1" x14ac:dyDescent="0.2"/>
    <row r="1991" s="78" customFormat="1" x14ac:dyDescent="0.2"/>
    <row r="1992" s="78" customFormat="1" x14ac:dyDescent="0.2"/>
    <row r="1993" s="78" customFormat="1" x14ac:dyDescent="0.2"/>
    <row r="1994" s="78" customFormat="1" x14ac:dyDescent="0.2"/>
    <row r="1995" s="78" customFormat="1" x14ac:dyDescent="0.2"/>
    <row r="1996" s="78" customFormat="1" x14ac:dyDescent="0.2"/>
    <row r="1997" s="78" customFormat="1" x14ac:dyDescent="0.2"/>
    <row r="1998" s="78" customFormat="1" x14ac:dyDescent="0.2"/>
    <row r="1999" s="78" customFormat="1" x14ac:dyDescent="0.2"/>
    <row r="2000" s="78" customFormat="1" x14ac:dyDescent="0.2"/>
    <row r="2001" s="78" customFormat="1" x14ac:dyDescent="0.2"/>
    <row r="2002" s="78" customFormat="1" x14ac:dyDescent="0.2"/>
    <row r="2003" s="78" customFormat="1" x14ac:dyDescent="0.2"/>
    <row r="2004" s="78" customFormat="1" x14ac:dyDescent="0.2"/>
    <row r="2005" s="78" customFormat="1" x14ac:dyDescent="0.2"/>
    <row r="2006" s="78" customFormat="1" x14ac:dyDescent="0.2"/>
    <row r="2007" s="78" customFormat="1" x14ac:dyDescent="0.2"/>
    <row r="2008" s="78" customFormat="1" x14ac:dyDescent="0.2"/>
    <row r="2009" s="78" customFormat="1" x14ac:dyDescent="0.2"/>
    <row r="2010" s="78" customFormat="1" x14ac:dyDescent="0.2"/>
    <row r="2011" s="78" customFormat="1" x14ac:dyDescent="0.2"/>
    <row r="2012" s="78" customFormat="1" x14ac:dyDescent="0.2"/>
    <row r="2013" s="78" customFormat="1" x14ac:dyDescent="0.2"/>
    <row r="2014" s="78" customFormat="1" x14ac:dyDescent="0.2"/>
    <row r="2015" s="78" customFormat="1" x14ac:dyDescent="0.2"/>
    <row r="2016" s="78" customFormat="1" x14ac:dyDescent="0.2"/>
    <row r="2017" s="78" customFormat="1" x14ac:dyDescent="0.2"/>
    <row r="2018" s="78" customFormat="1" x14ac:dyDescent="0.2"/>
    <row r="2019" s="78" customFormat="1" x14ac:dyDescent="0.2"/>
    <row r="2020" s="78" customFormat="1" x14ac:dyDescent="0.2"/>
    <row r="2021" s="78" customFormat="1" x14ac:dyDescent="0.2"/>
    <row r="2022" s="78" customFormat="1" x14ac:dyDescent="0.2"/>
    <row r="2023" s="78" customFormat="1" x14ac:dyDescent="0.2"/>
    <row r="2024" s="78" customFormat="1" x14ac:dyDescent="0.2"/>
    <row r="2025" s="78" customFormat="1" x14ac:dyDescent="0.2"/>
    <row r="2026" s="78" customFormat="1" x14ac:dyDescent="0.2"/>
    <row r="2027" s="78" customFormat="1" x14ac:dyDescent="0.2"/>
    <row r="2028" s="78" customFormat="1" x14ac:dyDescent="0.2"/>
    <row r="2029" s="78" customFormat="1" x14ac:dyDescent="0.2"/>
    <row r="2030" s="78" customFormat="1" x14ac:dyDescent="0.2"/>
    <row r="2031" s="78" customFormat="1" x14ac:dyDescent="0.2"/>
    <row r="2032" s="78" customFormat="1" x14ac:dyDescent="0.2"/>
    <row r="2033" s="78" customFormat="1" x14ac:dyDescent="0.2"/>
    <row r="2034" s="78" customFormat="1" x14ac:dyDescent="0.2"/>
    <row r="2035" s="78" customFormat="1" x14ac:dyDescent="0.2"/>
    <row r="2036" s="78" customFormat="1" x14ac:dyDescent="0.2"/>
    <row r="2037" s="78" customFormat="1" x14ac:dyDescent="0.2"/>
    <row r="2038" s="78" customFormat="1" x14ac:dyDescent="0.2"/>
    <row r="2039" s="78" customFormat="1" x14ac:dyDescent="0.2"/>
    <row r="2040" s="78" customFormat="1" x14ac:dyDescent="0.2"/>
    <row r="2041" s="78" customFormat="1" x14ac:dyDescent="0.2"/>
    <row r="2042" s="78" customFormat="1" x14ac:dyDescent="0.2"/>
  </sheetData>
  <mergeCells count="451">
    <mergeCell ref="E2:S5"/>
    <mergeCell ref="C27:J27"/>
    <mergeCell ref="L27:O27"/>
    <mergeCell ref="C28:J28"/>
    <mergeCell ref="L28:O28"/>
    <mergeCell ref="C29:J29"/>
    <mergeCell ref="L29:O29"/>
    <mergeCell ref="F40:G40"/>
    <mergeCell ref="O40:R40"/>
    <mergeCell ref="F41:G41"/>
    <mergeCell ref="O41:R41"/>
    <mergeCell ref="F42:G42"/>
    <mergeCell ref="O42:R42"/>
    <mergeCell ref="C30:J30"/>
    <mergeCell ref="L30:O30"/>
    <mergeCell ref="C31:J31"/>
    <mergeCell ref="L31:O31"/>
    <mergeCell ref="F38:G38"/>
    <mergeCell ref="F39:G39"/>
    <mergeCell ref="O39:R39"/>
    <mergeCell ref="F47:G47"/>
    <mergeCell ref="O47:P47"/>
    <mergeCell ref="J49:K49"/>
    <mergeCell ref="J50:K50"/>
    <mergeCell ref="M50:N50"/>
    <mergeCell ref="F43:G43"/>
    <mergeCell ref="O43:R43"/>
    <mergeCell ref="F44:G44"/>
    <mergeCell ref="O44:R44"/>
    <mergeCell ref="F45:G45"/>
    <mergeCell ref="O45:P45"/>
    <mergeCell ref="H54:I54"/>
    <mergeCell ref="J54:K54"/>
    <mergeCell ref="M54:N54"/>
    <mergeCell ref="H55:I55"/>
    <mergeCell ref="J55:K55"/>
    <mergeCell ref="M55:N55"/>
    <mergeCell ref="J51:K51"/>
    <mergeCell ref="M51:N51"/>
    <mergeCell ref="H52:I52"/>
    <mergeCell ref="J52:K52"/>
    <mergeCell ref="M52:N52"/>
    <mergeCell ref="H53:I53"/>
    <mergeCell ref="J53:K53"/>
    <mergeCell ref="M53:N53"/>
    <mergeCell ref="H58:I58"/>
    <mergeCell ref="J58:K58"/>
    <mergeCell ref="M58:N58"/>
    <mergeCell ref="H59:I59"/>
    <mergeCell ref="J59:K59"/>
    <mergeCell ref="M59:N59"/>
    <mergeCell ref="H56:I56"/>
    <mergeCell ref="J56:K56"/>
    <mergeCell ref="M56:N56"/>
    <mergeCell ref="H57:I57"/>
    <mergeCell ref="J57:K57"/>
    <mergeCell ref="M57:N57"/>
    <mergeCell ref="H62:I62"/>
    <mergeCell ref="J62:K62"/>
    <mergeCell ref="M62:N62"/>
    <mergeCell ref="H63:I63"/>
    <mergeCell ref="J63:K63"/>
    <mergeCell ref="M63:N63"/>
    <mergeCell ref="H60:I60"/>
    <mergeCell ref="J60:K60"/>
    <mergeCell ref="M60:N60"/>
    <mergeCell ref="H61:I61"/>
    <mergeCell ref="J61:K61"/>
    <mergeCell ref="M61:N61"/>
    <mergeCell ref="H66:I66"/>
    <mergeCell ref="J66:K66"/>
    <mergeCell ref="M66:N66"/>
    <mergeCell ref="H67:I67"/>
    <mergeCell ref="J67:K67"/>
    <mergeCell ref="M67:N67"/>
    <mergeCell ref="H64:I64"/>
    <mergeCell ref="J64:K64"/>
    <mergeCell ref="M64:N64"/>
    <mergeCell ref="H65:I65"/>
    <mergeCell ref="J65:K65"/>
    <mergeCell ref="M65:N65"/>
    <mergeCell ref="M70:N70"/>
    <mergeCell ref="J71:K71"/>
    <mergeCell ref="M71:N71"/>
    <mergeCell ref="C76:F76"/>
    <mergeCell ref="J76:K76"/>
    <mergeCell ref="H68:I68"/>
    <mergeCell ref="J68:K68"/>
    <mergeCell ref="M68:N68"/>
    <mergeCell ref="H69:I69"/>
    <mergeCell ref="J69:K69"/>
    <mergeCell ref="M69:N69"/>
    <mergeCell ref="D77:I77"/>
    <mergeCell ref="J77:K77"/>
    <mergeCell ref="D78:I78"/>
    <mergeCell ref="J78:K78"/>
    <mergeCell ref="J79:K79"/>
    <mergeCell ref="D80:I80"/>
    <mergeCell ref="J80:K80"/>
    <mergeCell ref="H70:I70"/>
    <mergeCell ref="J70:K70"/>
    <mergeCell ref="D84:I84"/>
    <mergeCell ref="J84:K84"/>
    <mergeCell ref="D85:I85"/>
    <mergeCell ref="J85:K85"/>
    <mergeCell ref="D87:I87"/>
    <mergeCell ref="J87:K87"/>
    <mergeCell ref="D81:I81"/>
    <mergeCell ref="J81:K81"/>
    <mergeCell ref="D82:I82"/>
    <mergeCell ref="J82:K82"/>
    <mergeCell ref="D83:I83"/>
    <mergeCell ref="J83:K83"/>
    <mergeCell ref="M97:O97"/>
    <mergeCell ref="M98:O98"/>
    <mergeCell ref="M99:O99"/>
    <mergeCell ref="M100:O100"/>
    <mergeCell ref="M101:O101"/>
    <mergeCell ref="M102:O102"/>
    <mergeCell ref="D88:I88"/>
    <mergeCell ref="J88:K88"/>
    <mergeCell ref="M93:O93"/>
    <mergeCell ref="M94:O94"/>
    <mergeCell ref="M95:O95"/>
    <mergeCell ref="M96:O96"/>
    <mergeCell ref="K115:M115"/>
    <mergeCell ref="O115:Q115"/>
    <mergeCell ref="M116:N116"/>
    <mergeCell ref="P116:Q116"/>
    <mergeCell ref="K117:M117"/>
    <mergeCell ref="O117:Q117"/>
    <mergeCell ref="M103:O103"/>
    <mergeCell ref="M104:O104"/>
    <mergeCell ref="M105:O105"/>
    <mergeCell ref="C110:Q112"/>
    <mergeCell ref="K113:M114"/>
    <mergeCell ref="O113:Q113"/>
    <mergeCell ref="O114:Q114"/>
    <mergeCell ref="K121:M121"/>
    <mergeCell ref="O121:Q121"/>
    <mergeCell ref="K122:M122"/>
    <mergeCell ref="O122:Q122"/>
    <mergeCell ref="K123:M123"/>
    <mergeCell ref="O123:Q123"/>
    <mergeCell ref="R117:S117"/>
    <mergeCell ref="M118:N118"/>
    <mergeCell ref="P118:Q118"/>
    <mergeCell ref="K119:M119"/>
    <mergeCell ref="O119:Q119"/>
    <mergeCell ref="K120:M120"/>
    <mergeCell ref="O120:Q120"/>
    <mergeCell ref="K127:M127"/>
    <mergeCell ref="O127:Q127"/>
    <mergeCell ref="K128:M128"/>
    <mergeCell ref="O128:Q128"/>
    <mergeCell ref="K129:M129"/>
    <mergeCell ref="O129:Q129"/>
    <mergeCell ref="K124:M124"/>
    <mergeCell ref="O124:Q124"/>
    <mergeCell ref="K125:M125"/>
    <mergeCell ref="O125:Q125"/>
    <mergeCell ref="K126:M126"/>
    <mergeCell ref="O126:Q126"/>
    <mergeCell ref="K133:M133"/>
    <mergeCell ref="O133:Q133"/>
    <mergeCell ref="K134:M134"/>
    <mergeCell ref="O134:Q134"/>
    <mergeCell ref="K135:M135"/>
    <mergeCell ref="O135:Q135"/>
    <mergeCell ref="K130:M130"/>
    <mergeCell ref="O130:Q130"/>
    <mergeCell ref="K131:M131"/>
    <mergeCell ref="O131:Q131"/>
    <mergeCell ref="K132:M132"/>
    <mergeCell ref="O132:Q132"/>
    <mergeCell ref="I148:J148"/>
    <mergeCell ref="K148:M148"/>
    <mergeCell ref="O148:Q148"/>
    <mergeCell ref="R148:S148"/>
    <mergeCell ref="K138:M138"/>
    <mergeCell ref="M141:N141"/>
    <mergeCell ref="P141:Q141"/>
    <mergeCell ref="K145:M145"/>
    <mergeCell ref="O145:Q145"/>
    <mergeCell ref="I146:J146"/>
    <mergeCell ref="K146:M146"/>
    <mergeCell ref="O146:Q146"/>
    <mergeCell ref="K149:M149"/>
    <mergeCell ref="O149:Q149"/>
    <mergeCell ref="K150:M150"/>
    <mergeCell ref="O150:Q150"/>
    <mergeCell ref="K151:M151"/>
    <mergeCell ref="O151:Q151"/>
    <mergeCell ref="R146:S146"/>
    <mergeCell ref="K147:M147"/>
    <mergeCell ref="O147:Q147"/>
    <mergeCell ref="K155:M155"/>
    <mergeCell ref="O155:Q155"/>
    <mergeCell ref="K156:M156"/>
    <mergeCell ref="O156:Q156"/>
    <mergeCell ref="K157:M157"/>
    <mergeCell ref="O157:Q157"/>
    <mergeCell ref="K152:M152"/>
    <mergeCell ref="O152:Q152"/>
    <mergeCell ref="K153:M153"/>
    <mergeCell ref="O153:Q153"/>
    <mergeCell ref="K154:M154"/>
    <mergeCell ref="O154:Q154"/>
    <mergeCell ref="K161:M161"/>
    <mergeCell ref="O161:Q161"/>
    <mergeCell ref="K162:M162"/>
    <mergeCell ref="O162:Q162"/>
    <mergeCell ref="K163:M163"/>
    <mergeCell ref="O163:Q163"/>
    <mergeCell ref="K158:M158"/>
    <mergeCell ref="O158:Q158"/>
    <mergeCell ref="K159:M159"/>
    <mergeCell ref="O159:Q159"/>
    <mergeCell ref="K160:M160"/>
    <mergeCell ref="O160:Q160"/>
    <mergeCell ref="D167:I167"/>
    <mergeCell ref="K167:M167"/>
    <mergeCell ref="O167:Q167"/>
    <mergeCell ref="K168:M168"/>
    <mergeCell ref="O168:Q168"/>
    <mergeCell ref="I169:J169"/>
    <mergeCell ref="K169:M169"/>
    <mergeCell ref="O169:Q169"/>
    <mergeCell ref="K164:M164"/>
    <mergeCell ref="O164:Q164"/>
    <mergeCell ref="K165:M165"/>
    <mergeCell ref="O165:Q165"/>
    <mergeCell ref="K166:M166"/>
    <mergeCell ref="O166:Q166"/>
    <mergeCell ref="K173:M173"/>
    <mergeCell ref="O173:Q173"/>
    <mergeCell ref="K174:M174"/>
    <mergeCell ref="O174:Q174"/>
    <mergeCell ref="K175:M175"/>
    <mergeCell ref="O175:Q175"/>
    <mergeCell ref="R169:S169"/>
    <mergeCell ref="K170:M170"/>
    <mergeCell ref="O170:Q170"/>
    <mergeCell ref="K171:M171"/>
    <mergeCell ref="O171:Q171"/>
    <mergeCell ref="K172:M172"/>
    <mergeCell ref="O172:Q172"/>
    <mergeCell ref="D179:I179"/>
    <mergeCell ref="K179:M179"/>
    <mergeCell ref="O179:Q179"/>
    <mergeCell ref="K180:M180"/>
    <mergeCell ref="O180:Q180"/>
    <mergeCell ref="I181:J181"/>
    <mergeCell ref="K181:M181"/>
    <mergeCell ref="O181:Q181"/>
    <mergeCell ref="K176:M176"/>
    <mergeCell ref="O176:Q176"/>
    <mergeCell ref="K177:M177"/>
    <mergeCell ref="O177:Q177"/>
    <mergeCell ref="K178:M178"/>
    <mergeCell ref="O178:Q178"/>
    <mergeCell ref="K185:M185"/>
    <mergeCell ref="O185:Q185"/>
    <mergeCell ref="K186:M186"/>
    <mergeCell ref="O186:Q186"/>
    <mergeCell ref="D187:I187"/>
    <mergeCell ref="K187:M187"/>
    <mergeCell ref="O187:Q187"/>
    <mergeCell ref="R181:S181"/>
    <mergeCell ref="K182:M182"/>
    <mergeCell ref="O182:Q182"/>
    <mergeCell ref="K183:M183"/>
    <mergeCell ref="O183:Q183"/>
    <mergeCell ref="K184:M184"/>
    <mergeCell ref="O184:Q184"/>
    <mergeCell ref="D191:Q193"/>
    <mergeCell ref="K198:M198"/>
    <mergeCell ref="O198:Q198"/>
    <mergeCell ref="I199:J199"/>
    <mergeCell ref="K199:M199"/>
    <mergeCell ref="O199:Q199"/>
    <mergeCell ref="K188:M188"/>
    <mergeCell ref="O188:Q188"/>
    <mergeCell ref="K189:M189"/>
    <mergeCell ref="O189:Q189"/>
    <mergeCell ref="K190:M190"/>
    <mergeCell ref="O190:Q190"/>
    <mergeCell ref="K203:M203"/>
    <mergeCell ref="O203:Q203"/>
    <mergeCell ref="K204:M204"/>
    <mergeCell ref="O204:Q204"/>
    <mergeCell ref="K205:M205"/>
    <mergeCell ref="O205:Q205"/>
    <mergeCell ref="R199:S199"/>
    <mergeCell ref="K200:M200"/>
    <mergeCell ref="O200:Q200"/>
    <mergeCell ref="K201:M201"/>
    <mergeCell ref="O201:Q201"/>
    <mergeCell ref="K202:M202"/>
    <mergeCell ref="O202:Q202"/>
    <mergeCell ref="K209:M209"/>
    <mergeCell ref="O209:Q209"/>
    <mergeCell ref="D210:I210"/>
    <mergeCell ref="K210:M210"/>
    <mergeCell ref="O210:Q210"/>
    <mergeCell ref="K211:M211"/>
    <mergeCell ref="O211:Q211"/>
    <mergeCell ref="K206:M206"/>
    <mergeCell ref="O206:Q206"/>
    <mergeCell ref="K207:M207"/>
    <mergeCell ref="O207:Q207"/>
    <mergeCell ref="K208:M208"/>
    <mergeCell ref="O208:Q208"/>
    <mergeCell ref="R222:S222"/>
    <mergeCell ref="K224:M224"/>
    <mergeCell ref="O224:Q224"/>
    <mergeCell ref="K212:M212"/>
    <mergeCell ref="O212:Q212"/>
    <mergeCell ref="K213:M213"/>
    <mergeCell ref="O213:Q213"/>
    <mergeCell ref="D214:Q216"/>
    <mergeCell ref="K221:M221"/>
    <mergeCell ref="O221:Q221"/>
    <mergeCell ref="K225:M225"/>
    <mergeCell ref="O225:Q225"/>
    <mergeCell ref="K226:M226"/>
    <mergeCell ref="O226:Q226"/>
    <mergeCell ref="I228:J228"/>
    <mergeCell ref="K228:M228"/>
    <mergeCell ref="O228:Q228"/>
    <mergeCell ref="I222:J222"/>
    <mergeCell ref="K222:M222"/>
    <mergeCell ref="O222:Q222"/>
    <mergeCell ref="R242:S242"/>
    <mergeCell ref="K235:M235"/>
    <mergeCell ref="O235:Q235"/>
    <mergeCell ref="K236:M236"/>
    <mergeCell ref="O236:Q236"/>
    <mergeCell ref="D238:H238"/>
    <mergeCell ref="K238:M238"/>
    <mergeCell ref="O238:Q238"/>
    <mergeCell ref="R228:S228"/>
    <mergeCell ref="I230:J230"/>
    <mergeCell ref="K230:M230"/>
    <mergeCell ref="O230:Q230"/>
    <mergeCell ref="R230:S230"/>
    <mergeCell ref="I233:J233"/>
    <mergeCell ref="K233:M233"/>
    <mergeCell ref="O233:Q233"/>
    <mergeCell ref="R233:S233"/>
    <mergeCell ref="D247:Q249"/>
    <mergeCell ref="K254:M254"/>
    <mergeCell ref="O254:Q254"/>
    <mergeCell ref="H255:J255"/>
    <mergeCell ref="K255:M255"/>
    <mergeCell ref="O255:Q255"/>
    <mergeCell ref="K240:M240"/>
    <mergeCell ref="O240:Q240"/>
    <mergeCell ref="I242:J242"/>
    <mergeCell ref="K242:M242"/>
    <mergeCell ref="O242:Q242"/>
    <mergeCell ref="K259:M259"/>
    <mergeCell ref="O259:Q259"/>
    <mergeCell ref="H261:J261"/>
    <mergeCell ref="K261:M261"/>
    <mergeCell ref="O261:Q261"/>
    <mergeCell ref="R261:S261"/>
    <mergeCell ref="R255:S255"/>
    <mergeCell ref="H257:J257"/>
    <mergeCell ref="K257:M257"/>
    <mergeCell ref="O257:Q257"/>
    <mergeCell ref="R257:S257"/>
    <mergeCell ref="K258:M258"/>
    <mergeCell ref="O258:Q258"/>
    <mergeCell ref="H270:J270"/>
    <mergeCell ref="K270:M270"/>
    <mergeCell ref="O270:Q270"/>
    <mergeCell ref="R270:S270"/>
    <mergeCell ref="K262:M262"/>
    <mergeCell ref="O262:Q262"/>
    <mergeCell ref="K264:M264"/>
    <mergeCell ref="O264:Q264"/>
    <mergeCell ref="H266:J266"/>
    <mergeCell ref="K266:M266"/>
    <mergeCell ref="O266:Q266"/>
    <mergeCell ref="R285:S285"/>
    <mergeCell ref="K263:M263"/>
    <mergeCell ref="O263:Q263"/>
    <mergeCell ref="K275:M275"/>
    <mergeCell ref="O275:Q275"/>
    <mergeCell ref="K276:M276"/>
    <mergeCell ref="O276:Q276"/>
    <mergeCell ref="R266:S266"/>
    <mergeCell ref="K267:M267"/>
    <mergeCell ref="O267:Q267"/>
    <mergeCell ref="K268:M268"/>
    <mergeCell ref="O268:Q268"/>
    <mergeCell ref="K286:M286"/>
    <mergeCell ref="O286:Q286"/>
    <mergeCell ref="K287:M287"/>
    <mergeCell ref="O287:Q287"/>
    <mergeCell ref="K288:M288"/>
    <mergeCell ref="O288:Q288"/>
    <mergeCell ref="K284:M284"/>
    <mergeCell ref="O284:Q284"/>
    <mergeCell ref="I285:J285"/>
    <mergeCell ref="K285:M285"/>
    <mergeCell ref="O285:Q285"/>
    <mergeCell ref="K292:M292"/>
    <mergeCell ref="O292:Q292"/>
    <mergeCell ref="D293:I293"/>
    <mergeCell ref="K293:M293"/>
    <mergeCell ref="O293:Q293"/>
    <mergeCell ref="K294:M294"/>
    <mergeCell ref="O294:Q294"/>
    <mergeCell ref="K289:M289"/>
    <mergeCell ref="O289:Q289"/>
    <mergeCell ref="K290:M290"/>
    <mergeCell ref="O290:Q290"/>
    <mergeCell ref="K291:M291"/>
    <mergeCell ref="O291:Q291"/>
    <mergeCell ref="I306:J306"/>
    <mergeCell ref="K306:M306"/>
    <mergeCell ref="O306:Q306"/>
    <mergeCell ref="K298:M298"/>
    <mergeCell ref="O298:Q298"/>
    <mergeCell ref="K299:M299"/>
    <mergeCell ref="O299:Q299"/>
    <mergeCell ref="K300:M300"/>
    <mergeCell ref="O300:Q300"/>
    <mergeCell ref="R306:S306"/>
    <mergeCell ref="K308:M308"/>
    <mergeCell ref="O308:Q308"/>
    <mergeCell ref="K309:M309"/>
    <mergeCell ref="O309:Q309"/>
    <mergeCell ref="K310:M310"/>
    <mergeCell ref="O310:Q310"/>
    <mergeCell ref="K301:M301"/>
    <mergeCell ref="O301:Q301"/>
    <mergeCell ref="K305:M305"/>
    <mergeCell ref="O305:Q305"/>
    <mergeCell ref="K324:M324"/>
    <mergeCell ref="O324:Q324"/>
    <mergeCell ref="K325:M325"/>
    <mergeCell ref="O325:Q325"/>
    <mergeCell ref="D312:H312"/>
    <mergeCell ref="K312:M312"/>
    <mergeCell ref="O312:Q312"/>
    <mergeCell ref="D316:Q318"/>
    <mergeCell ref="K323:M323"/>
    <mergeCell ref="O323:Q323"/>
  </mergeCells>
  <dataValidations count="14">
    <dataValidation type="list" allowBlank="1" showInputMessage="1" showErrorMessage="1" sqref="M104:N104">
      <formula1>$A$1187:$A$1189</formula1>
    </dataValidation>
    <dataValidation type="list" allowBlank="1" showInputMessage="1" showErrorMessage="1" sqref="Q279">
      <formula1>$E$1333:$E$1343</formula1>
    </dataValidation>
    <dataValidation type="list" allowBlank="1" showInputMessage="1" showErrorMessage="1" sqref="O279">
      <formula1>$D$1333:$D$1353</formula1>
    </dataValidation>
    <dataValidation type="list" allowBlank="1" showInputMessage="1" showErrorMessage="1" sqref="M279">
      <formula1>$C$1333:$C$1355</formula1>
    </dataValidation>
    <dataValidation type="list" allowBlank="1" showInputMessage="1" showErrorMessage="1" sqref="K279">
      <formula1>$A$1333:$A$1355</formula1>
    </dataValidation>
    <dataValidation type="list" allowBlank="1" showInputMessage="1" showErrorMessage="1" sqref="O43">
      <formula1>$A$730:$A$884</formula1>
    </dataValidation>
    <dataValidation type="whole" allowBlank="1" showInputMessage="1" showErrorMessage="1" sqref="F39">
      <formula1>10</formula1>
      <formula2>1000000000</formula2>
    </dataValidation>
    <dataValidation type="list" allowBlank="1" showInputMessage="1" showErrorMessage="1" sqref="M52:N52 M67:N68 M54:N55 M62:N62 M57:N57 M59:N60 M64:N64 M70:N70">
      <formula1>$A$886:$A$893</formula1>
    </dataValidation>
    <dataValidation type="list" allowBlank="1" showInputMessage="1" showErrorMessage="1" sqref="O41">
      <formula1>$A$895:$A$905</formula1>
    </dataValidation>
    <dataValidation type="list" allowBlank="1" showInputMessage="1" showErrorMessage="1" sqref="M94">
      <formula1>$A$908:$A$911</formula1>
    </dataValidation>
    <dataValidation type="list" allowBlank="1" showInputMessage="1" showErrorMessage="1" sqref="M98">
      <formula1>$A$915:$A$918</formula1>
    </dataValidation>
    <dataValidation type="list" allowBlank="1" showInputMessage="1" showErrorMessage="1" sqref="M96">
      <formula1>$A$921:$A$930</formula1>
    </dataValidation>
    <dataValidation type="list" allowBlank="1" showInputMessage="1" showErrorMessage="1" sqref="O39:R39">
      <formula1>$A$489:$A$495</formula1>
    </dataValidation>
    <dataValidation type="list" allowBlank="1" showInputMessage="1" showErrorMessage="1" sqref="M100:N100">
      <formula1>$A$367:$A$372</formula1>
    </dataValidation>
  </dataValidations>
  <hyperlinks>
    <hyperlink ref="P6" r:id="rId1"/>
  </hyperlinks>
  <pageMargins left="0.23622047244094491" right="0.23622047244094491" top="0" bottom="0" header="0" footer="0"/>
  <pageSetup paperSize="9" scale="58"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5057" r:id="rId5" name="Check Box 1">
              <controlPr defaultSize="0" autoFill="0" autoLine="0" autoPict="0">
                <anchor moveWithCells="1">
                  <from>
                    <xdr:col>7</xdr:col>
                    <xdr:colOff>190500</xdr:colOff>
                    <xdr:row>118</xdr:row>
                    <xdr:rowOff>0</xdr:rowOff>
                  </from>
                  <to>
                    <xdr:col>7</xdr:col>
                    <xdr:colOff>400050</xdr:colOff>
                    <xdr:row>119</xdr:row>
                    <xdr:rowOff>9525</xdr:rowOff>
                  </to>
                </anchor>
              </controlPr>
            </control>
          </mc:Choice>
        </mc:AlternateContent>
        <mc:AlternateContent xmlns:mc="http://schemas.openxmlformats.org/markup-compatibility/2006">
          <mc:Choice Requires="x14">
            <control shapeId="45058" r:id="rId6" name="Check Box 2">
              <controlPr defaultSize="0" autoFill="0" autoLine="0" autoPict="0">
                <anchor moveWithCells="1">
                  <from>
                    <xdr:col>8</xdr:col>
                    <xdr:colOff>190500</xdr:colOff>
                    <xdr:row>118</xdr:row>
                    <xdr:rowOff>0</xdr:rowOff>
                  </from>
                  <to>
                    <xdr:col>8</xdr:col>
                    <xdr:colOff>400050</xdr:colOff>
                    <xdr:row>119</xdr:row>
                    <xdr:rowOff>9525</xdr:rowOff>
                  </to>
                </anchor>
              </controlPr>
            </control>
          </mc:Choice>
        </mc:AlternateContent>
        <mc:AlternateContent xmlns:mc="http://schemas.openxmlformats.org/markup-compatibility/2006">
          <mc:Choice Requires="x14">
            <control shapeId="45059" r:id="rId7" name="Check Box 3">
              <controlPr defaultSize="0" autoFill="0" autoLine="0" autoPict="0">
                <anchor moveWithCells="1">
                  <from>
                    <xdr:col>7</xdr:col>
                    <xdr:colOff>190500</xdr:colOff>
                    <xdr:row>119</xdr:row>
                    <xdr:rowOff>0</xdr:rowOff>
                  </from>
                  <to>
                    <xdr:col>7</xdr:col>
                    <xdr:colOff>400050</xdr:colOff>
                    <xdr:row>120</xdr:row>
                    <xdr:rowOff>9525</xdr:rowOff>
                  </to>
                </anchor>
              </controlPr>
            </control>
          </mc:Choice>
        </mc:AlternateContent>
        <mc:AlternateContent xmlns:mc="http://schemas.openxmlformats.org/markup-compatibility/2006">
          <mc:Choice Requires="x14">
            <control shapeId="45060" r:id="rId8" name="Check Box 4">
              <controlPr defaultSize="0" autoFill="0" autoLine="0" autoPict="0">
                <anchor moveWithCells="1">
                  <from>
                    <xdr:col>8</xdr:col>
                    <xdr:colOff>190500</xdr:colOff>
                    <xdr:row>119</xdr:row>
                    <xdr:rowOff>0</xdr:rowOff>
                  </from>
                  <to>
                    <xdr:col>8</xdr:col>
                    <xdr:colOff>400050</xdr:colOff>
                    <xdr:row>120</xdr:row>
                    <xdr:rowOff>9525</xdr:rowOff>
                  </to>
                </anchor>
              </controlPr>
            </control>
          </mc:Choice>
        </mc:AlternateContent>
        <mc:AlternateContent xmlns:mc="http://schemas.openxmlformats.org/markup-compatibility/2006">
          <mc:Choice Requires="x14">
            <control shapeId="45061" r:id="rId9" name="Check Box 5">
              <controlPr defaultSize="0" autoFill="0" autoLine="0" autoPict="0">
                <anchor moveWithCells="1">
                  <from>
                    <xdr:col>7</xdr:col>
                    <xdr:colOff>190500</xdr:colOff>
                    <xdr:row>121</xdr:row>
                    <xdr:rowOff>0</xdr:rowOff>
                  </from>
                  <to>
                    <xdr:col>7</xdr:col>
                    <xdr:colOff>400050</xdr:colOff>
                    <xdr:row>122</xdr:row>
                    <xdr:rowOff>9525</xdr:rowOff>
                  </to>
                </anchor>
              </controlPr>
            </control>
          </mc:Choice>
        </mc:AlternateContent>
        <mc:AlternateContent xmlns:mc="http://schemas.openxmlformats.org/markup-compatibility/2006">
          <mc:Choice Requires="x14">
            <control shapeId="45062" r:id="rId10" name="Check Box 6">
              <controlPr defaultSize="0" autoFill="0" autoLine="0" autoPict="0">
                <anchor moveWithCells="1">
                  <from>
                    <xdr:col>8</xdr:col>
                    <xdr:colOff>190500</xdr:colOff>
                    <xdr:row>121</xdr:row>
                    <xdr:rowOff>0</xdr:rowOff>
                  </from>
                  <to>
                    <xdr:col>8</xdr:col>
                    <xdr:colOff>400050</xdr:colOff>
                    <xdr:row>122</xdr:row>
                    <xdr:rowOff>9525</xdr:rowOff>
                  </to>
                </anchor>
              </controlPr>
            </control>
          </mc:Choice>
        </mc:AlternateContent>
        <mc:AlternateContent xmlns:mc="http://schemas.openxmlformats.org/markup-compatibility/2006">
          <mc:Choice Requires="x14">
            <control shapeId="45063" r:id="rId11" name="Check Box 7">
              <controlPr defaultSize="0" autoFill="0" autoLine="0" autoPict="0">
                <anchor moveWithCells="1">
                  <from>
                    <xdr:col>7</xdr:col>
                    <xdr:colOff>190500</xdr:colOff>
                    <xdr:row>122</xdr:row>
                    <xdr:rowOff>0</xdr:rowOff>
                  </from>
                  <to>
                    <xdr:col>7</xdr:col>
                    <xdr:colOff>400050</xdr:colOff>
                    <xdr:row>123</xdr:row>
                    <xdr:rowOff>9525</xdr:rowOff>
                  </to>
                </anchor>
              </controlPr>
            </control>
          </mc:Choice>
        </mc:AlternateContent>
        <mc:AlternateContent xmlns:mc="http://schemas.openxmlformats.org/markup-compatibility/2006">
          <mc:Choice Requires="x14">
            <control shapeId="45064" r:id="rId12" name="Check Box 8">
              <controlPr defaultSize="0" autoFill="0" autoLine="0" autoPict="0">
                <anchor moveWithCells="1">
                  <from>
                    <xdr:col>8</xdr:col>
                    <xdr:colOff>190500</xdr:colOff>
                    <xdr:row>122</xdr:row>
                    <xdr:rowOff>0</xdr:rowOff>
                  </from>
                  <to>
                    <xdr:col>8</xdr:col>
                    <xdr:colOff>400050</xdr:colOff>
                    <xdr:row>123</xdr:row>
                    <xdr:rowOff>9525</xdr:rowOff>
                  </to>
                </anchor>
              </controlPr>
            </control>
          </mc:Choice>
        </mc:AlternateContent>
        <mc:AlternateContent xmlns:mc="http://schemas.openxmlformats.org/markup-compatibility/2006">
          <mc:Choice Requires="x14">
            <control shapeId="45065" r:id="rId13" name="Check Box 9">
              <controlPr defaultSize="0" autoFill="0" autoLine="0" autoPict="0">
                <anchor moveWithCells="1">
                  <from>
                    <xdr:col>7</xdr:col>
                    <xdr:colOff>190500</xdr:colOff>
                    <xdr:row>123</xdr:row>
                    <xdr:rowOff>0</xdr:rowOff>
                  </from>
                  <to>
                    <xdr:col>7</xdr:col>
                    <xdr:colOff>400050</xdr:colOff>
                    <xdr:row>124</xdr:row>
                    <xdr:rowOff>9525</xdr:rowOff>
                  </to>
                </anchor>
              </controlPr>
            </control>
          </mc:Choice>
        </mc:AlternateContent>
        <mc:AlternateContent xmlns:mc="http://schemas.openxmlformats.org/markup-compatibility/2006">
          <mc:Choice Requires="x14">
            <control shapeId="45066" r:id="rId14" name="Check Box 10">
              <controlPr defaultSize="0" autoFill="0" autoLine="0" autoPict="0">
                <anchor moveWithCells="1">
                  <from>
                    <xdr:col>8</xdr:col>
                    <xdr:colOff>190500</xdr:colOff>
                    <xdr:row>123</xdr:row>
                    <xdr:rowOff>0</xdr:rowOff>
                  </from>
                  <to>
                    <xdr:col>8</xdr:col>
                    <xdr:colOff>400050</xdr:colOff>
                    <xdr:row>124</xdr:row>
                    <xdr:rowOff>9525</xdr:rowOff>
                  </to>
                </anchor>
              </controlPr>
            </control>
          </mc:Choice>
        </mc:AlternateContent>
        <mc:AlternateContent xmlns:mc="http://schemas.openxmlformats.org/markup-compatibility/2006">
          <mc:Choice Requires="x14">
            <control shapeId="45067" r:id="rId15" name="Check Box 11">
              <controlPr defaultSize="0" autoFill="0" autoLine="0" autoPict="0">
                <anchor moveWithCells="1">
                  <from>
                    <xdr:col>7</xdr:col>
                    <xdr:colOff>190500</xdr:colOff>
                    <xdr:row>124</xdr:row>
                    <xdr:rowOff>0</xdr:rowOff>
                  </from>
                  <to>
                    <xdr:col>7</xdr:col>
                    <xdr:colOff>400050</xdr:colOff>
                    <xdr:row>125</xdr:row>
                    <xdr:rowOff>9525</xdr:rowOff>
                  </to>
                </anchor>
              </controlPr>
            </control>
          </mc:Choice>
        </mc:AlternateContent>
        <mc:AlternateContent xmlns:mc="http://schemas.openxmlformats.org/markup-compatibility/2006">
          <mc:Choice Requires="x14">
            <control shapeId="45068" r:id="rId16" name="Check Box 12">
              <controlPr defaultSize="0" autoFill="0" autoLine="0" autoPict="0">
                <anchor moveWithCells="1">
                  <from>
                    <xdr:col>8</xdr:col>
                    <xdr:colOff>190500</xdr:colOff>
                    <xdr:row>124</xdr:row>
                    <xdr:rowOff>0</xdr:rowOff>
                  </from>
                  <to>
                    <xdr:col>8</xdr:col>
                    <xdr:colOff>400050</xdr:colOff>
                    <xdr:row>125</xdr:row>
                    <xdr:rowOff>9525</xdr:rowOff>
                  </to>
                </anchor>
              </controlPr>
            </control>
          </mc:Choice>
        </mc:AlternateContent>
        <mc:AlternateContent xmlns:mc="http://schemas.openxmlformats.org/markup-compatibility/2006">
          <mc:Choice Requires="x14">
            <control shapeId="45069" r:id="rId17" name="Check Box 13">
              <controlPr defaultSize="0" autoFill="0" autoLine="0" autoPict="0">
                <anchor moveWithCells="1">
                  <from>
                    <xdr:col>8</xdr:col>
                    <xdr:colOff>190500</xdr:colOff>
                    <xdr:row>125</xdr:row>
                    <xdr:rowOff>0</xdr:rowOff>
                  </from>
                  <to>
                    <xdr:col>8</xdr:col>
                    <xdr:colOff>400050</xdr:colOff>
                    <xdr:row>126</xdr:row>
                    <xdr:rowOff>9525</xdr:rowOff>
                  </to>
                </anchor>
              </controlPr>
            </control>
          </mc:Choice>
        </mc:AlternateContent>
        <mc:AlternateContent xmlns:mc="http://schemas.openxmlformats.org/markup-compatibility/2006">
          <mc:Choice Requires="x14">
            <control shapeId="45070" r:id="rId18" name="Check Box 14">
              <controlPr defaultSize="0" autoFill="0" autoLine="0" autoPict="0">
                <anchor moveWithCells="1">
                  <from>
                    <xdr:col>7</xdr:col>
                    <xdr:colOff>190500</xdr:colOff>
                    <xdr:row>125</xdr:row>
                    <xdr:rowOff>0</xdr:rowOff>
                  </from>
                  <to>
                    <xdr:col>7</xdr:col>
                    <xdr:colOff>400050</xdr:colOff>
                    <xdr:row>126</xdr:row>
                    <xdr:rowOff>9525</xdr:rowOff>
                  </to>
                </anchor>
              </controlPr>
            </control>
          </mc:Choice>
        </mc:AlternateContent>
        <mc:AlternateContent xmlns:mc="http://schemas.openxmlformats.org/markup-compatibility/2006">
          <mc:Choice Requires="x14">
            <control shapeId="45071" r:id="rId19" name="Check Box 15">
              <controlPr defaultSize="0" autoFill="0" autoLine="0" autoPict="0">
                <anchor moveWithCells="1">
                  <from>
                    <xdr:col>7</xdr:col>
                    <xdr:colOff>190500</xdr:colOff>
                    <xdr:row>126</xdr:row>
                    <xdr:rowOff>0</xdr:rowOff>
                  </from>
                  <to>
                    <xdr:col>7</xdr:col>
                    <xdr:colOff>400050</xdr:colOff>
                    <xdr:row>127</xdr:row>
                    <xdr:rowOff>9525</xdr:rowOff>
                  </to>
                </anchor>
              </controlPr>
            </control>
          </mc:Choice>
        </mc:AlternateContent>
        <mc:AlternateContent xmlns:mc="http://schemas.openxmlformats.org/markup-compatibility/2006">
          <mc:Choice Requires="x14">
            <control shapeId="45072" r:id="rId20" name="Check Box 16">
              <controlPr defaultSize="0" autoFill="0" autoLine="0" autoPict="0">
                <anchor moveWithCells="1">
                  <from>
                    <xdr:col>8</xdr:col>
                    <xdr:colOff>190500</xdr:colOff>
                    <xdr:row>126</xdr:row>
                    <xdr:rowOff>0</xdr:rowOff>
                  </from>
                  <to>
                    <xdr:col>8</xdr:col>
                    <xdr:colOff>400050</xdr:colOff>
                    <xdr:row>127</xdr:row>
                    <xdr:rowOff>9525</xdr:rowOff>
                  </to>
                </anchor>
              </controlPr>
            </control>
          </mc:Choice>
        </mc:AlternateContent>
        <mc:AlternateContent xmlns:mc="http://schemas.openxmlformats.org/markup-compatibility/2006">
          <mc:Choice Requires="x14">
            <control shapeId="45073" r:id="rId21" name="Check Box 17">
              <controlPr defaultSize="0" autoFill="0" autoLine="0" autoPict="0">
                <anchor moveWithCells="1">
                  <from>
                    <xdr:col>8</xdr:col>
                    <xdr:colOff>190500</xdr:colOff>
                    <xdr:row>127</xdr:row>
                    <xdr:rowOff>0</xdr:rowOff>
                  </from>
                  <to>
                    <xdr:col>8</xdr:col>
                    <xdr:colOff>400050</xdr:colOff>
                    <xdr:row>128</xdr:row>
                    <xdr:rowOff>9525</xdr:rowOff>
                  </to>
                </anchor>
              </controlPr>
            </control>
          </mc:Choice>
        </mc:AlternateContent>
        <mc:AlternateContent xmlns:mc="http://schemas.openxmlformats.org/markup-compatibility/2006">
          <mc:Choice Requires="x14">
            <control shapeId="45074" r:id="rId22" name="Check Box 18">
              <controlPr defaultSize="0" autoFill="0" autoLine="0" autoPict="0">
                <anchor moveWithCells="1">
                  <from>
                    <xdr:col>7</xdr:col>
                    <xdr:colOff>190500</xdr:colOff>
                    <xdr:row>127</xdr:row>
                    <xdr:rowOff>0</xdr:rowOff>
                  </from>
                  <to>
                    <xdr:col>7</xdr:col>
                    <xdr:colOff>400050</xdr:colOff>
                    <xdr:row>128</xdr:row>
                    <xdr:rowOff>9525</xdr:rowOff>
                  </to>
                </anchor>
              </controlPr>
            </control>
          </mc:Choice>
        </mc:AlternateContent>
        <mc:AlternateContent xmlns:mc="http://schemas.openxmlformats.org/markup-compatibility/2006">
          <mc:Choice Requires="x14">
            <control shapeId="45075" r:id="rId23" name="Check Box 19">
              <controlPr defaultSize="0" autoFill="0" autoLine="0" autoPict="0">
                <anchor moveWithCells="1">
                  <from>
                    <xdr:col>7</xdr:col>
                    <xdr:colOff>190500</xdr:colOff>
                    <xdr:row>128</xdr:row>
                    <xdr:rowOff>0</xdr:rowOff>
                  </from>
                  <to>
                    <xdr:col>7</xdr:col>
                    <xdr:colOff>400050</xdr:colOff>
                    <xdr:row>129</xdr:row>
                    <xdr:rowOff>9525</xdr:rowOff>
                  </to>
                </anchor>
              </controlPr>
            </control>
          </mc:Choice>
        </mc:AlternateContent>
        <mc:AlternateContent xmlns:mc="http://schemas.openxmlformats.org/markup-compatibility/2006">
          <mc:Choice Requires="x14">
            <control shapeId="45076" r:id="rId24" name="Check Box 20">
              <controlPr defaultSize="0" autoFill="0" autoLine="0" autoPict="0">
                <anchor moveWithCells="1">
                  <from>
                    <xdr:col>8</xdr:col>
                    <xdr:colOff>190500</xdr:colOff>
                    <xdr:row>128</xdr:row>
                    <xdr:rowOff>0</xdr:rowOff>
                  </from>
                  <to>
                    <xdr:col>8</xdr:col>
                    <xdr:colOff>400050</xdr:colOff>
                    <xdr:row>129</xdr:row>
                    <xdr:rowOff>9525</xdr:rowOff>
                  </to>
                </anchor>
              </controlPr>
            </control>
          </mc:Choice>
        </mc:AlternateContent>
        <mc:AlternateContent xmlns:mc="http://schemas.openxmlformats.org/markup-compatibility/2006">
          <mc:Choice Requires="x14">
            <control shapeId="45077" r:id="rId25" name="Check Box 21">
              <controlPr defaultSize="0" autoFill="0" autoLine="0" autoPict="0">
                <anchor moveWithCells="1">
                  <from>
                    <xdr:col>8</xdr:col>
                    <xdr:colOff>190500</xdr:colOff>
                    <xdr:row>129</xdr:row>
                    <xdr:rowOff>0</xdr:rowOff>
                  </from>
                  <to>
                    <xdr:col>8</xdr:col>
                    <xdr:colOff>400050</xdr:colOff>
                    <xdr:row>130</xdr:row>
                    <xdr:rowOff>9525</xdr:rowOff>
                  </to>
                </anchor>
              </controlPr>
            </control>
          </mc:Choice>
        </mc:AlternateContent>
        <mc:AlternateContent xmlns:mc="http://schemas.openxmlformats.org/markup-compatibility/2006">
          <mc:Choice Requires="x14">
            <control shapeId="45078" r:id="rId26" name="Check Box 22">
              <controlPr defaultSize="0" autoFill="0" autoLine="0" autoPict="0">
                <anchor moveWithCells="1">
                  <from>
                    <xdr:col>7</xdr:col>
                    <xdr:colOff>190500</xdr:colOff>
                    <xdr:row>129</xdr:row>
                    <xdr:rowOff>0</xdr:rowOff>
                  </from>
                  <to>
                    <xdr:col>7</xdr:col>
                    <xdr:colOff>400050</xdr:colOff>
                    <xdr:row>130</xdr:row>
                    <xdr:rowOff>9525</xdr:rowOff>
                  </to>
                </anchor>
              </controlPr>
            </control>
          </mc:Choice>
        </mc:AlternateContent>
        <mc:AlternateContent xmlns:mc="http://schemas.openxmlformats.org/markup-compatibility/2006">
          <mc:Choice Requires="x14">
            <control shapeId="45079" r:id="rId27" name="Check Box 23">
              <controlPr defaultSize="0" autoFill="0" autoLine="0" autoPict="0">
                <anchor moveWithCells="1">
                  <from>
                    <xdr:col>7</xdr:col>
                    <xdr:colOff>190500</xdr:colOff>
                    <xdr:row>131</xdr:row>
                    <xdr:rowOff>0</xdr:rowOff>
                  </from>
                  <to>
                    <xdr:col>7</xdr:col>
                    <xdr:colOff>400050</xdr:colOff>
                    <xdr:row>132</xdr:row>
                    <xdr:rowOff>9525</xdr:rowOff>
                  </to>
                </anchor>
              </controlPr>
            </control>
          </mc:Choice>
        </mc:AlternateContent>
        <mc:AlternateContent xmlns:mc="http://schemas.openxmlformats.org/markup-compatibility/2006">
          <mc:Choice Requires="x14">
            <control shapeId="45080" r:id="rId28" name="Check Box 24">
              <controlPr defaultSize="0" autoFill="0" autoLine="0" autoPict="0">
                <anchor moveWithCells="1">
                  <from>
                    <xdr:col>8</xdr:col>
                    <xdr:colOff>190500</xdr:colOff>
                    <xdr:row>131</xdr:row>
                    <xdr:rowOff>0</xdr:rowOff>
                  </from>
                  <to>
                    <xdr:col>8</xdr:col>
                    <xdr:colOff>400050</xdr:colOff>
                    <xdr:row>132</xdr:row>
                    <xdr:rowOff>9525</xdr:rowOff>
                  </to>
                </anchor>
              </controlPr>
            </control>
          </mc:Choice>
        </mc:AlternateContent>
        <mc:AlternateContent xmlns:mc="http://schemas.openxmlformats.org/markup-compatibility/2006">
          <mc:Choice Requires="x14">
            <control shapeId="45081" r:id="rId29" name="Check Box 25">
              <controlPr defaultSize="0" autoFill="0" autoLine="0" autoPict="0">
                <anchor moveWithCells="1">
                  <from>
                    <xdr:col>7</xdr:col>
                    <xdr:colOff>190500</xdr:colOff>
                    <xdr:row>132</xdr:row>
                    <xdr:rowOff>0</xdr:rowOff>
                  </from>
                  <to>
                    <xdr:col>7</xdr:col>
                    <xdr:colOff>400050</xdr:colOff>
                    <xdr:row>133</xdr:row>
                    <xdr:rowOff>9525</xdr:rowOff>
                  </to>
                </anchor>
              </controlPr>
            </control>
          </mc:Choice>
        </mc:AlternateContent>
        <mc:AlternateContent xmlns:mc="http://schemas.openxmlformats.org/markup-compatibility/2006">
          <mc:Choice Requires="x14">
            <control shapeId="45082" r:id="rId30" name="Check Box 26">
              <controlPr defaultSize="0" autoFill="0" autoLine="0" autoPict="0">
                <anchor moveWithCells="1">
                  <from>
                    <xdr:col>8</xdr:col>
                    <xdr:colOff>190500</xdr:colOff>
                    <xdr:row>132</xdr:row>
                    <xdr:rowOff>0</xdr:rowOff>
                  </from>
                  <to>
                    <xdr:col>8</xdr:col>
                    <xdr:colOff>400050</xdr:colOff>
                    <xdr:row>133</xdr:row>
                    <xdr:rowOff>9525</xdr:rowOff>
                  </to>
                </anchor>
              </controlPr>
            </control>
          </mc:Choice>
        </mc:AlternateContent>
        <mc:AlternateContent xmlns:mc="http://schemas.openxmlformats.org/markup-compatibility/2006">
          <mc:Choice Requires="x14">
            <control shapeId="45083" r:id="rId31" name="Check Box 27">
              <controlPr defaultSize="0" autoFill="0" autoLine="0" autoPict="0">
                <anchor moveWithCells="1">
                  <from>
                    <xdr:col>7</xdr:col>
                    <xdr:colOff>190500</xdr:colOff>
                    <xdr:row>133</xdr:row>
                    <xdr:rowOff>0</xdr:rowOff>
                  </from>
                  <to>
                    <xdr:col>7</xdr:col>
                    <xdr:colOff>400050</xdr:colOff>
                    <xdr:row>134</xdr:row>
                    <xdr:rowOff>9525</xdr:rowOff>
                  </to>
                </anchor>
              </controlPr>
            </control>
          </mc:Choice>
        </mc:AlternateContent>
        <mc:AlternateContent xmlns:mc="http://schemas.openxmlformats.org/markup-compatibility/2006">
          <mc:Choice Requires="x14">
            <control shapeId="45084" r:id="rId32" name="Check Box 28">
              <controlPr defaultSize="0" autoFill="0" autoLine="0" autoPict="0">
                <anchor moveWithCells="1">
                  <from>
                    <xdr:col>8</xdr:col>
                    <xdr:colOff>190500</xdr:colOff>
                    <xdr:row>133</xdr:row>
                    <xdr:rowOff>0</xdr:rowOff>
                  </from>
                  <to>
                    <xdr:col>8</xdr:col>
                    <xdr:colOff>400050</xdr:colOff>
                    <xdr:row>134</xdr:row>
                    <xdr:rowOff>9525</xdr:rowOff>
                  </to>
                </anchor>
              </controlPr>
            </control>
          </mc:Choice>
        </mc:AlternateContent>
        <mc:AlternateContent xmlns:mc="http://schemas.openxmlformats.org/markup-compatibility/2006">
          <mc:Choice Requires="x14">
            <control shapeId="45085" r:id="rId33" name="Check Box 29">
              <controlPr defaultSize="0" autoFill="0" autoLine="0" autoPict="0">
                <anchor moveWithCells="1">
                  <from>
                    <xdr:col>7</xdr:col>
                    <xdr:colOff>190500</xdr:colOff>
                    <xdr:row>134</xdr:row>
                    <xdr:rowOff>0</xdr:rowOff>
                  </from>
                  <to>
                    <xdr:col>7</xdr:col>
                    <xdr:colOff>400050</xdr:colOff>
                    <xdr:row>135</xdr:row>
                    <xdr:rowOff>9525</xdr:rowOff>
                  </to>
                </anchor>
              </controlPr>
            </control>
          </mc:Choice>
        </mc:AlternateContent>
        <mc:AlternateContent xmlns:mc="http://schemas.openxmlformats.org/markup-compatibility/2006">
          <mc:Choice Requires="x14">
            <control shapeId="45086" r:id="rId34" name="Check Box 30">
              <controlPr defaultSize="0" autoFill="0" autoLine="0" autoPict="0">
                <anchor moveWithCells="1">
                  <from>
                    <xdr:col>8</xdr:col>
                    <xdr:colOff>190500</xdr:colOff>
                    <xdr:row>134</xdr:row>
                    <xdr:rowOff>0</xdr:rowOff>
                  </from>
                  <to>
                    <xdr:col>8</xdr:col>
                    <xdr:colOff>400050</xdr:colOff>
                    <xdr:row>135</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3" tint="0.79998168889431442"/>
    <pageSetUpPr fitToPage="1"/>
  </sheetPr>
  <dimension ref="A1:S2042"/>
  <sheetViews>
    <sheetView workbookViewId="0">
      <selection activeCell="C27" sqref="C27:J27"/>
    </sheetView>
  </sheetViews>
  <sheetFormatPr defaultRowHeight="14.25" x14ac:dyDescent="0.2"/>
  <cols>
    <col min="1" max="1" width="4" style="1" customWidth="1"/>
    <col min="2" max="5" width="9.42578125" style="1" customWidth="1"/>
    <col min="6" max="6" width="9.7109375" style="1" customWidth="1"/>
    <col min="7" max="19" width="9.42578125" style="1" customWidth="1"/>
    <col min="20" max="16384" width="9.140625" style="1"/>
  </cols>
  <sheetData>
    <row r="1" spans="2:19" ht="15" thickBot="1" x14ac:dyDescent="0.25"/>
    <row r="2" spans="2:19" ht="15" thickTop="1" x14ac:dyDescent="0.2">
      <c r="B2" s="2"/>
      <c r="C2" s="3"/>
      <c r="D2" s="3"/>
      <c r="E2" s="636" t="s">
        <v>1316</v>
      </c>
      <c r="F2" s="636"/>
      <c r="G2" s="636"/>
      <c r="H2" s="636"/>
      <c r="I2" s="636"/>
      <c r="J2" s="636"/>
      <c r="K2" s="636"/>
      <c r="L2" s="636"/>
      <c r="M2" s="636"/>
      <c r="N2" s="636"/>
      <c r="O2" s="636"/>
      <c r="P2" s="636"/>
      <c r="Q2" s="636"/>
      <c r="R2" s="636"/>
      <c r="S2" s="637"/>
    </row>
    <row r="3" spans="2:19" x14ac:dyDescent="0.2">
      <c r="B3" s="4"/>
      <c r="C3" s="5"/>
      <c r="D3" s="5"/>
      <c r="E3" s="638"/>
      <c r="F3" s="638"/>
      <c r="G3" s="638"/>
      <c r="H3" s="638"/>
      <c r="I3" s="638"/>
      <c r="J3" s="638"/>
      <c r="K3" s="638"/>
      <c r="L3" s="638"/>
      <c r="M3" s="638"/>
      <c r="N3" s="638"/>
      <c r="O3" s="638"/>
      <c r="P3" s="638"/>
      <c r="Q3" s="638"/>
      <c r="R3" s="638"/>
      <c r="S3" s="639"/>
    </row>
    <row r="4" spans="2:19" x14ac:dyDescent="0.2">
      <c r="B4" s="4"/>
      <c r="C4" s="5"/>
      <c r="D4" s="5"/>
      <c r="E4" s="638"/>
      <c r="F4" s="638"/>
      <c r="G4" s="638"/>
      <c r="H4" s="638"/>
      <c r="I4" s="638"/>
      <c r="J4" s="638"/>
      <c r="K4" s="638"/>
      <c r="L4" s="638"/>
      <c r="M4" s="638"/>
      <c r="N4" s="638"/>
      <c r="O4" s="638"/>
      <c r="P4" s="638"/>
      <c r="Q4" s="638"/>
      <c r="R4" s="638"/>
      <c r="S4" s="639"/>
    </row>
    <row r="5" spans="2:19" x14ac:dyDescent="0.2">
      <c r="B5" s="4"/>
      <c r="C5" s="5"/>
      <c r="D5" s="5"/>
      <c r="E5" s="638"/>
      <c r="F5" s="638"/>
      <c r="G5" s="638"/>
      <c r="H5" s="638"/>
      <c r="I5" s="638"/>
      <c r="J5" s="638"/>
      <c r="K5" s="638"/>
      <c r="L5" s="638"/>
      <c r="M5" s="638"/>
      <c r="N5" s="638"/>
      <c r="O5" s="638"/>
      <c r="P5" s="638"/>
      <c r="Q5" s="638"/>
      <c r="R5" s="638"/>
      <c r="S5" s="639"/>
    </row>
    <row r="6" spans="2:19" ht="21" x14ac:dyDescent="0.35">
      <c r="B6" s="4"/>
      <c r="C6" s="5"/>
      <c r="D6" s="5"/>
      <c r="E6" s="5"/>
      <c r="F6" s="5" t="s">
        <v>1916</v>
      </c>
      <c r="G6" s="5"/>
      <c r="H6" s="5"/>
      <c r="I6" s="5"/>
      <c r="J6" s="5"/>
      <c r="K6" s="5"/>
      <c r="L6" s="5"/>
      <c r="M6" s="5"/>
      <c r="N6" s="5"/>
      <c r="O6" s="127" t="s">
        <v>1085</v>
      </c>
      <c r="P6" s="5"/>
      <c r="Q6" s="5"/>
      <c r="R6" s="5"/>
      <c r="S6" s="6"/>
    </row>
    <row r="7" spans="2:19" ht="15" x14ac:dyDescent="0.25">
      <c r="B7" s="4"/>
      <c r="C7" s="5"/>
      <c r="D7" s="5"/>
      <c r="E7" s="5"/>
      <c r="F7" s="59" t="s">
        <v>838</v>
      </c>
      <c r="G7" s="59"/>
      <c r="H7" s="59"/>
      <c r="I7" s="59" t="s">
        <v>839</v>
      </c>
      <c r="J7" s="5"/>
      <c r="K7" s="5"/>
      <c r="L7" s="5"/>
      <c r="M7" s="5"/>
      <c r="N7" s="5"/>
      <c r="O7" s="121"/>
      <c r="P7" s="5"/>
      <c r="Q7" s="5"/>
      <c r="R7" s="5"/>
      <c r="S7" s="6"/>
    </row>
    <row r="8" spans="2:19" ht="15" x14ac:dyDescent="0.25">
      <c r="B8" s="4"/>
      <c r="C8" s="5"/>
      <c r="D8" s="5"/>
      <c r="E8" s="5"/>
      <c r="F8" s="5"/>
      <c r="G8" s="5"/>
      <c r="H8" s="5"/>
      <c r="I8" s="5"/>
      <c r="J8" s="5"/>
      <c r="K8" s="5"/>
      <c r="L8" s="5"/>
      <c r="M8" s="5"/>
      <c r="N8" s="5"/>
      <c r="O8" s="121"/>
      <c r="P8" s="5"/>
      <c r="Q8" s="5"/>
      <c r="R8" s="5"/>
      <c r="S8" s="6"/>
    </row>
    <row r="9" spans="2:19" x14ac:dyDescent="0.2">
      <c r="B9" s="4"/>
      <c r="C9" s="5"/>
      <c r="D9" s="5"/>
      <c r="E9" s="5"/>
      <c r="F9" s="8" t="s">
        <v>1295</v>
      </c>
      <c r="G9" s="9"/>
      <c r="H9" s="10"/>
      <c r="I9" s="10"/>
      <c r="J9" s="10"/>
      <c r="K9" s="10"/>
      <c r="L9" s="10"/>
      <c r="M9" s="10"/>
      <c r="N9" s="10"/>
      <c r="O9" s="10"/>
      <c r="P9" s="10"/>
      <c r="Q9" s="5"/>
      <c r="R9" s="5"/>
      <c r="S9" s="6"/>
    </row>
    <row r="10" spans="2:19" x14ac:dyDescent="0.2">
      <c r="B10" s="4"/>
      <c r="C10" s="5"/>
      <c r="D10" s="5"/>
      <c r="E10" s="5"/>
      <c r="F10" s="11" t="s">
        <v>1296</v>
      </c>
      <c r="G10" s="9"/>
      <c r="H10" s="10"/>
      <c r="I10" s="10"/>
      <c r="J10" s="10"/>
      <c r="K10" s="10"/>
      <c r="L10" s="10"/>
      <c r="M10" s="10"/>
      <c r="N10" s="10"/>
      <c r="O10" s="10"/>
      <c r="P10" s="10"/>
      <c r="Q10" s="5"/>
      <c r="R10" s="5"/>
      <c r="S10" s="6"/>
    </row>
    <row r="11" spans="2:19" ht="15" x14ac:dyDescent="0.25">
      <c r="B11" s="7"/>
      <c r="C11" s="5"/>
      <c r="D11" s="5"/>
      <c r="E11" s="5"/>
      <c r="F11" s="12" t="s">
        <v>837</v>
      </c>
      <c r="G11" s="13" t="s">
        <v>1297</v>
      </c>
      <c r="H11" s="9"/>
      <c r="I11" s="10"/>
      <c r="J11" s="10"/>
      <c r="K11" s="10"/>
      <c r="L11" s="10"/>
      <c r="M11" s="10"/>
      <c r="N11" s="10"/>
      <c r="O11" s="10"/>
      <c r="P11" s="10"/>
      <c r="Q11" s="5"/>
      <c r="R11" s="5"/>
      <c r="S11" s="6"/>
    </row>
    <row r="12" spans="2:19" ht="15" x14ac:dyDescent="0.25">
      <c r="B12" s="7"/>
      <c r="C12" s="5"/>
      <c r="D12" s="5"/>
      <c r="E12" s="5"/>
      <c r="F12" s="12" t="s">
        <v>837</v>
      </c>
      <c r="G12" s="13" t="s">
        <v>1515</v>
      </c>
      <c r="H12" s="9"/>
      <c r="I12" s="10"/>
      <c r="J12" s="10"/>
      <c r="K12" s="10"/>
      <c r="L12" s="10"/>
      <c r="M12" s="10"/>
      <c r="N12" s="10"/>
      <c r="O12" s="10"/>
      <c r="P12" s="10"/>
      <c r="Q12" s="5"/>
      <c r="R12" s="5"/>
      <c r="S12" s="6"/>
    </row>
    <row r="13" spans="2:19" ht="15" x14ac:dyDescent="0.25">
      <c r="B13" s="7"/>
      <c r="C13" s="5"/>
      <c r="D13" s="5"/>
      <c r="E13" s="5"/>
      <c r="F13" s="12" t="s">
        <v>837</v>
      </c>
      <c r="G13" s="13" t="s">
        <v>1298</v>
      </c>
      <c r="H13" s="9"/>
      <c r="I13" s="10"/>
      <c r="J13" s="10"/>
      <c r="K13" s="10"/>
      <c r="L13" s="10"/>
      <c r="M13" s="10"/>
      <c r="N13" s="10"/>
      <c r="O13" s="10"/>
      <c r="P13" s="10"/>
      <c r="Q13" s="5"/>
      <c r="R13" s="5"/>
      <c r="S13" s="6"/>
    </row>
    <row r="14" spans="2:19" ht="15" x14ac:dyDescent="0.25">
      <c r="B14" s="7"/>
      <c r="C14" s="5"/>
      <c r="D14" s="5"/>
      <c r="E14" s="5"/>
      <c r="F14" s="12" t="s">
        <v>837</v>
      </c>
      <c r="G14" s="13" t="s">
        <v>1299</v>
      </c>
      <c r="H14" s="9"/>
      <c r="I14" s="10"/>
      <c r="J14" s="10"/>
      <c r="K14" s="10"/>
      <c r="L14" s="10"/>
      <c r="M14" s="10"/>
      <c r="N14" s="10"/>
      <c r="O14" s="10"/>
      <c r="P14" s="10"/>
      <c r="Q14" s="5"/>
      <c r="R14" s="5"/>
      <c r="S14" s="6"/>
    </row>
    <row r="15" spans="2:19" x14ac:dyDescent="0.2">
      <c r="B15" s="7"/>
      <c r="C15" s="5"/>
      <c r="D15" s="5"/>
      <c r="E15" s="5"/>
      <c r="F15" s="5"/>
      <c r="G15" s="9"/>
      <c r="H15" s="10"/>
      <c r="I15" s="10"/>
      <c r="J15" s="10"/>
      <c r="K15" s="10"/>
      <c r="L15" s="10"/>
      <c r="M15" s="10"/>
      <c r="N15" s="10"/>
      <c r="O15" s="10"/>
      <c r="P15" s="10"/>
      <c r="Q15" s="5"/>
      <c r="R15" s="5"/>
      <c r="S15" s="6"/>
    </row>
    <row r="16" spans="2:19" x14ac:dyDescent="0.2">
      <c r="B16" s="7"/>
      <c r="C16" s="5"/>
      <c r="D16" s="5"/>
      <c r="E16" s="5"/>
      <c r="F16" s="73" t="s">
        <v>1745</v>
      </c>
      <c r="G16" s="168"/>
      <c r="H16" s="11"/>
      <c r="I16" s="11"/>
      <c r="J16" s="11"/>
      <c r="K16" s="11"/>
      <c r="L16" s="11"/>
      <c r="M16" s="11"/>
      <c r="N16" s="11"/>
      <c r="O16" s="11"/>
      <c r="P16" s="11"/>
      <c r="Q16" s="67"/>
      <c r="R16" s="5"/>
      <c r="S16" s="6"/>
    </row>
    <row r="17" spans="2:19" x14ac:dyDescent="0.2">
      <c r="B17" s="7"/>
      <c r="C17" s="5"/>
      <c r="D17" s="5"/>
      <c r="E17" s="5"/>
      <c r="F17" s="11"/>
      <c r="G17" s="168"/>
      <c r="H17" s="11"/>
      <c r="I17" s="11"/>
      <c r="J17" s="11"/>
      <c r="K17" s="11"/>
      <c r="L17" s="11"/>
      <c r="M17" s="11"/>
      <c r="N17" s="11"/>
      <c r="O17" s="11"/>
      <c r="P17" s="11"/>
      <c r="Q17" s="67"/>
      <c r="R17" s="5"/>
      <c r="S17" s="6"/>
    </row>
    <row r="18" spans="2:19" x14ac:dyDescent="0.2">
      <c r="B18" s="7"/>
      <c r="C18" s="5"/>
      <c r="D18" s="5"/>
      <c r="E18" s="5"/>
      <c r="F18" s="11"/>
      <c r="G18" s="168"/>
      <c r="H18" s="11"/>
      <c r="I18" s="11"/>
      <c r="J18" s="11"/>
      <c r="K18" s="11"/>
      <c r="L18" s="11"/>
      <c r="M18" s="11"/>
      <c r="N18" s="11"/>
      <c r="O18" s="11"/>
      <c r="P18" s="11"/>
      <c r="Q18" s="67"/>
      <c r="R18" s="5"/>
      <c r="S18" s="6"/>
    </row>
    <row r="19" spans="2:19" x14ac:dyDescent="0.2">
      <c r="B19" s="7"/>
      <c r="C19" s="5"/>
      <c r="D19" s="5"/>
      <c r="E19" s="5"/>
      <c r="F19" s="184" t="s">
        <v>1444</v>
      </c>
      <c r="G19" s="168"/>
      <c r="H19" s="11"/>
      <c r="I19" s="11"/>
      <c r="J19" s="11"/>
      <c r="K19" s="11"/>
      <c r="L19" s="11"/>
      <c r="M19" s="11"/>
      <c r="N19" s="11"/>
      <c r="O19" s="11"/>
      <c r="P19" s="11"/>
      <c r="Q19" s="67"/>
      <c r="R19" s="5"/>
      <c r="S19" s="6"/>
    </row>
    <row r="20" spans="2:19" x14ac:dyDescent="0.2">
      <c r="B20" s="7"/>
      <c r="C20" s="5"/>
      <c r="D20" s="5"/>
      <c r="E20" s="5"/>
      <c r="F20" s="11"/>
      <c r="G20" s="9"/>
      <c r="H20" s="10"/>
      <c r="I20" s="10"/>
      <c r="J20" s="10"/>
      <c r="K20" s="10"/>
      <c r="L20" s="10"/>
      <c r="M20" s="10"/>
      <c r="N20" s="10"/>
      <c r="O20" s="10"/>
      <c r="P20" s="10"/>
      <c r="Q20" s="5"/>
      <c r="R20" s="5"/>
      <c r="S20" s="6"/>
    </row>
    <row r="21" spans="2:19" ht="15" thickBot="1" x14ac:dyDescent="0.25">
      <c r="B21" s="14"/>
      <c r="C21" s="15"/>
      <c r="D21" s="15"/>
      <c r="E21" s="15"/>
      <c r="F21" s="15"/>
      <c r="G21" s="15"/>
      <c r="H21" s="15"/>
      <c r="I21" s="15"/>
      <c r="J21" s="15"/>
      <c r="K21" s="15"/>
      <c r="L21" s="15"/>
      <c r="M21" s="15"/>
      <c r="N21" s="16"/>
      <c r="O21" s="16"/>
      <c r="P21" s="16"/>
      <c r="Q21" s="16"/>
      <c r="R21" s="16"/>
      <c r="S21" s="17"/>
    </row>
    <row r="22" spans="2:19" ht="15.75" thickTop="1" thickBot="1" x14ac:dyDescent="0.25">
      <c r="B22" s="18"/>
      <c r="C22" s="18"/>
      <c r="D22" s="18"/>
      <c r="E22" s="18"/>
      <c r="F22" s="18"/>
      <c r="G22" s="18"/>
      <c r="H22" s="18"/>
      <c r="I22" s="18"/>
      <c r="J22" s="18"/>
      <c r="K22" s="18"/>
      <c r="L22" s="18"/>
      <c r="M22" s="18"/>
      <c r="N22" s="18"/>
      <c r="O22" s="18"/>
      <c r="P22" s="18"/>
      <c r="Q22" s="18"/>
      <c r="R22" s="18"/>
    </row>
    <row r="23" spans="2:19" ht="15" thickTop="1" x14ac:dyDescent="0.2">
      <c r="B23" s="2"/>
      <c r="C23" s="3"/>
      <c r="D23" s="3"/>
      <c r="E23" s="3"/>
      <c r="F23" s="3"/>
      <c r="G23" s="3"/>
      <c r="H23" s="3"/>
      <c r="I23" s="3"/>
      <c r="J23" s="3"/>
      <c r="K23" s="3"/>
      <c r="L23" s="3"/>
      <c r="M23" s="3"/>
      <c r="N23" s="3"/>
      <c r="O23" s="3"/>
      <c r="P23" s="3"/>
      <c r="Q23" s="3"/>
      <c r="R23" s="3"/>
      <c r="S23" s="19"/>
    </row>
    <row r="24" spans="2:19" ht="15.75" x14ac:dyDescent="0.25">
      <c r="B24" s="4"/>
      <c r="C24" s="20" t="s">
        <v>1456</v>
      </c>
      <c r="D24" s="21"/>
      <c r="E24" s="5"/>
      <c r="F24" s="5"/>
      <c r="G24" s="5"/>
      <c r="H24" s="5"/>
      <c r="I24" s="5"/>
      <c r="J24" s="5"/>
      <c r="K24" s="5"/>
      <c r="L24" s="5"/>
      <c r="M24" s="5"/>
      <c r="N24" s="5"/>
      <c r="O24" s="5"/>
      <c r="P24" s="5"/>
      <c r="Q24" s="5"/>
      <c r="R24" s="5"/>
      <c r="S24" s="6"/>
    </row>
    <row r="25" spans="2:19" x14ac:dyDescent="0.2">
      <c r="B25" s="4"/>
      <c r="C25" s="22"/>
      <c r="D25" s="23"/>
      <c r="E25" s="22"/>
      <c r="F25" s="22"/>
      <c r="G25" s="22"/>
      <c r="H25" s="22"/>
      <c r="I25" s="22"/>
      <c r="J25" s="24"/>
      <c r="K25" s="25"/>
      <c r="L25" s="24" t="s">
        <v>1302</v>
      </c>
      <c r="M25" s="25"/>
      <c r="N25" s="22"/>
      <c r="O25" s="22"/>
      <c r="P25" s="22"/>
      <c r="Q25" s="5"/>
      <c r="R25" s="5"/>
      <c r="S25" s="6"/>
    </row>
    <row r="26" spans="2:19" ht="15" thickBot="1" x14ac:dyDescent="0.25">
      <c r="B26" s="4"/>
      <c r="C26" s="24" t="s">
        <v>1743</v>
      </c>
      <c r="D26" s="22"/>
      <c r="E26" s="22"/>
      <c r="F26" s="22"/>
      <c r="G26" s="22"/>
      <c r="H26" s="22"/>
      <c r="I26" s="22"/>
      <c r="J26" s="22"/>
      <c r="K26" s="22"/>
      <c r="L26" s="26" t="s">
        <v>1303</v>
      </c>
      <c r="M26" s="25"/>
      <c r="N26" s="22"/>
      <c r="O26" s="22"/>
      <c r="P26" s="22"/>
      <c r="Q26" s="5"/>
      <c r="R26" s="5"/>
      <c r="S26" s="6"/>
    </row>
    <row r="27" spans="2:19" ht="15" thickBot="1" x14ac:dyDescent="0.25">
      <c r="B27" s="4"/>
      <c r="C27" s="385"/>
      <c r="D27" s="454"/>
      <c r="E27" s="454"/>
      <c r="F27" s="454"/>
      <c r="G27" s="455"/>
      <c r="H27" s="455"/>
      <c r="I27" s="455"/>
      <c r="J27" s="449"/>
      <c r="K27" s="22"/>
      <c r="L27" s="456"/>
      <c r="M27" s="457"/>
      <c r="N27" s="457"/>
      <c r="O27" s="458"/>
      <c r="P27" s="22"/>
      <c r="Q27" s="5"/>
      <c r="R27" s="5"/>
      <c r="S27" s="6"/>
    </row>
    <row r="28" spans="2:19" ht="15" x14ac:dyDescent="0.25">
      <c r="B28" s="4"/>
      <c r="C28" s="634" t="s">
        <v>1300</v>
      </c>
      <c r="D28" s="560"/>
      <c r="E28" s="560"/>
      <c r="F28" s="560"/>
      <c r="G28" s="560"/>
      <c r="H28" s="560"/>
      <c r="I28" s="560"/>
      <c r="J28" s="560"/>
      <c r="K28" s="22"/>
      <c r="L28" s="640" t="s">
        <v>1304</v>
      </c>
      <c r="M28" s="565"/>
      <c r="N28" s="565"/>
      <c r="O28" s="565"/>
      <c r="P28" s="22"/>
      <c r="Q28" s="5"/>
      <c r="R28" s="5"/>
      <c r="S28" s="6"/>
    </row>
    <row r="29" spans="2:19" x14ac:dyDescent="0.2">
      <c r="B29" s="4"/>
      <c r="C29" s="385"/>
      <c r="D29" s="454"/>
      <c r="E29" s="454"/>
      <c r="F29" s="454"/>
      <c r="G29" s="455"/>
      <c r="H29" s="455"/>
      <c r="I29" s="455"/>
      <c r="J29" s="449"/>
      <c r="K29" s="22"/>
      <c r="L29" s="459"/>
      <c r="M29" s="460"/>
      <c r="N29" s="460"/>
      <c r="O29" s="461"/>
      <c r="P29" s="22"/>
      <c r="Q29" s="5"/>
      <c r="R29" s="5"/>
      <c r="S29" s="6"/>
    </row>
    <row r="30" spans="2:19" ht="15" x14ac:dyDescent="0.25">
      <c r="B30" s="4"/>
      <c r="C30" s="634" t="s">
        <v>1301</v>
      </c>
      <c r="D30" s="560"/>
      <c r="E30" s="560"/>
      <c r="F30" s="560"/>
      <c r="G30" s="560"/>
      <c r="H30" s="560"/>
      <c r="I30" s="560"/>
      <c r="J30" s="560"/>
      <c r="K30" s="22"/>
      <c r="L30" s="632" t="s">
        <v>1305</v>
      </c>
      <c r="M30" s="560"/>
      <c r="N30" s="560"/>
      <c r="O30" s="560"/>
      <c r="P30" s="22"/>
      <c r="Q30" s="5"/>
      <c r="R30" s="5"/>
      <c r="S30" s="6"/>
    </row>
    <row r="31" spans="2:19" ht="15" x14ac:dyDescent="0.25">
      <c r="B31" s="4"/>
      <c r="C31" s="385"/>
      <c r="D31" s="454"/>
      <c r="E31" s="454"/>
      <c r="F31" s="454"/>
      <c r="G31" s="455"/>
      <c r="H31" s="455"/>
      <c r="I31" s="455"/>
      <c r="J31" s="449"/>
      <c r="K31" s="22"/>
      <c r="L31" s="462"/>
      <c r="M31" s="463"/>
      <c r="N31" s="463"/>
      <c r="O31" s="464"/>
      <c r="P31" s="22"/>
      <c r="Q31" s="5"/>
      <c r="R31" s="5"/>
      <c r="S31" s="6"/>
    </row>
    <row r="32" spans="2:19" ht="15" thickBot="1" x14ac:dyDescent="0.25">
      <c r="B32" s="27"/>
      <c r="C32" s="16"/>
      <c r="D32" s="16"/>
      <c r="E32" s="16"/>
      <c r="F32" s="16"/>
      <c r="G32" s="16"/>
      <c r="H32" s="16"/>
      <c r="I32" s="16"/>
      <c r="J32" s="16"/>
      <c r="K32" s="16"/>
      <c r="L32" s="16"/>
      <c r="M32" s="16"/>
      <c r="N32" s="16"/>
      <c r="O32" s="16"/>
      <c r="P32" s="16"/>
      <c r="Q32" s="16"/>
      <c r="R32" s="16"/>
      <c r="S32" s="17"/>
    </row>
    <row r="33" spans="2:19" ht="15.75" thickTop="1" thickBot="1" x14ac:dyDescent="0.25">
      <c r="B33" s="18"/>
      <c r="C33" s="18"/>
      <c r="D33" s="18"/>
      <c r="E33" s="18"/>
      <c r="F33" s="18"/>
      <c r="G33" s="18"/>
      <c r="H33" s="18"/>
      <c r="I33" s="18"/>
      <c r="J33" s="18"/>
      <c r="K33" s="18"/>
      <c r="L33" s="18"/>
      <c r="M33" s="18"/>
      <c r="N33" s="18"/>
      <c r="O33" s="18"/>
      <c r="P33" s="18"/>
      <c r="Q33" s="18"/>
      <c r="R33" s="18"/>
    </row>
    <row r="34" spans="2:19" ht="15" thickTop="1" x14ac:dyDescent="0.2">
      <c r="B34" s="2"/>
      <c r="C34" s="3"/>
      <c r="D34" s="3"/>
      <c r="E34" s="3"/>
      <c r="F34" s="3"/>
      <c r="G34" s="3"/>
      <c r="H34" s="3"/>
      <c r="I34" s="3"/>
      <c r="J34" s="3"/>
      <c r="K34" s="3"/>
      <c r="L34" s="3"/>
      <c r="M34" s="3"/>
      <c r="N34" s="3"/>
      <c r="O34" s="3"/>
      <c r="P34" s="3"/>
      <c r="Q34" s="3"/>
      <c r="R34" s="3"/>
      <c r="S34" s="19"/>
    </row>
    <row r="35" spans="2:19" ht="15.75" x14ac:dyDescent="0.25">
      <c r="B35" s="4"/>
      <c r="C35" s="20" t="s">
        <v>1457</v>
      </c>
      <c r="D35" s="21"/>
      <c r="E35" s="5"/>
      <c r="F35" s="5"/>
      <c r="G35" s="5"/>
      <c r="H35" s="5"/>
      <c r="I35" s="5"/>
      <c r="J35" s="5"/>
      <c r="K35" s="5"/>
      <c r="L35" s="5"/>
      <c r="M35" s="5"/>
      <c r="N35" s="5"/>
      <c r="O35" s="5"/>
      <c r="P35" s="5"/>
      <c r="Q35" s="5"/>
      <c r="R35" s="5"/>
      <c r="S35" s="6"/>
    </row>
    <row r="36" spans="2:19" ht="15.75" x14ac:dyDescent="0.25">
      <c r="B36" s="4"/>
      <c r="C36" s="20"/>
      <c r="D36" s="21"/>
      <c r="E36" s="5"/>
      <c r="F36" s="5"/>
      <c r="G36" s="5"/>
      <c r="H36" s="5"/>
      <c r="I36" s="5"/>
      <c r="J36" s="5"/>
      <c r="K36" s="5"/>
      <c r="L36" s="5"/>
      <c r="M36" s="5"/>
      <c r="N36" s="5"/>
      <c r="O36" s="5"/>
      <c r="P36" s="5"/>
      <c r="Q36" s="5"/>
      <c r="R36" s="5"/>
      <c r="S36" s="6"/>
    </row>
    <row r="37" spans="2:19" x14ac:dyDescent="0.2">
      <c r="B37" s="28"/>
      <c r="C37" s="31" t="str">
        <f>"El tráfico total para el año calendario 2012"&amp;" "&amp;"("&amp;L27&amp;")"</f>
        <v>El tráfico total para el año calendario 2012 ()</v>
      </c>
      <c r="D37" s="29"/>
      <c r="E37" s="133"/>
      <c r="F37" s="133"/>
      <c r="G37" s="133"/>
      <c r="H37" s="133"/>
      <c r="I37" s="133"/>
      <c r="J37" s="30"/>
      <c r="K37" s="30"/>
      <c r="L37" s="30"/>
      <c r="M37" s="30"/>
      <c r="N37" s="30"/>
      <c r="O37" s="30"/>
      <c r="P37" s="129"/>
      <c r="Q37" s="129"/>
      <c r="R37" s="129"/>
      <c r="S37" s="6"/>
    </row>
    <row r="38" spans="2:19" ht="15" x14ac:dyDescent="0.25">
      <c r="B38" s="28"/>
      <c r="C38" s="31"/>
      <c r="D38" s="29"/>
      <c r="E38" s="133"/>
      <c r="F38" s="635"/>
      <c r="G38" s="576"/>
      <c r="H38" s="133"/>
      <c r="I38" s="133"/>
      <c r="J38" s="30"/>
      <c r="K38" s="30"/>
      <c r="L38" s="30"/>
      <c r="M38" s="30"/>
      <c r="N38" s="30"/>
      <c r="O38" s="30"/>
      <c r="P38" s="129"/>
      <c r="Q38" s="129"/>
      <c r="R38" s="129"/>
      <c r="S38" s="6"/>
    </row>
    <row r="39" spans="2:19" x14ac:dyDescent="0.2">
      <c r="B39" s="28"/>
      <c r="C39" s="82">
        <v>2.1</v>
      </c>
      <c r="D39" s="36" t="s">
        <v>1306</v>
      </c>
      <c r="E39" s="37"/>
      <c r="F39" s="385"/>
      <c r="G39" s="449"/>
      <c r="H39" s="32"/>
      <c r="I39" s="32"/>
      <c r="J39" s="82">
        <v>2.5</v>
      </c>
      <c r="K39" s="24" t="s">
        <v>1311</v>
      </c>
      <c r="L39" s="34"/>
      <c r="M39" s="136"/>
      <c r="N39" s="136"/>
      <c r="O39" s="385"/>
      <c r="P39" s="455"/>
      <c r="Q39" s="455"/>
      <c r="R39" s="449"/>
      <c r="S39" s="6"/>
    </row>
    <row r="40" spans="2:19" ht="15" x14ac:dyDescent="0.25">
      <c r="B40" s="4"/>
      <c r="C40" s="122"/>
      <c r="D40" s="36"/>
      <c r="E40" s="37"/>
      <c r="F40" s="632"/>
      <c r="G40" s="560"/>
      <c r="H40" s="136"/>
      <c r="I40" s="136"/>
      <c r="J40" s="112"/>
      <c r="K40" s="136"/>
      <c r="L40" s="136"/>
      <c r="M40" s="35"/>
      <c r="N40" s="35"/>
      <c r="O40" s="633"/>
      <c r="P40" s="560"/>
      <c r="Q40" s="560"/>
      <c r="R40" s="560"/>
      <c r="S40" s="6"/>
    </row>
    <row r="41" spans="2:19" x14ac:dyDescent="0.2">
      <c r="B41" s="4"/>
      <c r="C41" s="82">
        <v>2.2000000000000002</v>
      </c>
      <c r="D41" s="137" t="s">
        <v>1307</v>
      </c>
      <c r="E41" s="136"/>
      <c r="F41" s="385"/>
      <c r="G41" s="449"/>
      <c r="H41" s="136"/>
      <c r="I41" s="22"/>
      <c r="J41" s="82">
        <v>2.6</v>
      </c>
      <c r="K41" s="34" t="s">
        <v>1312</v>
      </c>
      <c r="L41" s="34"/>
      <c r="M41" s="34"/>
      <c r="N41" s="34"/>
      <c r="O41" s="385"/>
      <c r="P41" s="455"/>
      <c r="Q41" s="455"/>
      <c r="R41" s="449"/>
      <c r="S41" s="6"/>
    </row>
    <row r="42" spans="2:19" ht="15" x14ac:dyDescent="0.25">
      <c r="B42" s="4"/>
      <c r="C42" s="123"/>
      <c r="D42" s="22"/>
      <c r="E42" s="5"/>
      <c r="F42" s="632"/>
      <c r="G42" s="560"/>
      <c r="H42" s="136"/>
      <c r="I42" s="32"/>
      <c r="J42" s="126"/>
      <c r="K42" s="35"/>
      <c r="L42" s="35"/>
      <c r="M42" s="35"/>
      <c r="N42" s="35"/>
      <c r="O42" s="633"/>
      <c r="P42" s="560"/>
      <c r="Q42" s="560"/>
      <c r="R42" s="560"/>
      <c r="S42" s="6"/>
    </row>
    <row r="43" spans="2:19" x14ac:dyDescent="0.2">
      <c r="B43" s="4"/>
      <c r="C43" s="82">
        <v>2.2999999999999998</v>
      </c>
      <c r="D43" s="22" t="s">
        <v>1308</v>
      </c>
      <c r="E43" s="5"/>
      <c r="F43" s="385"/>
      <c r="G43" s="449"/>
      <c r="H43" s="136"/>
      <c r="I43" s="32"/>
      <c r="J43" s="82">
        <v>2.7</v>
      </c>
      <c r="K43" s="136" t="s">
        <v>1313</v>
      </c>
      <c r="L43" s="136"/>
      <c r="M43" s="136"/>
      <c r="N43" s="136"/>
      <c r="O43" s="385"/>
      <c r="P43" s="455"/>
      <c r="Q43" s="455"/>
      <c r="R43" s="449"/>
      <c r="S43" s="6"/>
    </row>
    <row r="44" spans="2:19" ht="15" x14ac:dyDescent="0.25">
      <c r="B44" s="4"/>
      <c r="C44" s="124"/>
      <c r="D44" s="137"/>
      <c r="E44" s="136"/>
      <c r="F44" s="632"/>
      <c r="G44" s="560"/>
      <c r="H44" s="136"/>
      <c r="I44" s="136"/>
      <c r="J44" s="112"/>
      <c r="K44" s="136"/>
      <c r="L44" s="136"/>
      <c r="M44" s="136"/>
      <c r="N44" s="136"/>
      <c r="O44" s="633"/>
      <c r="P44" s="560"/>
      <c r="Q44" s="581"/>
      <c r="R44" s="581"/>
      <c r="S44" s="6"/>
    </row>
    <row r="45" spans="2:19" x14ac:dyDescent="0.2">
      <c r="B45" s="4"/>
      <c r="C45" s="125">
        <v>2.4</v>
      </c>
      <c r="D45" s="137" t="s">
        <v>76</v>
      </c>
      <c r="E45" s="136"/>
      <c r="F45" s="385" t="str">
        <f>IF(AND(ISNUMBER(F39), ISNUMBER(F41)), (F39+10*F41), "")</f>
        <v/>
      </c>
      <c r="G45" s="449"/>
      <c r="H45" s="136"/>
      <c r="I45" s="34"/>
      <c r="J45" s="82">
        <v>2.8</v>
      </c>
      <c r="K45" s="136" t="s">
        <v>1315</v>
      </c>
      <c r="L45" s="136"/>
      <c r="M45" s="136"/>
      <c r="N45" s="136" t="s">
        <v>1314</v>
      </c>
      <c r="O45" s="466"/>
      <c r="P45" s="467"/>
      <c r="Q45" s="22" t="str">
        <f>IF(ISTEXT(O43), O43, "")</f>
        <v/>
      </c>
      <c r="R45" s="22"/>
      <c r="S45" s="6"/>
    </row>
    <row r="46" spans="2:19" x14ac:dyDescent="0.2">
      <c r="B46" s="4"/>
      <c r="C46" s="38"/>
      <c r="D46" s="149" t="s">
        <v>1310</v>
      </c>
      <c r="E46" s="37"/>
      <c r="F46" s="136"/>
      <c r="G46" s="136"/>
      <c r="H46" s="136"/>
      <c r="I46" s="35"/>
      <c r="J46" s="39"/>
      <c r="K46" s="35"/>
      <c r="L46" s="35"/>
      <c r="M46" s="136"/>
      <c r="N46" s="136"/>
      <c r="O46" s="136"/>
      <c r="P46" s="34"/>
      <c r="Q46" s="34"/>
      <c r="R46" s="34"/>
      <c r="S46" s="6"/>
    </row>
    <row r="47" spans="2:19" ht="15.75" thickBot="1" x14ac:dyDescent="0.3">
      <c r="B47" s="27"/>
      <c r="C47" s="16"/>
      <c r="D47" s="16"/>
      <c r="E47" s="16"/>
      <c r="F47" s="590"/>
      <c r="G47" s="591"/>
      <c r="H47" s="16"/>
      <c r="I47" s="16"/>
      <c r="J47" s="16"/>
      <c r="K47" s="16"/>
      <c r="L47" s="16"/>
      <c r="M47" s="16"/>
      <c r="N47" s="16"/>
      <c r="O47" s="590"/>
      <c r="P47" s="591"/>
      <c r="Q47" s="16"/>
      <c r="R47" s="16"/>
      <c r="S47" s="17"/>
    </row>
    <row r="48" spans="2:19" ht="15.75" thickTop="1" thickBot="1" x14ac:dyDescent="0.25"/>
    <row r="49" spans="2:19" ht="15.75" thickTop="1" x14ac:dyDescent="0.25">
      <c r="B49" s="2"/>
      <c r="C49" s="3"/>
      <c r="D49" s="3"/>
      <c r="E49" s="3"/>
      <c r="F49" s="3"/>
      <c r="G49" s="3"/>
      <c r="H49" s="3"/>
      <c r="I49" s="3"/>
      <c r="J49" s="629"/>
      <c r="K49" s="630"/>
      <c r="L49" s="3"/>
      <c r="M49" s="3"/>
      <c r="N49" s="3"/>
      <c r="O49" s="3"/>
      <c r="P49" s="3"/>
      <c r="Q49" s="3"/>
      <c r="R49" s="3"/>
      <c r="S49" s="19"/>
    </row>
    <row r="50" spans="2:19" ht="15.75" x14ac:dyDescent="0.25">
      <c r="B50" s="4"/>
      <c r="C50" s="20" t="s">
        <v>1469</v>
      </c>
      <c r="D50" s="21"/>
      <c r="E50" s="5"/>
      <c r="F50" s="5"/>
      <c r="G50" s="5"/>
      <c r="H50" s="5"/>
      <c r="I50" s="5"/>
      <c r="J50" s="573"/>
      <c r="K50" s="574"/>
      <c r="L50" s="5"/>
      <c r="M50" s="631" t="s">
        <v>1424</v>
      </c>
      <c r="N50" s="631"/>
      <c r="O50" s="5"/>
      <c r="P50" s="5"/>
      <c r="Q50" s="5"/>
      <c r="R50" s="5"/>
      <c r="S50" s="6"/>
    </row>
    <row r="51" spans="2:19" ht="15" x14ac:dyDescent="0.25">
      <c r="B51" s="28"/>
      <c r="C51" s="40"/>
      <c r="D51" s="133"/>
      <c r="E51" s="133"/>
      <c r="F51" s="133"/>
      <c r="G51" s="5"/>
      <c r="H51" s="5"/>
      <c r="I51" s="5"/>
      <c r="J51" s="626"/>
      <c r="K51" s="576"/>
      <c r="L51" s="133"/>
      <c r="M51" s="624" t="s">
        <v>1425</v>
      </c>
      <c r="N51" s="624"/>
      <c r="O51" s="129"/>
      <c r="P51" s="129"/>
      <c r="Q51" s="129"/>
      <c r="R51" s="129"/>
      <c r="S51" s="6"/>
    </row>
    <row r="52" spans="2:19" s="101" customFormat="1" ht="15" x14ac:dyDescent="0.25">
      <c r="B52" s="98"/>
      <c r="C52" s="33" t="s">
        <v>19</v>
      </c>
      <c r="D52" s="99" t="s">
        <v>1470</v>
      </c>
      <c r="E52" s="99"/>
      <c r="F52" s="99"/>
      <c r="G52" s="50"/>
      <c r="H52" s="621"/>
      <c r="I52" s="627"/>
      <c r="J52" s="417"/>
      <c r="K52" s="418"/>
      <c r="L52" s="128"/>
      <c r="M52" s="417"/>
      <c r="N52" s="418"/>
      <c r="O52" s="128"/>
      <c r="P52" s="128"/>
      <c r="Q52" s="128"/>
      <c r="R52" s="128"/>
      <c r="S52" s="100"/>
    </row>
    <row r="53" spans="2:19" ht="15" x14ac:dyDescent="0.25">
      <c r="B53" s="28"/>
      <c r="C53" s="41"/>
      <c r="D53" s="42" t="s">
        <v>1325</v>
      </c>
      <c r="E53" s="32"/>
      <c r="F53" s="32"/>
      <c r="G53" s="5"/>
      <c r="H53" s="573"/>
      <c r="I53" s="574"/>
      <c r="J53" s="625"/>
      <c r="K53" s="560"/>
      <c r="L53" s="133"/>
      <c r="M53" s="625"/>
      <c r="N53" s="560"/>
      <c r="O53" s="129"/>
      <c r="P53" s="129"/>
      <c r="Q53" s="129"/>
      <c r="R53" s="129"/>
      <c r="S53" s="6"/>
    </row>
    <row r="54" spans="2:19" ht="15" x14ac:dyDescent="0.25">
      <c r="B54" s="28"/>
      <c r="C54" s="43" t="s">
        <v>784</v>
      </c>
      <c r="D54" s="32" t="s">
        <v>1746</v>
      </c>
      <c r="E54" s="32"/>
      <c r="F54" s="32"/>
      <c r="G54" s="5"/>
      <c r="H54" s="621"/>
      <c r="I54" s="627"/>
      <c r="J54" s="372"/>
      <c r="K54" s="390"/>
      <c r="L54" s="133"/>
      <c r="M54" s="372"/>
      <c r="N54" s="390"/>
      <c r="O54" s="129"/>
      <c r="P54" s="129"/>
      <c r="Q54" s="129"/>
      <c r="R54" s="129"/>
      <c r="S54" s="6"/>
    </row>
    <row r="55" spans="2:19" ht="15" x14ac:dyDescent="0.25">
      <c r="B55" s="28"/>
      <c r="C55" s="43" t="s">
        <v>785</v>
      </c>
      <c r="D55" s="32" t="s">
        <v>1747</v>
      </c>
      <c r="E55" s="32"/>
      <c r="F55" s="32"/>
      <c r="G55" s="5"/>
      <c r="H55" s="621"/>
      <c r="I55" s="627"/>
      <c r="J55" s="372"/>
      <c r="K55" s="390"/>
      <c r="L55" s="133"/>
      <c r="M55" s="372"/>
      <c r="N55" s="390"/>
      <c r="O55" s="129"/>
      <c r="P55" s="129"/>
      <c r="Q55" s="129"/>
      <c r="R55" s="129"/>
      <c r="S55" s="6"/>
    </row>
    <row r="56" spans="2:19" ht="15" x14ac:dyDescent="0.25">
      <c r="B56" s="28"/>
      <c r="C56" s="41"/>
      <c r="D56" s="32"/>
      <c r="E56" s="32"/>
      <c r="F56" s="32"/>
      <c r="G56" s="5"/>
      <c r="H56" s="573"/>
      <c r="I56" s="574"/>
      <c r="J56" s="625"/>
      <c r="K56" s="560"/>
      <c r="L56" s="133"/>
      <c r="M56" s="625"/>
      <c r="N56" s="560"/>
      <c r="O56" s="129"/>
      <c r="P56" s="129"/>
      <c r="Q56" s="129"/>
      <c r="R56" s="129"/>
      <c r="S56" s="6"/>
    </row>
    <row r="57" spans="2:19" s="101" customFormat="1" ht="15" x14ac:dyDescent="0.25">
      <c r="B57" s="98"/>
      <c r="C57" s="33" t="s">
        <v>20</v>
      </c>
      <c r="D57" s="99" t="s">
        <v>1471</v>
      </c>
      <c r="E57" s="99"/>
      <c r="F57" s="99"/>
      <c r="G57" s="50"/>
      <c r="H57" s="621"/>
      <c r="I57" s="627"/>
      <c r="J57" s="417"/>
      <c r="K57" s="418"/>
      <c r="L57" s="128"/>
      <c r="M57" s="417"/>
      <c r="N57" s="418"/>
      <c r="O57" s="128"/>
      <c r="P57" s="128"/>
      <c r="Q57" s="128"/>
      <c r="R57" s="128"/>
      <c r="S57" s="100"/>
    </row>
    <row r="58" spans="2:19" ht="15" x14ac:dyDescent="0.25">
      <c r="B58" s="28"/>
      <c r="C58" s="41"/>
      <c r="D58" s="42" t="s">
        <v>1325</v>
      </c>
      <c r="E58" s="32"/>
      <c r="F58" s="32"/>
      <c r="G58" s="5"/>
      <c r="H58" s="573"/>
      <c r="I58" s="574"/>
      <c r="J58" s="625"/>
      <c r="K58" s="560"/>
      <c r="L58" s="133"/>
      <c r="M58" s="625"/>
      <c r="N58" s="560"/>
      <c r="O58" s="129"/>
      <c r="P58" s="129"/>
      <c r="Q58" s="129"/>
      <c r="R58" s="129"/>
      <c r="S58" s="6"/>
    </row>
    <row r="59" spans="2:19" s="47" customFormat="1" ht="15" x14ac:dyDescent="0.25">
      <c r="B59" s="44"/>
      <c r="C59" s="43" t="s">
        <v>786</v>
      </c>
      <c r="D59" s="32" t="s">
        <v>1746</v>
      </c>
      <c r="E59" s="32"/>
      <c r="F59" s="32"/>
      <c r="G59" s="5"/>
      <c r="H59" s="621"/>
      <c r="I59" s="627"/>
      <c r="J59" s="372"/>
      <c r="K59" s="390"/>
      <c r="L59" s="133"/>
      <c r="M59" s="372"/>
      <c r="N59" s="390"/>
      <c r="O59" s="45"/>
      <c r="P59" s="45"/>
      <c r="Q59" s="45"/>
      <c r="R59" s="45"/>
      <c r="S59" s="46"/>
    </row>
    <row r="60" spans="2:19" s="47" customFormat="1" ht="15" x14ac:dyDescent="0.25">
      <c r="B60" s="44"/>
      <c r="C60" s="43" t="s">
        <v>787</v>
      </c>
      <c r="D60" s="32" t="s">
        <v>1747</v>
      </c>
      <c r="E60" s="32"/>
      <c r="F60" s="32"/>
      <c r="G60" s="5"/>
      <c r="H60" s="621"/>
      <c r="I60" s="627"/>
      <c r="J60" s="372"/>
      <c r="K60" s="390"/>
      <c r="L60" s="133"/>
      <c r="M60" s="372"/>
      <c r="N60" s="390"/>
      <c r="O60" s="45"/>
      <c r="P60" s="45"/>
      <c r="Q60" s="45"/>
      <c r="R60" s="45"/>
      <c r="S60" s="46"/>
    </row>
    <row r="61" spans="2:19" s="47" customFormat="1" ht="15" x14ac:dyDescent="0.25">
      <c r="B61" s="44"/>
      <c r="C61" s="43"/>
      <c r="D61" s="32"/>
      <c r="E61" s="32"/>
      <c r="F61" s="32"/>
      <c r="G61" s="5"/>
      <c r="H61" s="573"/>
      <c r="I61" s="574"/>
      <c r="J61" s="625"/>
      <c r="K61" s="560"/>
      <c r="L61" s="133"/>
      <c r="M61" s="625"/>
      <c r="N61" s="560"/>
      <c r="O61" s="45"/>
      <c r="P61" s="45"/>
      <c r="Q61" s="45"/>
      <c r="R61" s="45"/>
      <c r="S61" s="46"/>
    </row>
    <row r="62" spans="2:19" s="80" customFormat="1" ht="15" x14ac:dyDescent="0.25">
      <c r="B62" s="28"/>
      <c r="C62" s="33" t="s">
        <v>21</v>
      </c>
      <c r="D62" s="32" t="s">
        <v>1472</v>
      </c>
      <c r="E62" s="32"/>
      <c r="F62" s="32"/>
      <c r="G62" s="67"/>
      <c r="H62" s="621"/>
      <c r="I62" s="627"/>
      <c r="J62" s="468"/>
      <c r="K62" s="469"/>
      <c r="L62" s="133"/>
      <c r="M62" s="468"/>
      <c r="N62" s="469"/>
      <c r="O62" s="133"/>
      <c r="P62" s="133"/>
      <c r="Q62" s="133"/>
      <c r="R62" s="133"/>
      <c r="S62" s="96"/>
    </row>
    <row r="63" spans="2:19" ht="15" x14ac:dyDescent="0.25">
      <c r="B63" s="28"/>
      <c r="C63" s="41"/>
      <c r="D63" s="32"/>
      <c r="E63" s="32"/>
      <c r="F63" s="32"/>
      <c r="G63" s="5"/>
      <c r="H63" s="573"/>
      <c r="I63" s="574"/>
      <c r="J63" s="625"/>
      <c r="K63" s="560"/>
      <c r="L63" s="133"/>
      <c r="M63" s="625"/>
      <c r="N63" s="560"/>
      <c r="O63" s="129"/>
      <c r="P63" s="129"/>
      <c r="Q63" s="129"/>
      <c r="R63" s="129"/>
      <c r="S63" s="6"/>
    </row>
    <row r="64" spans="2:19" s="101" customFormat="1" ht="15" x14ac:dyDescent="0.25">
      <c r="B64" s="98"/>
      <c r="C64" s="33" t="s">
        <v>22</v>
      </c>
      <c r="D64" s="99" t="s">
        <v>1473</v>
      </c>
      <c r="E64" s="99"/>
      <c r="F64" s="99"/>
      <c r="G64" s="50"/>
      <c r="H64" s="621"/>
      <c r="I64" s="627"/>
      <c r="J64" s="417"/>
      <c r="K64" s="418"/>
      <c r="L64" s="128"/>
      <c r="M64" s="417"/>
      <c r="N64" s="418"/>
      <c r="O64" s="128"/>
      <c r="P64" s="128"/>
      <c r="Q64" s="339"/>
      <c r="R64" s="128"/>
      <c r="S64" s="100"/>
    </row>
    <row r="65" spans="2:19" s="80" customFormat="1" ht="15" x14ac:dyDescent="0.25">
      <c r="B65" s="28"/>
      <c r="C65" s="41"/>
      <c r="D65" s="97" t="s">
        <v>1474</v>
      </c>
      <c r="E65" s="32"/>
      <c r="F65" s="32"/>
      <c r="G65" s="67"/>
      <c r="H65" s="573"/>
      <c r="I65" s="574"/>
      <c r="J65" s="628"/>
      <c r="K65" s="593"/>
      <c r="L65" s="133"/>
      <c r="M65" s="628"/>
      <c r="N65" s="593"/>
      <c r="O65" s="133"/>
      <c r="P65" s="133"/>
      <c r="Q65" s="133"/>
      <c r="R65" s="133"/>
      <c r="S65" s="96"/>
    </row>
    <row r="66" spans="2:19" ht="15" x14ac:dyDescent="0.25">
      <c r="B66" s="28"/>
      <c r="C66" s="41"/>
      <c r="D66" s="42" t="s">
        <v>1325</v>
      </c>
      <c r="E66" s="32"/>
      <c r="F66" s="32"/>
      <c r="G66" s="5"/>
      <c r="H66" s="573"/>
      <c r="I66" s="574"/>
      <c r="J66" s="626"/>
      <c r="K66" s="576"/>
      <c r="L66" s="133"/>
      <c r="M66" s="626"/>
      <c r="N66" s="576"/>
      <c r="O66" s="129"/>
      <c r="P66" s="129"/>
      <c r="Q66" s="129"/>
      <c r="R66" s="129"/>
      <c r="S66" s="6"/>
    </row>
    <row r="67" spans="2:19" ht="15" x14ac:dyDescent="0.25">
      <c r="B67" s="4"/>
      <c r="C67" s="11" t="s">
        <v>788</v>
      </c>
      <c r="D67" s="25" t="s">
        <v>1475</v>
      </c>
      <c r="E67" s="5"/>
      <c r="F67" s="5"/>
      <c r="G67" s="5"/>
      <c r="H67" s="621"/>
      <c r="I67" s="622"/>
      <c r="J67" s="372"/>
      <c r="K67" s="374"/>
      <c r="L67" s="133"/>
      <c r="M67" s="372"/>
      <c r="N67" s="374"/>
      <c r="O67" s="5"/>
      <c r="P67" s="5"/>
      <c r="Q67" s="5"/>
      <c r="R67" s="5"/>
      <c r="S67" s="6"/>
    </row>
    <row r="68" spans="2:19" ht="15" x14ac:dyDescent="0.25">
      <c r="B68" s="28"/>
      <c r="C68" s="43" t="s">
        <v>789</v>
      </c>
      <c r="D68" s="32" t="s">
        <v>1476</v>
      </c>
      <c r="E68" s="32"/>
      <c r="F68" s="32"/>
      <c r="G68" s="5"/>
      <c r="H68" s="621"/>
      <c r="I68" s="622"/>
      <c r="J68" s="372"/>
      <c r="K68" s="374"/>
      <c r="L68" s="133"/>
      <c r="M68" s="372"/>
      <c r="N68" s="374"/>
      <c r="O68" s="129"/>
      <c r="P68" s="129"/>
      <c r="Q68" s="129"/>
      <c r="R68" s="129"/>
      <c r="S68" s="6"/>
    </row>
    <row r="69" spans="2:19" x14ac:dyDescent="0.2">
      <c r="B69" s="28"/>
      <c r="C69" s="48"/>
      <c r="D69" s="42" t="s">
        <v>1325</v>
      </c>
      <c r="E69" s="32"/>
      <c r="F69" s="32"/>
      <c r="G69" s="5"/>
      <c r="H69" s="573"/>
      <c r="I69" s="573"/>
      <c r="J69" s="625"/>
      <c r="K69" s="625"/>
      <c r="L69" s="133"/>
      <c r="M69" s="625"/>
      <c r="N69" s="625"/>
      <c r="O69" s="129"/>
      <c r="P69" s="129"/>
      <c r="Q69" s="129"/>
      <c r="R69" s="129"/>
      <c r="S69" s="6"/>
    </row>
    <row r="70" spans="2:19" ht="15" x14ac:dyDescent="0.25">
      <c r="B70" s="28"/>
      <c r="C70" s="48" t="s">
        <v>1052</v>
      </c>
      <c r="D70" s="49" t="s">
        <v>1477</v>
      </c>
      <c r="E70" s="32"/>
      <c r="F70" s="32"/>
      <c r="G70" s="5"/>
      <c r="H70" s="621"/>
      <c r="I70" s="622"/>
      <c r="J70" s="372"/>
      <c r="K70" s="374"/>
      <c r="L70" s="133"/>
      <c r="M70" s="372"/>
      <c r="N70" s="374"/>
      <c r="O70" s="129"/>
      <c r="P70" s="129"/>
      <c r="Q70" s="129"/>
      <c r="R70" s="129"/>
      <c r="S70" s="6"/>
    </row>
    <row r="71" spans="2:19" ht="15" thickBot="1" x14ac:dyDescent="0.25">
      <c r="B71" s="27"/>
      <c r="C71" s="16"/>
      <c r="D71" s="16"/>
      <c r="E71" s="16"/>
      <c r="F71" s="16"/>
      <c r="G71" s="16"/>
      <c r="H71" s="16"/>
      <c r="I71" s="16"/>
      <c r="J71" s="555"/>
      <c r="K71" s="555"/>
      <c r="L71" s="16"/>
      <c r="M71" s="555"/>
      <c r="N71" s="555"/>
      <c r="O71" s="16"/>
      <c r="P71" s="16"/>
      <c r="Q71" s="16"/>
      <c r="R71" s="16"/>
      <c r="S71" s="17"/>
    </row>
    <row r="72" spans="2:19" ht="15.75" thickTop="1" thickBot="1" x14ac:dyDescent="0.25"/>
    <row r="73" spans="2:19" ht="15" thickTop="1" x14ac:dyDescent="0.2">
      <c r="B73" s="2"/>
      <c r="C73" s="3"/>
      <c r="D73" s="3"/>
      <c r="E73" s="3"/>
      <c r="F73" s="3"/>
      <c r="G73" s="3"/>
      <c r="H73" s="3"/>
      <c r="I73" s="3"/>
      <c r="J73" s="3"/>
      <c r="K73" s="3"/>
      <c r="L73" s="3"/>
      <c r="M73" s="3"/>
      <c r="N73" s="3"/>
      <c r="O73" s="3"/>
      <c r="P73" s="3"/>
      <c r="Q73" s="3"/>
      <c r="R73" s="3"/>
      <c r="S73" s="19"/>
    </row>
    <row r="74" spans="2:19" ht="15.75" x14ac:dyDescent="0.25">
      <c r="B74" s="4"/>
      <c r="C74" s="20" t="s">
        <v>1514</v>
      </c>
      <c r="D74" s="21"/>
      <c r="E74" s="5"/>
      <c r="F74" s="5"/>
      <c r="G74" s="5"/>
      <c r="H74" s="5"/>
      <c r="I74" s="5"/>
      <c r="J74" s="5"/>
      <c r="K74" s="5"/>
      <c r="L74" s="5"/>
      <c r="M74" s="5"/>
      <c r="N74" s="5"/>
      <c r="O74" s="5"/>
      <c r="P74" s="5"/>
      <c r="Q74" s="5"/>
      <c r="R74" s="5"/>
      <c r="S74" s="6"/>
    </row>
    <row r="75" spans="2:19" ht="15" x14ac:dyDescent="0.25">
      <c r="B75" s="4"/>
      <c r="C75" s="50"/>
      <c r="D75" s="21"/>
      <c r="E75" s="5"/>
      <c r="F75" s="5"/>
      <c r="G75" s="5"/>
      <c r="H75" s="5"/>
      <c r="I75" s="5"/>
      <c r="J75" s="5"/>
      <c r="K75" s="5"/>
      <c r="L75" s="5"/>
      <c r="M75" s="5"/>
      <c r="N75" s="5"/>
      <c r="O75" s="5"/>
      <c r="P75" s="5"/>
      <c r="Q75" s="5"/>
      <c r="R75" s="5"/>
      <c r="S75" s="6"/>
    </row>
    <row r="76" spans="2:19" ht="15" x14ac:dyDescent="0.25">
      <c r="B76" s="28"/>
      <c r="C76" s="623" t="s">
        <v>1317</v>
      </c>
      <c r="D76" s="623"/>
      <c r="E76" s="623"/>
      <c r="F76" s="623"/>
      <c r="G76" s="133"/>
      <c r="H76" s="133"/>
      <c r="I76" s="133"/>
      <c r="J76" s="624" t="s">
        <v>1426</v>
      </c>
      <c r="K76" s="624"/>
      <c r="L76" s="29"/>
      <c r="M76" s="29"/>
      <c r="N76" s="129"/>
      <c r="O76" s="129"/>
      <c r="P76" s="129"/>
      <c r="Q76" s="129"/>
      <c r="R76" s="129"/>
      <c r="S76" s="6"/>
    </row>
    <row r="77" spans="2:19" ht="14.25" customHeight="1" x14ac:dyDescent="0.2">
      <c r="B77" s="28"/>
      <c r="C77" s="41" t="s">
        <v>23</v>
      </c>
      <c r="D77" s="620" t="s">
        <v>1318</v>
      </c>
      <c r="E77" s="615"/>
      <c r="F77" s="615"/>
      <c r="G77" s="615"/>
      <c r="H77" s="615"/>
      <c r="I77" s="616"/>
      <c r="J77" s="372"/>
      <c r="K77" s="390"/>
      <c r="L77" s="5"/>
      <c r="M77" s="29"/>
      <c r="N77" s="129"/>
      <c r="O77" s="129"/>
      <c r="P77" s="129"/>
      <c r="Q77" s="129"/>
      <c r="R77" s="129"/>
      <c r="S77" s="6"/>
    </row>
    <row r="78" spans="2:19" ht="14.25" customHeight="1" x14ac:dyDescent="0.2">
      <c r="B78" s="28"/>
      <c r="C78" s="41" t="s">
        <v>24</v>
      </c>
      <c r="D78" s="619" t="s">
        <v>1748</v>
      </c>
      <c r="E78" s="615"/>
      <c r="F78" s="615"/>
      <c r="G78" s="615"/>
      <c r="H78" s="615"/>
      <c r="I78" s="616"/>
      <c r="J78" s="372"/>
      <c r="K78" s="390"/>
      <c r="L78" s="5"/>
      <c r="M78" s="29"/>
      <c r="N78" s="129"/>
      <c r="O78" s="129"/>
      <c r="P78" s="129"/>
      <c r="Q78" s="129"/>
      <c r="R78" s="129"/>
      <c r="S78" s="6"/>
    </row>
    <row r="79" spans="2:19" ht="14.25" customHeight="1" x14ac:dyDescent="0.2">
      <c r="B79" s="28"/>
      <c r="C79" s="41" t="s">
        <v>25</v>
      </c>
      <c r="D79" s="32" t="s">
        <v>1320</v>
      </c>
      <c r="E79" s="32"/>
      <c r="F79" s="130"/>
      <c r="G79" s="130"/>
      <c r="H79" s="136"/>
      <c r="I79" s="131"/>
      <c r="J79" s="372"/>
      <c r="K79" s="390"/>
      <c r="L79" s="5"/>
      <c r="M79" s="29"/>
      <c r="N79" s="129"/>
      <c r="O79" s="129"/>
      <c r="P79" s="129"/>
      <c r="Q79" s="129"/>
      <c r="R79" s="129"/>
      <c r="S79" s="6"/>
    </row>
    <row r="80" spans="2:19" ht="14.25" customHeight="1" x14ac:dyDescent="0.2">
      <c r="B80" s="28"/>
      <c r="C80" s="41" t="s">
        <v>26</v>
      </c>
      <c r="D80" s="619" t="s">
        <v>1319</v>
      </c>
      <c r="E80" s="615"/>
      <c r="F80" s="615"/>
      <c r="G80" s="615"/>
      <c r="H80" s="615"/>
      <c r="I80" s="616"/>
      <c r="J80" s="372"/>
      <c r="K80" s="390"/>
      <c r="L80" s="5"/>
      <c r="M80" s="29"/>
      <c r="N80" s="129"/>
      <c r="O80" s="129"/>
      <c r="P80" s="129"/>
      <c r="Q80" s="129"/>
      <c r="R80" s="129"/>
      <c r="S80" s="6"/>
    </row>
    <row r="81" spans="2:19" ht="14.25" customHeight="1" x14ac:dyDescent="0.2">
      <c r="B81" s="28"/>
      <c r="C81" s="41" t="s">
        <v>790</v>
      </c>
      <c r="D81" s="619" t="s">
        <v>1321</v>
      </c>
      <c r="E81" s="615"/>
      <c r="F81" s="615"/>
      <c r="G81" s="615"/>
      <c r="H81" s="615"/>
      <c r="I81" s="616"/>
      <c r="J81" s="372"/>
      <c r="K81" s="390"/>
      <c r="L81" s="5"/>
      <c r="M81" s="29"/>
      <c r="N81" s="129"/>
      <c r="O81" s="129"/>
      <c r="P81" s="129"/>
      <c r="Q81" s="129"/>
      <c r="R81" s="129"/>
      <c r="S81" s="6"/>
    </row>
    <row r="82" spans="2:19" ht="14.25" customHeight="1" x14ac:dyDescent="0.2">
      <c r="B82" s="28"/>
      <c r="C82" s="41" t="s">
        <v>791</v>
      </c>
      <c r="D82" s="619" t="s">
        <v>1322</v>
      </c>
      <c r="E82" s="615"/>
      <c r="F82" s="615"/>
      <c r="G82" s="615"/>
      <c r="H82" s="615"/>
      <c r="I82" s="616"/>
      <c r="J82" s="372"/>
      <c r="K82" s="390"/>
      <c r="L82" s="5"/>
      <c r="M82" s="29"/>
      <c r="N82" s="129"/>
      <c r="O82" s="129"/>
      <c r="P82" s="129"/>
      <c r="Q82" s="129"/>
      <c r="R82" s="129"/>
      <c r="S82" s="6"/>
    </row>
    <row r="83" spans="2:19" ht="14.25" customHeight="1" x14ac:dyDescent="0.2">
      <c r="B83" s="28"/>
      <c r="C83" s="41" t="s">
        <v>1016</v>
      </c>
      <c r="D83" s="619" t="s">
        <v>1445</v>
      </c>
      <c r="E83" s="615"/>
      <c r="F83" s="615"/>
      <c r="G83" s="615"/>
      <c r="H83" s="615"/>
      <c r="I83" s="616"/>
      <c r="J83" s="372"/>
      <c r="K83" s="390"/>
      <c r="L83" s="5"/>
      <c r="M83" s="29"/>
      <c r="N83" s="129"/>
      <c r="O83" s="129"/>
      <c r="P83" s="129"/>
      <c r="Q83" s="129"/>
      <c r="R83" s="129"/>
      <c r="S83" s="6"/>
    </row>
    <row r="84" spans="2:19" ht="14.25" customHeight="1" x14ac:dyDescent="0.2">
      <c r="B84" s="28"/>
      <c r="C84" s="41" t="s">
        <v>1017</v>
      </c>
      <c r="D84" s="619" t="s">
        <v>1323</v>
      </c>
      <c r="E84" s="615"/>
      <c r="F84" s="615"/>
      <c r="G84" s="615"/>
      <c r="H84" s="615"/>
      <c r="I84" s="616"/>
      <c r="J84" s="372"/>
      <c r="K84" s="390"/>
      <c r="L84" s="5"/>
      <c r="M84" s="29"/>
      <c r="N84" s="129"/>
      <c r="O84" s="129"/>
      <c r="P84" s="129"/>
      <c r="Q84" s="129"/>
      <c r="R84" s="129"/>
      <c r="S84" s="6"/>
    </row>
    <row r="85" spans="2:19" ht="14.25" customHeight="1" x14ac:dyDescent="0.2">
      <c r="B85" s="28"/>
      <c r="C85" s="41" t="s">
        <v>1018</v>
      </c>
      <c r="D85" s="619" t="s">
        <v>1324</v>
      </c>
      <c r="E85" s="615"/>
      <c r="F85" s="615"/>
      <c r="G85" s="615"/>
      <c r="H85" s="615"/>
      <c r="I85" s="616"/>
      <c r="J85" s="372"/>
      <c r="K85" s="390"/>
      <c r="L85" s="5"/>
      <c r="M85" s="29"/>
      <c r="N85" s="129"/>
      <c r="O85" s="129"/>
      <c r="P85" s="129"/>
      <c r="Q85" s="129"/>
      <c r="R85" s="129"/>
      <c r="S85" s="6"/>
    </row>
    <row r="86" spans="2:19" ht="14.25" customHeight="1" x14ac:dyDescent="0.2">
      <c r="B86" s="28"/>
      <c r="C86" s="41"/>
      <c r="D86" s="94" t="s">
        <v>1326</v>
      </c>
      <c r="E86" s="130"/>
      <c r="F86" s="130"/>
      <c r="G86" s="130"/>
      <c r="H86" s="29"/>
      <c r="I86" s="129"/>
      <c r="J86" s="29"/>
      <c r="K86" s="129"/>
      <c r="L86" s="5"/>
      <c r="M86" s="29"/>
      <c r="N86" s="129"/>
      <c r="O86" s="129"/>
      <c r="P86" s="129"/>
      <c r="Q86" s="129"/>
      <c r="R86" s="129"/>
      <c r="S86" s="6"/>
    </row>
    <row r="87" spans="2:19" ht="14.25" customHeight="1" x14ac:dyDescent="0.2">
      <c r="B87" s="28"/>
      <c r="C87" s="43" t="s">
        <v>1054</v>
      </c>
      <c r="D87" s="619" t="s">
        <v>1329</v>
      </c>
      <c r="E87" s="615"/>
      <c r="F87" s="615"/>
      <c r="G87" s="615"/>
      <c r="H87" s="615"/>
      <c r="I87" s="616"/>
      <c r="J87" s="372"/>
      <c r="K87" s="390"/>
      <c r="L87" s="5"/>
      <c r="M87" s="29"/>
      <c r="N87" s="129"/>
      <c r="O87" s="129"/>
      <c r="P87" s="129"/>
      <c r="Q87" s="129"/>
      <c r="R87" s="129"/>
      <c r="S87" s="6"/>
    </row>
    <row r="88" spans="2:19" ht="14.25" customHeight="1" x14ac:dyDescent="0.2">
      <c r="B88" s="28"/>
      <c r="C88" s="41" t="s">
        <v>1019</v>
      </c>
      <c r="D88" s="614" t="s">
        <v>1330</v>
      </c>
      <c r="E88" s="615"/>
      <c r="F88" s="615"/>
      <c r="G88" s="615"/>
      <c r="H88" s="615"/>
      <c r="I88" s="616"/>
      <c r="J88" s="372"/>
      <c r="K88" s="390"/>
      <c r="L88" s="5"/>
      <c r="M88" s="29"/>
      <c r="N88" s="129"/>
      <c r="O88" s="129"/>
      <c r="P88" s="129"/>
      <c r="Q88" s="129"/>
      <c r="R88" s="129"/>
      <c r="S88" s="6"/>
    </row>
    <row r="89" spans="2:19" ht="15" thickBot="1" x14ac:dyDescent="0.25">
      <c r="B89" s="27"/>
      <c r="C89" s="16"/>
      <c r="D89" s="16"/>
      <c r="E89" s="16"/>
      <c r="F89" s="16"/>
      <c r="G89" s="16"/>
      <c r="H89" s="16"/>
      <c r="I89" s="16"/>
      <c r="J89" s="16"/>
      <c r="K89" s="16"/>
      <c r="L89" s="16"/>
      <c r="M89" s="16"/>
      <c r="N89" s="16"/>
      <c r="O89" s="16"/>
      <c r="P89" s="16"/>
      <c r="Q89" s="16"/>
      <c r="R89" s="16"/>
      <c r="S89" s="17"/>
    </row>
    <row r="90" spans="2:19" ht="15.75" thickTop="1" thickBot="1" x14ac:dyDescent="0.25"/>
    <row r="91" spans="2:19" ht="15" thickTop="1" x14ac:dyDescent="0.2">
      <c r="B91" s="2"/>
      <c r="C91" s="3"/>
      <c r="D91" s="3"/>
      <c r="E91" s="3"/>
      <c r="F91" s="3"/>
      <c r="G91" s="3"/>
      <c r="H91" s="3"/>
      <c r="I91" s="3"/>
      <c r="J91" s="3"/>
      <c r="K91" s="3"/>
      <c r="L91" s="3"/>
      <c r="M91" s="3"/>
      <c r="N91" s="3"/>
      <c r="O91" s="3"/>
      <c r="P91" s="3"/>
      <c r="Q91" s="3"/>
      <c r="R91" s="3"/>
      <c r="S91" s="19"/>
    </row>
    <row r="92" spans="2:19" ht="15.75" x14ac:dyDescent="0.25">
      <c r="B92" s="4"/>
      <c r="C92" s="20" t="s">
        <v>1458</v>
      </c>
      <c r="D92" s="21"/>
      <c r="E92" s="5"/>
      <c r="F92" s="5"/>
      <c r="G92" s="5"/>
      <c r="H92" s="5"/>
      <c r="I92" s="5"/>
      <c r="J92" s="5"/>
      <c r="K92" s="5"/>
      <c r="L92" s="5"/>
      <c r="M92" s="5"/>
      <c r="N92" s="5"/>
      <c r="O92" s="5"/>
      <c r="P92" s="5"/>
      <c r="Q92" s="5"/>
      <c r="R92" s="5"/>
      <c r="S92" s="6"/>
    </row>
    <row r="93" spans="2:19" ht="15" x14ac:dyDescent="0.25">
      <c r="B93" s="28"/>
      <c r="C93" s="133"/>
      <c r="D93" s="29"/>
      <c r="E93" s="133"/>
      <c r="F93" s="133"/>
      <c r="G93" s="133"/>
      <c r="H93" s="133"/>
      <c r="I93" s="133"/>
      <c r="J93" s="30"/>
      <c r="K93" s="30"/>
      <c r="L93" s="30"/>
      <c r="M93" s="617" t="s">
        <v>1332</v>
      </c>
      <c r="N93" s="618"/>
      <c r="O93" s="576"/>
      <c r="P93" s="129"/>
      <c r="Q93" s="129"/>
      <c r="R93" s="129"/>
      <c r="S93" s="6"/>
    </row>
    <row r="94" spans="2:19" ht="15" x14ac:dyDescent="0.25">
      <c r="B94" s="28"/>
      <c r="C94" s="82">
        <v>4.0999999999999996</v>
      </c>
      <c r="D94" s="51" t="s">
        <v>1331</v>
      </c>
      <c r="E94" s="32"/>
      <c r="F94" s="32"/>
      <c r="G94" s="32"/>
      <c r="H94" s="32"/>
      <c r="I94" s="32"/>
      <c r="J94" s="32"/>
      <c r="K94" s="24"/>
      <c r="L94" s="22"/>
      <c r="M94" s="474"/>
      <c r="N94" s="475"/>
      <c r="O94" s="476"/>
      <c r="P94" s="45"/>
      <c r="Q94" s="129"/>
      <c r="R94" s="129"/>
      <c r="S94" s="6"/>
    </row>
    <row r="95" spans="2:19" ht="15" x14ac:dyDescent="0.25">
      <c r="B95" s="4"/>
      <c r="C95" s="112"/>
      <c r="D95" s="37"/>
      <c r="E95" s="32"/>
      <c r="F95" s="32"/>
      <c r="G95" s="32"/>
      <c r="H95" s="32"/>
      <c r="I95" s="136"/>
      <c r="J95" s="136"/>
      <c r="K95" s="136"/>
      <c r="L95" s="136"/>
      <c r="M95" s="599"/>
      <c r="N95" s="600"/>
      <c r="O95" s="601"/>
      <c r="P95" s="129"/>
      <c r="Q95" s="129"/>
      <c r="R95" s="129"/>
      <c r="S95" s="6"/>
    </row>
    <row r="96" spans="2:19" ht="15" x14ac:dyDescent="0.25">
      <c r="B96" s="4"/>
      <c r="C96" s="82">
        <v>4.2</v>
      </c>
      <c r="D96" s="24" t="s">
        <v>1333</v>
      </c>
      <c r="E96" s="130"/>
      <c r="F96" s="130"/>
      <c r="G96" s="130"/>
      <c r="H96" s="130"/>
      <c r="I96" s="130"/>
      <c r="J96" s="130"/>
      <c r="K96" s="130"/>
      <c r="L96" s="130"/>
      <c r="M96" s="474"/>
      <c r="N96" s="475"/>
      <c r="O96" s="476"/>
      <c r="P96" s="129"/>
      <c r="Q96" s="129"/>
      <c r="R96" s="129"/>
      <c r="S96" s="6"/>
    </row>
    <row r="97" spans="2:19" ht="15" x14ac:dyDescent="0.25">
      <c r="B97" s="4"/>
      <c r="C97" s="112"/>
      <c r="D97" s="37"/>
      <c r="E97" s="32"/>
      <c r="F97" s="32"/>
      <c r="G97" s="32"/>
      <c r="H97" s="32"/>
      <c r="I97" s="136"/>
      <c r="J97" s="136"/>
      <c r="K97" s="136"/>
      <c r="L97" s="136"/>
      <c r="M97" s="599"/>
      <c r="N97" s="600"/>
      <c r="O97" s="601"/>
      <c r="P97" s="129"/>
      <c r="Q97" s="129"/>
      <c r="R97" s="129"/>
      <c r="S97" s="6"/>
    </row>
    <row r="98" spans="2:19" ht="15" x14ac:dyDescent="0.25">
      <c r="B98" s="4"/>
      <c r="C98" s="82">
        <v>4.3</v>
      </c>
      <c r="D98" s="24" t="s">
        <v>1334</v>
      </c>
      <c r="E98" s="130"/>
      <c r="F98" s="130"/>
      <c r="G98" s="130"/>
      <c r="H98" s="130"/>
      <c r="I98" s="130"/>
      <c r="J98" s="130"/>
      <c r="K98" s="130"/>
      <c r="L98" s="130"/>
      <c r="M98" s="474"/>
      <c r="N98" s="475"/>
      <c r="O98" s="476"/>
      <c r="P98" s="5"/>
      <c r="Q98" s="5"/>
      <c r="R98" s="5"/>
      <c r="S98" s="6"/>
    </row>
    <row r="99" spans="2:19" ht="15" x14ac:dyDescent="0.25">
      <c r="B99" s="4"/>
      <c r="C99" s="82"/>
      <c r="D99" s="24"/>
      <c r="E99" s="130"/>
      <c r="F99" s="130"/>
      <c r="G99" s="130"/>
      <c r="H99" s="130"/>
      <c r="I99" s="130"/>
      <c r="J99" s="130"/>
      <c r="K99" s="130"/>
      <c r="L99" s="130"/>
      <c r="M99" s="599"/>
      <c r="N99" s="600"/>
      <c r="O99" s="601"/>
      <c r="P99" s="5"/>
      <c r="Q99" s="5"/>
      <c r="R99" s="5"/>
      <c r="S99" s="6"/>
    </row>
    <row r="100" spans="2:19" ht="15" x14ac:dyDescent="0.25">
      <c r="B100" s="4"/>
      <c r="C100" s="82">
        <v>4.4000000000000004</v>
      </c>
      <c r="D100" s="24" t="s">
        <v>1335</v>
      </c>
      <c r="E100" s="130"/>
      <c r="F100" s="130"/>
      <c r="G100" s="130"/>
      <c r="H100" s="130"/>
      <c r="I100" s="130"/>
      <c r="J100" s="130"/>
      <c r="K100" s="130"/>
      <c r="L100" s="130"/>
      <c r="M100" s="474"/>
      <c r="N100" s="475"/>
      <c r="O100" s="476"/>
      <c r="P100" s="5"/>
      <c r="Q100" s="5"/>
      <c r="R100" s="5"/>
      <c r="S100" s="6"/>
    </row>
    <row r="101" spans="2:19" ht="15" x14ac:dyDescent="0.25">
      <c r="B101" s="4"/>
      <c r="C101" s="82"/>
      <c r="D101" s="24"/>
      <c r="E101" s="130"/>
      <c r="F101" s="130"/>
      <c r="G101" s="130"/>
      <c r="H101" s="130"/>
      <c r="I101" s="130"/>
      <c r="J101" s="130"/>
      <c r="K101" s="130"/>
      <c r="L101" s="130"/>
      <c r="M101" s="599"/>
      <c r="N101" s="600"/>
      <c r="O101" s="601"/>
      <c r="P101" s="5"/>
      <c r="Q101" s="5"/>
      <c r="R101" s="5"/>
      <c r="S101" s="6"/>
    </row>
    <row r="102" spans="2:19" ht="15" x14ac:dyDescent="0.25">
      <c r="B102" s="4"/>
      <c r="C102" s="82">
        <v>4.5</v>
      </c>
      <c r="D102" s="138" t="s">
        <v>1336</v>
      </c>
      <c r="E102" s="102"/>
      <c r="F102" s="102"/>
      <c r="G102" s="102"/>
      <c r="H102" s="102"/>
      <c r="I102" s="102"/>
      <c r="J102" s="102"/>
      <c r="K102" s="130"/>
      <c r="L102" s="130"/>
      <c r="M102" s="372"/>
      <c r="N102" s="478"/>
      <c r="O102" s="479"/>
      <c r="P102" s="5" t="s">
        <v>1084</v>
      </c>
      <c r="Q102" s="5"/>
      <c r="R102" s="5"/>
      <c r="S102" s="6"/>
    </row>
    <row r="103" spans="2:19" ht="15" x14ac:dyDescent="0.25">
      <c r="B103" s="4"/>
      <c r="C103" s="82"/>
      <c r="D103" s="52" t="s">
        <v>1337</v>
      </c>
      <c r="E103" s="102"/>
      <c r="F103" s="102"/>
      <c r="G103" s="102"/>
      <c r="H103" s="102"/>
      <c r="I103" s="102"/>
      <c r="J103" s="102"/>
      <c r="K103" s="130"/>
      <c r="L103" s="130"/>
      <c r="M103" s="599"/>
      <c r="N103" s="600"/>
      <c r="O103" s="601"/>
      <c r="P103" s="130"/>
      <c r="Q103" s="5"/>
      <c r="R103" s="5"/>
      <c r="S103" s="6"/>
    </row>
    <row r="104" spans="2:19" ht="15" x14ac:dyDescent="0.25">
      <c r="B104" s="4"/>
      <c r="C104" s="82">
        <v>4.5999999999999996</v>
      </c>
      <c r="D104" s="52" t="s">
        <v>1338</v>
      </c>
      <c r="E104" s="130"/>
      <c r="F104" s="130"/>
      <c r="G104" s="130"/>
      <c r="H104" s="130"/>
      <c r="I104" s="130"/>
      <c r="J104" s="130"/>
      <c r="K104" s="130"/>
      <c r="L104" s="130"/>
      <c r="M104" s="398"/>
      <c r="N104" s="399"/>
      <c r="O104" s="476"/>
      <c r="P104" s="130"/>
      <c r="Q104" s="5"/>
      <c r="R104" s="5"/>
      <c r="S104" s="6"/>
    </row>
    <row r="105" spans="2:19" ht="15" x14ac:dyDescent="0.25">
      <c r="B105" s="4"/>
      <c r="C105" s="81"/>
      <c r="D105" s="52" t="s">
        <v>1339</v>
      </c>
      <c r="E105" s="130"/>
      <c r="F105" s="130"/>
      <c r="G105" s="130"/>
      <c r="H105" s="130"/>
      <c r="I105" s="130"/>
      <c r="J105" s="130"/>
      <c r="K105" s="130"/>
      <c r="L105" s="130"/>
      <c r="M105" s="602"/>
      <c r="N105" s="603"/>
      <c r="O105" s="581"/>
      <c r="P105" s="130"/>
      <c r="Q105" s="5"/>
      <c r="R105" s="5"/>
      <c r="S105" s="6"/>
    </row>
    <row r="106" spans="2:19" ht="15" thickBot="1" x14ac:dyDescent="0.25">
      <c r="B106" s="27"/>
      <c r="C106" s="16"/>
      <c r="D106" s="16"/>
      <c r="E106" s="16"/>
      <c r="F106" s="16"/>
      <c r="G106" s="16"/>
      <c r="H106" s="16"/>
      <c r="I106" s="16"/>
      <c r="J106" s="16"/>
      <c r="K106" s="16"/>
      <c r="L106" s="16"/>
      <c r="M106" s="16"/>
      <c r="N106" s="16"/>
      <c r="O106" s="16"/>
      <c r="P106" s="16"/>
      <c r="Q106" s="16"/>
      <c r="R106" s="16"/>
      <c r="S106" s="17"/>
    </row>
    <row r="107" spans="2:19" ht="15.75" thickTop="1" thickBot="1" x14ac:dyDescent="0.25"/>
    <row r="108" spans="2:19" ht="15" customHeight="1" thickTop="1" x14ac:dyDescent="0.25">
      <c r="B108" s="2"/>
      <c r="C108" s="3"/>
      <c r="D108" s="3"/>
      <c r="E108" s="3"/>
      <c r="F108" s="3"/>
      <c r="G108" s="3"/>
      <c r="H108" s="3"/>
      <c r="I108" s="3"/>
      <c r="J108" s="3"/>
      <c r="K108" s="3"/>
      <c r="L108" s="3"/>
      <c r="M108" s="3"/>
      <c r="N108" s="3"/>
      <c r="O108" s="3"/>
      <c r="P108" s="53"/>
      <c r="Q108" s="132"/>
      <c r="R108" s="54"/>
      <c r="S108" s="55"/>
    </row>
    <row r="109" spans="2:19" ht="15" customHeight="1" x14ac:dyDescent="0.25">
      <c r="B109" s="4"/>
      <c r="C109" s="20" t="s">
        <v>1459</v>
      </c>
      <c r="D109" s="5"/>
      <c r="E109" s="5"/>
      <c r="F109" s="5"/>
      <c r="G109" s="5"/>
      <c r="H109" s="5"/>
      <c r="I109" s="5"/>
      <c r="J109" s="5"/>
      <c r="K109" s="5"/>
      <c r="L109" s="5"/>
      <c r="M109" s="140"/>
      <c r="N109" s="129"/>
      <c r="O109" s="5"/>
      <c r="P109" s="129"/>
      <c r="Q109" s="129"/>
      <c r="R109" s="129"/>
      <c r="S109" s="57"/>
    </row>
    <row r="110" spans="2:19" ht="15" customHeight="1" x14ac:dyDescent="0.2">
      <c r="B110" s="4"/>
      <c r="C110" s="604" t="s">
        <v>1754</v>
      </c>
      <c r="D110" s="605"/>
      <c r="E110" s="605"/>
      <c r="F110" s="605"/>
      <c r="G110" s="605"/>
      <c r="H110" s="605"/>
      <c r="I110" s="605"/>
      <c r="J110" s="605"/>
      <c r="K110" s="605"/>
      <c r="L110" s="643"/>
      <c r="M110" s="643"/>
      <c r="N110" s="643"/>
      <c r="O110" s="643"/>
      <c r="P110" s="643"/>
      <c r="Q110" s="643"/>
      <c r="R110" s="129"/>
      <c r="S110" s="57"/>
    </row>
    <row r="111" spans="2:19" ht="15" customHeight="1" x14ac:dyDescent="0.2">
      <c r="B111" s="4"/>
      <c r="C111" s="605"/>
      <c r="D111" s="605"/>
      <c r="E111" s="605"/>
      <c r="F111" s="605"/>
      <c r="G111" s="605"/>
      <c r="H111" s="605"/>
      <c r="I111" s="605"/>
      <c r="J111" s="605"/>
      <c r="K111" s="605"/>
      <c r="L111" s="643"/>
      <c r="M111" s="643"/>
      <c r="N111" s="643"/>
      <c r="O111" s="643"/>
      <c r="P111" s="643"/>
      <c r="Q111" s="643"/>
      <c r="R111" s="129"/>
      <c r="S111" s="57"/>
    </row>
    <row r="112" spans="2:19" ht="15" customHeight="1" x14ac:dyDescent="0.2">
      <c r="B112" s="4"/>
      <c r="C112" s="605"/>
      <c r="D112" s="605"/>
      <c r="E112" s="605"/>
      <c r="F112" s="605"/>
      <c r="G112" s="605"/>
      <c r="H112" s="605"/>
      <c r="I112" s="605"/>
      <c r="J112" s="605"/>
      <c r="K112" s="605"/>
      <c r="L112" s="643"/>
      <c r="M112" s="643"/>
      <c r="N112" s="643"/>
      <c r="O112" s="643"/>
      <c r="P112" s="643"/>
      <c r="Q112" s="643"/>
      <c r="R112" s="129"/>
      <c r="S112" s="57"/>
    </row>
    <row r="113" spans="2:19" ht="15" customHeight="1" x14ac:dyDescent="0.25">
      <c r="B113" s="4"/>
      <c r="C113" s="20"/>
      <c r="D113" s="5"/>
      <c r="E113" s="5"/>
      <c r="F113" s="5"/>
      <c r="G113" s="5"/>
      <c r="H113" s="5"/>
      <c r="I113" s="5"/>
      <c r="J113" s="5"/>
      <c r="K113" s="607" t="s">
        <v>1447</v>
      </c>
      <c r="L113" s="608"/>
      <c r="M113" s="608"/>
      <c r="N113" s="5"/>
      <c r="O113" s="610" t="s">
        <v>1448</v>
      </c>
      <c r="P113" s="611"/>
      <c r="Q113" s="611"/>
      <c r="R113" s="129"/>
      <c r="S113" s="57"/>
    </row>
    <row r="114" spans="2:19" ht="15" customHeight="1" thickBot="1" x14ac:dyDescent="0.3">
      <c r="B114" s="4"/>
      <c r="C114" s="20"/>
      <c r="D114" s="5"/>
      <c r="E114" s="5"/>
      <c r="F114" s="5"/>
      <c r="G114" s="5"/>
      <c r="H114" s="5"/>
      <c r="I114" s="5"/>
      <c r="J114" s="5"/>
      <c r="K114" s="609"/>
      <c r="L114" s="609"/>
      <c r="M114" s="609"/>
      <c r="N114" s="5"/>
      <c r="O114" s="612" t="s">
        <v>1449</v>
      </c>
      <c r="P114" s="613"/>
      <c r="Q114" s="613"/>
      <c r="R114" s="129"/>
      <c r="S114" s="57"/>
    </row>
    <row r="115" spans="2:19" ht="15" customHeight="1" thickBot="1" x14ac:dyDescent="0.3">
      <c r="B115" s="4"/>
      <c r="C115" s="82">
        <v>5.0999999999999996</v>
      </c>
      <c r="D115" s="5" t="s">
        <v>1446</v>
      </c>
      <c r="E115" s="5"/>
      <c r="F115" s="5"/>
      <c r="G115" s="5"/>
      <c r="H115" s="5"/>
      <c r="I115" s="104"/>
      <c r="J115" s="104" t="s">
        <v>1068</v>
      </c>
      <c r="K115" s="435"/>
      <c r="L115" s="480"/>
      <c r="M115" s="481"/>
      <c r="N115" s="129"/>
      <c r="O115" s="435"/>
      <c r="P115" s="480"/>
      <c r="Q115" s="481"/>
      <c r="R115" s="129"/>
      <c r="S115" s="57"/>
    </row>
    <row r="116" spans="2:19" ht="15" customHeight="1" x14ac:dyDescent="0.25">
      <c r="B116" s="4"/>
      <c r="C116" s="5"/>
      <c r="D116" s="5"/>
      <c r="E116" s="5"/>
      <c r="F116" s="5"/>
      <c r="G116" s="5"/>
      <c r="H116" s="5"/>
      <c r="I116" s="5"/>
      <c r="J116" s="5"/>
      <c r="K116" s="5"/>
      <c r="L116" s="5"/>
      <c r="M116" s="573"/>
      <c r="N116" s="593"/>
      <c r="O116" s="5"/>
      <c r="P116" s="595"/>
      <c r="Q116" s="596"/>
      <c r="R116" s="129"/>
      <c r="S116" s="57"/>
    </row>
    <row r="117" spans="2:19" ht="15" customHeight="1" x14ac:dyDescent="0.25">
      <c r="B117" s="7"/>
      <c r="C117" s="50" t="s">
        <v>1427</v>
      </c>
      <c r="D117" s="5"/>
      <c r="E117" s="5"/>
      <c r="F117" s="5"/>
      <c r="G117" s="5"/>
      <c r="H117" s="5"/>
      <c r="I117" s="5"/>
      <c r="J117" s="5"/>
      <c r="K117" s="597" t="s">
        <v>1327</v>
      </c>
      <c r="L117" s="598"/>
      <c r="M117" s="598"/>
      <c r="N117" s="134"/>
      <c r="O117" s="597" t="s">
        <v>1327</v>
      </c>
      <c r="P117" s="598"/>
      <c r="Q117" s="598"/>
      <c r="R117" s="557"/>
      <c r="S117" s="587"/>
    </row>
    <row r="118" spans="2:19" ht="15" customHeight="1" x14ac:dyDescent="0.25">
      <c r="B118" s="7"/>
      <c r="C118" s="10"/>
      <c r="D118" s="58"/>
      <c r="E118" s="5"/>
      <c r="F118" s="5"/>
      <c r="G118" s="5"/>
      <c r="H118" s="169" t="s">
        <v>1744</v>
      </c>
      <c r="I118" s="10" t="s">
        <v>1513</v>
      </c>
      <c r="J118" s="5"/>
      <c r="K118" s="5"/>
      <c r="L118" s="59"/>
      <c r="M118" s="575"/>
      <c r="N118" s="593"/>
      <c r="O118" s="5"/>
      <c r="P118" s="594"/>
      <c r="Q118" s="576"/>
      <c r="R118" s="56"/>
      <c r="S118" s="57"/>
    </row>
    <row r="119" spans="2:19" ht="15" customHeight="1" x14ac:dyDescent="0.25">
      <c r="B119" s="7"/>
      <c r="C119" s="33" t="s">
        <v>37</v>
      </c>
      <c r="D119" s="59" t="s">
        <v>1428</v>
      </c>
      <c r="E119" s="59"/>
      <c r="F119" s="59"/>
      <c r="G119" s="59"/>
      <c r="H119" s="5"/>
      <c r="I119" s="5"/>
      <c r="J119" s="5"/>
      <c r="K119" s="372"/>
      <c r="L119" s="373"/>
      <c r="M119" s="374"/>
      <c r="N119" s="5"/>
      <c r="O119" s="372"/>
      <c r="P119" s="373"/>
      <c r="Q119" s="374"/>
      <c r="R119" s="56"/>
      <c r="S119" s="57"/>
    </row>
    <row r="120" spans="2:19" ht="15" customHeight="1" x14ac:dyDescent="0.25">
      <c r="B120" s="7"/>
      <c r="C120" s="33" t="s">
        <v>38</v>
      </c>
      <c r="D120" s="59" t="s">
        <v>1452</v>
      </c>
      <c r="E120" s="59"/>
      <c r="F120" s="59"/>
      <c r="G120" s="59"/>
      <c r="H120" s="5"/>
      <c r="I120" s="5"/>
      <c r="J120" s="5"/>
      <c r="K120" s="372"/>
      <c r="L120" s="373"/>
      <c r="M120" s="374"/>
      <c r="N120" s="5"/>
      <c r="O120" s="372"/>
      <c r="P120" s="373"/>
      <c r="Q120" s="374"/>
      <c r="R120" s="56"/>
      <c r="S120" s="57"/>
    </row>
    <row r="121" spans="2:19" ht="15" customHeight="1" x14ac:dyDescent="0.25">
      <c r="B121" s="7"/>
      <c r="C121" s="10"/>
      <c r="D121" s="42" t="s">
        <v>1429</v>
      </c>
      <c r="E121" s="59"/>
      <c r="F121" s="59"/>
      <c r="G121" s="59"/>
      <c r="H121" s="5"/>
      <c r="I121" s="5"/>
      <c r="J121" s="5"/>
      <c r="K121" s="592"/>
      <c r="L121" s="560"/>
      <c r="M121" s="560"/>
      <c r="N121" s="129"/>
      <c r="O121" s="592"/>
      <c r="P121" s="560"/>
      <c r="Q121" s="560"/>
      <c r="R121" s="56"/>
      <c r="S121" s="57"/>
    </row>
    <row r="122" spans="2:19" ht="15" customHeight="1" x14ac:dyDescent="0.25">
      <c r="B122" s="7"/>
      <c r="C122" s="60" t="s">
        <v>6</v>
      </c>
      <c r="D122" s="59" t="s">
        <v>1440</v>
      </c>
      <c r="E122" s="59"/>
      <c r="F122" s="59"/>
      <c r="G122" s="59"/>
      <c r="H122" s="5"/>
      <c r="I122" s="5"/>
      <c r="J122" s="5"/>
      <c r="K122" s="372"/>
      <c r="L122" s="373"/>
      <c r="M122" s="374"/>
      <c r="N122" s="5"/>
      <c r="O122" s="372"/>
      <c r="P122" s="373"/>
      <c r="Q122" s="374"/>
      <c r="R122" s="56"/>
      <c r="S122" s="57"/>
    </row>
    <row r="123" spans="2:19" ht="15" customHeight="1" x14ac:dyDescent="0.25">
      <c r="B123" s="4"/>
      <c r="C123" s="60" t="s">
        <v>7</v>
      </c>
      <c r="D123" s="59" t="s">
        <v>1439</v>
      </c>
      <c r="E123" s="59"/>
      <c r="F123" s="59"/>
      <c r="G123" s="59"/>
      <c r="H123" s="5"/>
      <c r="I123" s="5"/>
      <c r="J123" s="5"/>
      <c r="K123" s="372"/>
      <c r="L123" s="373"/>
      <c r="M123" s="374"/>
      <c r="N123" s="5"/>
      <c r="O123" s="372"/>
      <c r="P123" s="373"/>
      <c r="Q123" s="374"/>
      <c r="R123" s="56"/>
      <c r="S123" s="57"/>
    </row>
    <row r="124" spans="2:19" ht="15" customHeight="1" x14ac:dyDescent="0.25">
      <c r="B124" s="4"/>
      <c r="C124" s="60" t="s">
        <v>8</v>
      </c>
      <c r="D124" s="59" t="s">
        <v>1441</v>
      </c>
      <c r="E124" s="59"/>
      <c r="F124" s="59"/>
      <c r="G124" s="59"/>
      <c r="H124" s="5"/>
      <c r="I124" s="5"/>
      <c r="J124" s="5"/>
      <c r="K124" s="372"/>
      <c r="L124" s="373"/>
      <c r="M124" s="374"/>
      <c r="N124" s="5"/>
      <c r="O124" s="372"/>
      <c r="P124" s="373"/>
      <c r="Q124" s="374"/>
      <c r="R124" s="56"/>
      <c r="S124" s="57"/>
    </row>
    <row r="125" spans="2:19" ht="15" customHeight="1" x14ac:dyDescent="0.25">
      <c r="B125" s="4"/>
      <c r="C125" s="33" t="s">
        <v>39</v>
      </c>
      <c r="D125" s="59" t="s">
        <v>1430</v>
      </c>
      <c r="E125" s="59"/>
      <c r="F125" s="59"/>
      <c r="G125" s="59"/>
      <c r="H125" s="5"/>
      <c r="I125" s="5"/>
      <c r="J125" s="5"/>
      <c r="K125" s="372"/>
      <c r="L125" s="373"/>
      <c r="M125" s="374"/>
      <c r="N125" s="5"/>
      <c r="O125" s="372"/>
      <c r="P125" s="373"/>
      <c r="Q125" s="374"/>
      <c r="R125" s="56"/>
      <c r="S125" s="57"/>
    </row>
    <row r="126" spans="2:19" ht="15" customHeight="1" x14ac:dyDescent="0.25">
      <c r="B126" s="4"/>
      <c r="C126" s="33" t="s">
        <v>800</v>
      </c>
      <c r="D126" s="59" t="s">
        <v>1431</v>
      </c>
      <c r="E126" s="59"/>
      <c r="F126" s="59"/>
      <c r="G126" s="59"/>
      <c r="H126" s="5"/>
      <c r="I126" s="5"/>
      <c r="J126" s="5"/>
      <c r="K126" s="372"/>
      <c r="L126" s="373"/>
      <c r="M126" s="374"/>
      <c r="N126" s="5"/>
      <c r="O126" s="372"/>
      <c r="P126" s="373"/>
      <c r="Q126" s="374"/>
      <c r="R126" s="56"/>
      <c r="S126" s="57"/>
    </row>
    <row r="127" spans="2:19" ht="15" customHeight="1" x14ac:dyDescent="0.25">
      <c r="B127" s="4"/>
      <c r="C127" s="33" t="s">
        <v>801</v>
      </c>
      <c r="D127" s="59" t="s">
        <v>1432</v>
      </c>
      <c r="E127" s="59"/>
      <c r="F127" s="59"/>
      <c r="G127" s="59"/>
      <c r="H127" s="5"/>
      <c r="I127" s="5"/>
      <c r="J127" s="5"/>
      <c r="K127" s="372"/>
      <c r="L127" s="373"/>
      <c r="M127" s="374"/>
      <c r="N127" s="5"/>
      <c r="O127" s="372"/>
      <c r="P127" s="373"/>
      <c r="Q127" s="374"/>
      <c r="R127" s="56"/>
      <c r="S127" s="57"/>
    </row>
    <row r="128" spans="2:19" ht="15" customHeight="1" x14ac:dyDescent="0.25">
      <c r="B128" s="4"/>
      <c r="C128" s="33" t="s">
        <v>802</v>
      </c>
      <c r="D128" s="59" t="s">
        <v>1433</v>
      </c>
      <c r="E128" s="59"/>
      <c r="F128" s="59"/>
      <c r="G128" s="59"/>
      <c r="H128" s="5"/>
      <c r="I128" s="5"/>
      <c r="J128" s="5"/>
      <c r="K128" s="372"/>
      <c r="L128" s="373"/>
      <c r="M128" s="374"/>
      <c r="N128" s="5"/>
      <c r="O128" s="372"/>
      <c r="P128" s="373"/>
      <c r="Q128" s="374"/>
      <c r="R128" s="56"/>
      <c r="S128" s="57"/>
    </row>
    <row r="129" spans="2:19" ht="15" customHeight="1" x14ac:dyDescent="0.25">
      <c r="B129" s="4"/>
      <c r="C129" s="33" t="s">
        <v>803</v>
      </c>
      <c r="D129" s="59" t="s">
        <v>1434</v>
      </c>
      <c r="E129" s="59"/>
      <c r="F129" s="59"/>
      <c r="G129" s="59"/>
      <c r="H129" s="5"/>
      <c r="I129" s="5"/>
      <c r="J129" s="5"/>
      <c r="K129" s="372"/>
      <c r="L129" s="373"/>
      <c r="M129" s="374"/>
      <c r="N129" s="5"/>
      <c r="O129" s="372"/>
      <c r="P129" s="373"/>
      <c r="Q129" s="374"/>
      <c r="R129" s="56"/>
      <c r="S129" s="57"/>
    </row>
    <row r="130" spans="2:19" ht="15" customHeight="1" x14ac:dyDescent="0.25">
      <c r="B130" s="4"/>
      <c r="C130" s="33" t="s">
        <v>804</v>
      </c>
      <c r="D130" s="103" t="s">
        <v>1435</v>
      </c>
      <c r="E130" s="103"/>
      <c r="F130" s="103"/>
      <c r="G130" s="103"/>
      <c r="H130" s="5"/>
      <c r="I130" s="5"/>
      <c r="J130" s="67"/>
      <c r="K130" s="372"/>
      <c r="L130" s="373"/>
      <c r="M130" s="374"/>
      <c r="N130" s="5"/>
      <c r="O130" s="372"/>
      <c r="P130" s="373"/>
      <c r="Q130" s="374"/>
      <c r="R130" s="56"/>
      <c r="S130" s="57"/>
    </row>
    <row r="131" spans="2:19" ht="15" customHeight="1" x14ac:dyDescent="0.25">
      <c r="B131" s="4"/>
      <c r="C131" s="67"/>
      <c r="D131" s="42" t="s">
        <v>1325</v>
      </c>
      <c r="E131" s="103"/>
      <c r="F131" s="103"/>
      <c r="G131" s="103"/>
      <c r="H131" s="67"/>
      <c r="I131" s="67"/>
      <c r="J131" s="67"/>
      <c r="K131" s="592"/>
      <c r="L131" s="560"/>
      <c r="M131" s="560"/>
      <c r="N131" s="129"/>
      <c r="O131" s="592"/>
      <c r="P131" s="560"/>
      <c r="Q131" s="560"/>
      <c r="R131" s="56"/>
      <c r="S131" s="57"/>
    </row>
    <row r="132" spans="2:19" ht="15" customHeight="1" x14ac:dyDescent="0.25">
      <c r="B132" s="4"/>
      <c r="C132" s="43" t="s">
        <v>1061</v>
      </c>
      <c r="D132" s="103" t="s">
        <v>1436</v>
      </c>
      <c r="E132" s="103"/>
      <c r="F132" s="103"/>
      <c r="G132" s="103"/>
      <c r="H132" s="5"/>
      <c r="I132" s="5"/>
      <c r="J132" s="67"/>
      <c r="K132" s="372"/>
      <c r="L132" s="373"/>
      <c r="M132" s="374"/>
      <c r="N132" s="5"/>
      <c r="O132" s="372"/>
      <c r="P132" s="373"/>
      <c r="Q132" s="374"/>
      <c r="R132" s="56"/>
      <c r="S132" s="57"/>
    </row>
    <row r="133" spans="2:19" ht="15" customHeight="1" x14ac:dyDescent="0.25">
      <c r="B133" s="4"/>
      <c r="C133" s="33" t="s">
        <v>1774</v>
      </c>
      <c r="D133" s="103" t="s">
        <v>1437</v>
      </c>
      <c r="E133" s="103"/>
      <c r="F133" s="103"/>
      <c r="G133" s="103"/>
      <c r="H133" s="5"/>
      <c r="I133" s="5"/>
      <c r="J133" s="67"/>
      <c r="K133" s="372"/>
      <c r="L133" s="373"/>
      <c r="M133" s="374"/>
      <c r="N133" s="5"/>
      <c r="O133" s="372"/>
      <c r="P133" s="373"/>
      <c r="Q133" s="374"/>
      <c r="R133" s="56"/>
      <c r="S133" s="57"/>
    </row>
    <row r="134" spans="2:19" ht="15" customHeight="1" x14ac:dyDescent="0.25">
      <c r="B134" s="4"/>
      <c r="C134" s="33" t="s">
        <v>897</v>
      </c>
      <c r="D134" s="103" t="s">
        <v>1438</v>
      </c>
      <c r="E134" s="103"/>
      <c r="F134" s="103"/>
      <c r="G134" s="103"/>
      <c r="H134" s="5"/>
      <c r="I134" s="5"/>
      <c r="J134" s="67"/>
      <c r="K134" s="372"/>
      <c r="L134" s="373"/>
      <c r="M134" s="374"/>
      <c r="N134" s="5"/>
      <c r="O134" s="372"/>
      <c r="P134" s="373"/>
      <c r="Q134" s="374"/>
      <c r="R134" s="56"/>
      <c r="S134" s="57"/>
    </row>
    <row r="135" spans="2:19" ht="15" customHeight="1" x14ac:dyDescent="0.25">
      <c r="B135" s="4"/>
      <c r="C135" s="33" t="s">
        <v>898</v>
      </c>
      <c r="D135" s="103" t="s">
        <v>1397</v>
      </c>
      <c r="E135" s="103"/>
      <c r="F135" s="103"/>
      <c r="G135" s="103"/>
      <c r="H135" s="5"/>
      <c r="I135" s="5"/>
      <c r="J135" s="67"/>
      <c r="K135" s="372"/>
      <c r="L135" s="373"/>
      <c r="M135" s="374"/>
      <c r="N135" s="5"/>
      <c r="O135" s="372"/>
      <c r="P135" s="373"/>
      <c r="Q135" s="374"/>
      <c r="R135" s="56"/>
      <c r="S135" s="57"/>
    </row>
    <row r="136" spans="2:19" ht="15" customHeight="1" thickBot="1" x14ac:dyDescent="0.3">
      <c r="B136" s="4"/>
      <c r="C136" s="33"/>
      <c r="D136" s="103"/>
      <c r="E136" s="103"/>
      <c r="F136" s="103"/>
      <c r="G136" s="103"/>
      <c r="H136" s="103"/>
      <c r="I136" s="67"/>
      <c r="J136" s="67"/>
      <c r="K136" s="67"/>
      <c r="L136" s="67"/>
      <c r="M136" s="129"/>
      <c r="N136" s="129"/>
      <c r="O136" s="5"/>
      <c r="P136" s="129"/>
      <c r="Q136" s="129"/>
      <c r="R136" s="56"/>
      <c r="S136" s="57"/>
    </row>
    <row r="137" spans="2:19" ht="15" customHeight="1" thickTop="1" thickBot="1" x14ac:dyDescent="0.3">
      <c r="B137" s="4"/>
      <c r="C137" s="115"/>
      <c r="D137" s="116"/>
      <c r="E137" s="116"/>
      <c r="F137" s="116"/>
      <c r="G137" s="116"/>
      <c r="H137" s="116"/>
      <c r="I137" s="117"/>
      <c r="J137" s="117"/>
      <c r="K137" s="117"/>
      <c r="L137" s="117"/>
      <c r="M137" s="118"/>
      <c r="N137" s="118"/>
      <c r="O137" s="119"/>
      <c r="P137" s="118"/>
      <c r="Q137" s="118"/>
      <c r="R137" s="56"/>
      <c r="S137" s="57"/>
    </row>
    <row r="138" spans="2:19" ht="15" customHeight="1" thickBot="1" x14ac:dyDescent="0.3">
      <c r="B138" s="4"/>
      <c r="C138" s="82">
        <v>5.2</v>
      </c>
      <c r="D138" s="108" t="s">
        <v>1442</v>
      </c>
      <c r="E138" s="5"/>
      <c r="F138" s="59"/>
      <c r="G138" s="59"/>
      <c r="H138" s="59"/>
      <c r="I138" s="104"/>
      <c r="J138" s="104"/>
      <c r="K138" s="435"/>
      <c r="L138" s="480"/>
      <c r="M138" s="481"/>
      <c r="N138" s="129"/>
      <c r="O138" s="129"/>
      <c r="P138" s="113"/>
      <c r="Q138" s="114"/>
      <c r="R138" s="56"/>
      <c r="S138" s="57"/>
    </row>
    <row r="139" spans="2:19" ht="15" customHeight="1" x14ac:dyDescent="0.25">
      <c r="B139" s="4"/>
      <c r="C139" s="82"/>
      <c r="D139" s="59" t="s">
        <v>1443</v>
      </c>
      <c r="E139" s="5"/>
      <c r="F139" s="59"/>
      <c r="G139" s="59"/>
      <c r="H139" s="59"/>
      <c r="I139" s="5"/>
      <c r="J139" s="5"/>
      <c r="K139" s="129"/>
      <c r="L139" s="129"/>
      <c r="M139" s="129"/>
      <c r="N139" s="129"/>
      <c r="O139" s="129"/>
      <c r="P139" s="113"/>
      <c r="Q139" s="114"/>
      <c r="R139" s="56"/>
      <c r="S139" s="57"/>
    </row>
    <row r="140" spans="2:19" ht="15" customHeight="1" x14ac:dyDescent="0.25">
      <c r="B140" s="4"/>
      <c r="C140" s="82"/>
      <c r="D140" s="59" t="s">
        <v>1450</v>
      </c>
      <c r="E140" s="5"/>
      <c r="F140" s="59"/>
      <c r="G140" s="59"/>
      <c r="H140" s="59"/>
      <c r="I140" s="5"/>
      <c r="J140" s="5"/>
      <c r="K140" s="129"/>
      <c r="L140" s="129"/>
      <c r="M140" s="129"/>
      <c r="N140" s="129"/>
      <c r="O140" s="129"/>
      <c r="P140" s="113"/>
      <c r="Q140" s="114"/>
      <c r="R140" s="56"/>
      <c r="S140" s="57"/>
    </row>
    <row r="141" spans="2:19" ht="15.75" thickBot="1" x14ac:dyDescent="0.3">
      <c r="B141" s="27"/>
      <c r="C141" s="16"/>
      <c r="D141" s="16"/>
      <c r="E141" s="16"/>
      <c r="F141" s="16"/>
      <c r="G141" s="16"/>
      <c r="H141" s="16"/>
      <c r="I141" s="16"/>
      <c r="J141" s="16"/>
      <c r="K141" s="16"/>
      <c r="L141" s="16"/>
      <c r="M141" s="590"/>
      <c r="N141" s="591"/>
      <c r="O141" s="16"/>
      <c r="P141" s="590"/>
      <c r="Q141" s="591"/>
      <c r="R141" s="16"/>
      <c r="S141" s="17"/>
    </row>
    <row r="142" spans="2:19" ht="15.75" thickTop="1" thickBot="1" x14ac:dyDescent="0.25"/>
    <row r="143" spans="2:19" ht="15" thickTop="1" x14ac:dyDescent="0.2">
      <c r="B143" s="2"/>
      <c r="C143" s="3"/>
      <c r="D143" s="3"/>
      <c r="E143" s="3"/>
      <c r="F143" s="3"/>
      <c r="G143" s="3"/>
      <c r="H143" s="3"/>
      <c r="I143" s="3"/>
      <c r="J143" s="3"/>
      <c r="K143" s="3"/>
      <c r="L143" s="3"/>
      <c r="M143" s="3"/>
      <c r="N143" s="3"/>
      <c r="O143" s="3"/>
      <c r="P143" s="3"/>
      <c r="Q143" s="3"/>
      <c r="R143" s="3"/>
      <c r="S143" s="19"/>
    </row>
    <row r="144" spans="2:19" ht="15.75" x14ac:dyDescent="0.25">
      <c r="B144" s="4"/>
      <c r="C144" s="20" t="s">
        <v>1460</v>
      </c>
      <c r="D144" s="61"/>
      <c r="E144" s="5"/>
      <c r="F144" s="5"/>
      <c r="G144" s="5"/>
      <c r="H144" s="5"/>
      <c r="I144" s="5"/>
      <c r="J144" s="5"/>
      <c r="K144" s="5"/>
      <c r="L144" s="5"/>
      <c r="M144" s="5"/>
      <c r="N144" s="5"/>
      <c r="O144" s="5"/>
      <c r="P144" s="5"/>
      <c r="Q144" s="5"/>
      <c r="R144" s="5"/>
      <c r="S144" s="6"/>
    </row>
    <row r="145" spans="2:19" ht="16.5" thickBot="1" x14ac:dyDescent="0.3">
      <c r="B145" s="4"/>
      <c r="C145" s="20"/>
      <c r="D145" s="61"/>
      <c r="E145" s="5"/>
      <c r="F145" s="5"/>
      <c r="G145" s="5"/>
      <c r="H145" s="5"/>
      <c r="I145" s="5"/>
      <c r="J145" s="5"/>
      <c r="K145" s="552" t="s">
        <v>1530</v>
      </c>
      <c r="L145" s="552"/>
      <c r="M145" s="552"/>
      <c r="N145" s="95"/>
      <c r="O145" s="552" t="s">
        <v>1531</v>
      </c>
      <c r="P145" s="552"/>
      <c r="Q145" s="552"/>
      <c r="R145" s="5"/>
      <c r="S145" s="6"/>
    </row>
    <row r="146" spans="2:19" ht="16.5" thickTop="1" thickBot="1" x14ac:dyDescent="0.3">
      <c r="B146" s="4"/>
      <c r="C146" s="83">
        <v>6.1</v>
      </c>
      <c r="D146" s="58" t="s">
        <v>1341</v>
      </c>
      <c r="E146" s="61"/>
      <c r="F146" s="5"/>
      <c r="G146" s="5"/>
      <c r="H146" s="5"/>
      <c r="I146" s="557" t="str">
        <f>IF((SUM(K148,K169,K181))&lt;&gt;K146,(SUM(K148,K169,K181)),"")</f>
        <v/>
      </c>
      <c r="J146" s="557"/>
      <c r="K146" s="421">
        <f>SUM(K148,K169,K181)</f>
        <v>0</v>
      </c>
      <c r="L146" s="422"/>
      <c r="M146" s="423"/>
      <c r="N146" s="139"/>
      <c r="O146" s="421">
        <f>SUM(O148,O169,O181)</f>
        <v>0</v>
      </c>
      <c r="P146" s="422"/>
      <c r="Q146" s="423"/>
      <c r="R146" s="553" t="str">
        <f>IF((SUM(O148,O169,O181))&lt;&gt;O146,(SUM(O148,O169,O181)),"")</f>
        <v/>
      </c>
      <c r="S146" s="587"/>
    </row>
    <row r="147" spans="2:19" ht="16.5" thickTop="1" thickBot="1" x14ac:dyDescent="0.3">
      <c r="B147" s="4"/>
      <c r="C147" s="58"/>
      <c r="D147" s="61"/>
      <c r="E147" s="5"/>
      <c r="F147" s="5"/>
      <c r="G147" s="5"/>
      <c r="H147" s="5"/>
      <c r="I147" s="134"/>
      <c r="J147" s="134"/>
      <c r="K147" s="588"/>
      <c r="L147" s="589"/>
      <c r="M147" s="589"/>
      <c r="N147" s="139"/>
      <c r="O147" s="588"/>
      <c r="P147" s="589"/>
      <c r="Q147" s="589"/>
      <c r="R147" s="134"/>
      <c r="S147" s="135"/>
    </row>
    <row r="148" spans="2:19" ht="15.75" thickBot="1" x14ac:dyDescent="0.3">
      <c r="B148" s="4"/>
      <c r="C148" s="62" t="s">
        <v>41</v>
      </c>
      <c r="D148" s="63" t="s">
        <v>1363</v>
      </c>
      <c r="E148" s="64"/>
      <c r="F148" s="64"/>
      <c r="G148" s="64"/>
      <c r="H148" s="64"/>
      <c r="I148" s="585" t="str">
        <f>IF((SUM(K150:K161,K163:K165,K167))&lt;&gt;K148,(SUM(K150:K161,K163:K165,K167)),"")</f>
        <v/>
      </c>
      <c r="J148" s="586"/>
      <c r="K148" s="382">
        <f>SUM(K150:M161, K163:M165,K167)</f>
        <v>0</v>
      </c>
      <c r="L148" s="383"/>
      <c r="M148" s="384"/>
      <c r="N148" s="64"/>
      <c r="O148" s="382">
        <f>SUM(O150:Q161, O163:Q165,O167)</f>
        <v>0</v>
      </c>
      <c r="P148" s="383"/>
      <c r="Q148" s="384"/>
      <c r="R148" s="557" t="str">
        <f>IF((SUM(O150:O161,O163:O165,O167))&lt;&gt;O148,(SUM(O150:O161,O163:O165,O167)),"")</f>
        <v/>
      </c>
      <c r="S148" s="582"/>
    </row>
    <row r="149" spans="2:19" ht="15" x14ac:dyDescent="0.25">
      <c r="B149" s="4"/>
      <c r="C149" s="58"/>
      <c r="D149" s="61"/>
      <c r="E149" s="5"/>
      <c r="F149" s="5"/>
      <c r="G149" s="5"/>
      <c r="H149" s="5"/>
      <c r="I149" s="134"/>
      <c r="J149" s="134"/>
      <c r="K149" s="564"/>
      <c r="L149" s="565"/>
      <c r="M149" s="565"/>
      <c r="N149" s="5"/>
      <c r="O149" s="564"/>
      <c r="P149" s="565"/>
      <c r="Q149" s="565"/>
      <c r="R149" s="134"/>
      <c r="S149" s="135"/>
    </row>
    <row r="150" spans="2:19" ht="15" x14ac:dyDescent="0.25">
      <c r="B150" s="4"/>
      <c r="C150" s="65" t="s">
        <v>866</v>
      </c>
      <c r="D150" s="66" t="s">
        <v>1342</v>
      </c>
      <c r="E150" s="67"/>
      <c r="F150" s="5"/>
      <c r="G150" s="5"/>
      <c r="H150" s="5"/>
      <c r="I150" s="134"/>
      <c r="J150" s="134"/>
      <c r="K150" s="372"/>
      <c r="L150" s="373"/>
      <c r="M150" s="374"/>
      <c r="N150" s="5"/>
      <c r="O150" s="372"/>
      <c r="P150" s="373"/>
      <c r="Q150" s="374"/>
      <c r="R150" s="134"/>
      <c r="S150" s="135"/>
    </row>
    <row r="151" spans="2:19" ht="15" x14ac:dyDescent="0.25">
      <c r="B151" s="4"/>
      <c r="C151" s="65" t="s">
        <v>867</v>
      </c>
      <c r="D151" s="66" t="s">
        <v>1343</v>
      </c>
      <c r="E151" s="67"/>
      <c r="F151" s="5"/>
      <c r="G151" s="5"/>
      <c r="H151" s="5"/>
      <c r="I151" s="134"/>
      <c r="J151" s="134"/>
      <c r="K151" s="372"/>
      <c r="L151" s="373"/>
      <c r="M151" s="374"/>
      <c r="N151" s="5"/>
      <c r="O151" s="372"/>
      <c r="P151" s="373"/>
      <c r="Q151" s="374"/>
      <c r="R151" s="134"/>
      <c r="S151" s="135"/>
    </row>
    <row r="152" spans="2:19" ht="15" x14ac:dyDescent="0.25">
      <c r="B152" s="4"/>
      <c r="C152" s="65" t="s">
        <v>868</v>
      </c>
      <c r="D152" s="66" t="s">
        <v>1344</v>
      </c>
      <c r="E152" s="67"/>
      <c r="F152" s="5"/>
      <c r="G152" s="5"/>
      <c r="H152" s="5"/>
      <c r="I152" s="134"/>
      <c r="J152" s="134"/>
      <c r="K152" s="372"/>
      <c r="L152" s="373"/>
      <c r="M152" s="374"/>
      <c r="N152" s="5"/>
      <c r="O152" s="372"/>
      <c r="P152" s="373"/>
      <c r="Q152" s="374"/>
      <c r="R152" s="134"/>
      <c r="S152" s="135"/>
    </row>
    <row r="153" spans="2:19" ht="15" x14ac:dyDescent="0.25">
      <c r="B153" s="4"/>
      <c r="C153" s="65" t="s">
        <v>869</v>
      </c>
      <c r="D153" s="66" t="s">
        <v>1345</v>
      </c>
      <c r="E153" s="67"/>
      <c r="F153" s="5"/>
      <c r="G153" s="5"/>
      <c r="H153" s="5"/>
      <c r="I153" s="134"/>
      <c r="J153" s="134"/>
      <c r="K153" s="372"/>
      <c r="L153" s="373"/>
      <c r="M153" s="374"/>
      <c r="N153" s="5"/>
      <c r="O153" s="372"/>
      <c r="P153" s="373"/>
      <c r="Q153" s="374"/>
      <c r="R153" s="134"/>
      <c r="S153" s="135"/>
    </row>
    <row r="154" spans="2:19" ht="15" x14ac:dyDescent="0.25">
      <c r="B154" s="4"/>
      <c r="C154" s="65" t="s">
        <v>870</v>
      </c>
      <c r="D154" s="66" t="s">
        <v>1346</v>
      </c>
      <c r="E154" s="67"/>
      <c r="F154" s="5"/>
      <c r="G154" s="5"/>
      <c r="H154" s="5"/>
      <c r="I154" s="134"/>
      <c r="J154" s="134"/>
      <c r="K154" s="372"/>
      <c r="L154" s="373"/>
      <c r="M154" s="374"/>
      <c r="N154" s="5"/>
      <c r="O154" s="372"/>
      <c r="P154" s="373"/>
      <c r="Q154" s="374"/>
      <c r="R154" s="134"/>
      <c r="S154" s="135"/>
    </row>
    <row r="155" spans="2:19" ht="15" x14ac:dyDescent="0.25">
      <c r="B155" s="4"/>
      <c r="C155" s="65" t="s">
        <v>871</v>
      </c>
      <c r="D155" s="66" t="s">
        <v>1451</v>
      </c>
      <c r="E155" s="67"/>
      <c r="F155" s="5"/>
      <c r="G155" s="5"/>
      <c r="H155" s="5"/>
      <c r="I155" s="134"/>
      <c r="J155" s="134"/>
      <c r="K155" s="372"/>
      <c r="L155" s="373"/>
      <c r="M155" s="374"/>
      <c r="N155" s="5"/>
      <c r="O155" s="372"/>
      <c r="P155" s="373"/>
      <c r="Q155" s="374"/>
      <c r="R155" s="134"/>
      <c r="S155" s="135"/>
    </row>
    <row r="156" spans="2:19" ht="15" x14ac:dyDescent="0.25">
      <c r="B156" s="4"/>
      <c r="C156" s="65" t="s">
        <v>872</v>
      </c>
      <c r="D156" s="66" t="s">
        <v>1347</v>
      </c>
      <c r="E156" s="67"/>
      <c r="F156" s="5"/>
      <c r="G156" s="5"/>
      <c r="H156" s="5"/>
      <c r="I156" s="134"/>
      <c r="J156" s="134"/>
      <c r="K156" s="372"/>
      <c r="L156" s="373"/>
      <c r="M156" s="374"/>
      <c r="N156" s="5"/>
      <c r="O156" s="372"/>
      <c r="P156" s="373"/>
      <c r="Q156" s="374"/>
      <c r="R156" s="134"/>
      <c r="S156" s="135"/>
    </row>
    <row r="157" spans="2:19" ht="15" x14ac:dyDescent="0.25">
      <c r="B157" s="4"/>
      <c r="C157" s="65" t="s">
        <v>873</v>
      </c>
      <c r="D157" s="66" t="s">
        <v>1348</v>
      </c>
      <c r="E157" s="67"/>
      <c r="F157" s="5"/>
      <c r="G157" s="5"/>
      <c r="H157" s="5"/>
      <c r="I157" s="134"/>
      <c r="J157" s="134"/>
      <c r="K157" s="372"/>
      <c r="L157" s="373"/>
      <c r="M157" s="374"/>
      <c r="N157" s="5"/>
      <c r="O157" s="372"/>
      <c r="P157" s="373"/>
      <c r="Q157" s="374"/>
      <c r="R157" s="134"/>
      <c r="S157" s="135"/>
    </row>
    <row r="158" spans="2:19" ht="15" x14ac:dyDescent="0.25">
      <c r="B158" s="4"/>
      <c r="C158" s="65" t="s">
        <v>874</v>
      </c>
      <c r="D158" s="66" t="s">
        <v>1349</v>
      </c>
      <c r="E158" s="67"/>
      <c r="F158" s="5"/>
      <c r="G158" s="5"/>
      <c r="H158" s="5"/>
      <c r="I158" s="134"/>
      <c r="J158" s="134"/>
      <c r="K158" s="372"/>
      <c r="L158" s="373"/>
      <c r="M158" s="374"/>
      <c r="N158" s="5"/>
      <c r="O158" s="372"/>
      <c r="P158" s="373"/>
      <c r="Q158" s="374"/>
      <c r="R158" s="134"/>
      <c r="S158" s="135"/>
    </row>
    <row r="159" spans="2:19" ht="15" x14ac:dyDescent="0.25">
      <c r="B159" s="4"/>
      <c r="C159" s="65" t="s">
        <v>875</v>
      </c>
      <c r="D159" s="66" t="s">
        <v>1350</v>
      </c>
      <c r="E159" s="67"/>
      <c r="F159" s="5"/>
      <c r="G159" s="5"/>
      <c r="H159" s="5"/>
      <c r="I159" s="134"/>
      <c r="J159" s="134"/>
      <c r="K159" s="372"/>
      <c r="L159" s="373"/>
      <c r="M159" s="374"/>
      <c r="N159" s="5"/>
      <c r="O159" s="372"/>
      <c r="P159" s="373"/>
      <c r="Q159" s="374"/>
      <c r="R159" s="134"/>
      <c r="S159" s="135"/>
    </row>
    <row r="160" spans="2:19" ht="15" x14ac:dyDescent="0.25">
      <c r="B160" s="4"/>
      <c r="C160" s="65" t="s">
        <v>876</v>
      </c>
      <c r="D160" s="66" t="s">
        <v>1351</v>
      </c>
      <c r="E160" s="67"/>
      <c r="F160" s="5"/>
      <c r="G160" s="5"/>
      <c r="H160" s="5"/>
      <c r="I160" s="134"/>
      <c r="J160" s="134"/>
      <c r="K160" s="372"/>
      <c r="L160" s="373"/>
      <c r="M160" s="374"/>
      <c r="N160" s="5"/>
      <c r="O160" s="372"/>
      <c r="P160" s="373"/>
      <c r="Q160" s="374"/>
      <c r="R160" s="134"/>
      <c r="S160" s="135"/>
    </row>
    <row r="161" spans="2:19" ht="15" x14ac:dyDescent="0.25">
      <c r="B161" s="4"/>
      <c r="C161" s="65" t="s">
        <v>877</v>
      </c>
      <c r="D161" s="66" t="s">
        <v>1355</v>
      </c>
      <c r="E161" s="67"/>
      <c r="F161" s="5"/>
      <c r="G161" s="5"/>
      <c r="H161" s="5"/>
      <c r="I161" s="134"/>
      <c r="J161" s="134"/>
      <c r="K161" s="372"/>
      <c r="L161" s="373"/>
      <c r="M161" s="374"/>
      <c r="N161" s="5"/>
      <c r="O161" s="372"/>
      <c r="P161" s="373"/>
      <c r="Q161" s="374"/>
      <c r="R161" s="134"/>
      <c r="S161" s="135"/>
    </row>
    <row r="162" spans="2:19" ht="15" x14ac:dyDescent="0.25">
      <c r="B162" s="4"/>
      <c r="C162" s="68" t="s">
        <v>893</v>
      </c>
      <c r="D162" s="66" t="s">
        <v>1453</v>
      </c>
      <c r="E162" s="67"/>
      <c r="F162" s="5"/>
      <c r="G162" s="5"/>
      <c r="H162" s="5"/>
      <c r="I162" s="134"/>
      <c r="J162" s="134"/>
      <c r="K162" s="372"/>
      <c r="L162" s="373"/>
      <c r="M162" s="374"/>
      <c r="N162" s="5"/>
      <c r="O162" s="372"/>
      <c r="P162" s="373"/>
      <c r="Q162" s="374"/>
      <c r="R162" s="134"/>
      <c r="S162" s="135"/>
    </row>
    <row r="163" spans="2:19" ht="15" x14ac:dyDescent="0.25">
      <c r="B163" s="4"/>
      <c r="C163" s="65" t="s">
        <v>878</v>
      </c>
      <c r="D163" s="66" t="s">
        <v>1454</v>
      </c>
      <c r="E163" s="67"/>
      <c r="F163" s="5"/>
      <c r="G163" s="5"/>
      <c r="H163" s="5"/>
      <c r="I163" s="134"/>
      <c r="J163" s="134"/>
      <c r="K163" s="372"/>
      <c r="L163" s="373"/>
      <c r="M163" s="374"/>
      <c r="N163" s="5"/>
      <c r="O163" s="372"/>
      <c r="P163" s="373"/>
      <c r="Q163" s="374"/>
      <c r="R163" s="134"/>
      <c r="S163" s="135"/>
    </row>
    <row r="164" spans="2:19" ht="15" x14ac:dyDescent="0.25">
      <c r="B164" s="4"/>
      <c r="C164" s="65" t="s">
        <v>879</v>
      </c>
      <c r="D164" s="66" t="s">
        <v>1352</v>
      </c>
      <c r="E164" s="67"/>
      <c r="F164" s="5"/>
      <c r="G164" s="5"/>
      <c r="H164" s="5"/>
      <c r="I164" s="134"/>
      <c r="J164" s="134"/>
      <c r="K164" s="372"/>
      <c r="L164" s="373"/>
      <c r="M164" s="374"/>
      <c r="N164" s="5"/>
      <c r="O164" s="372"/>
      <c r="P164" s="373"/>
      <c r="Q164" s="374"/>
      <c r="R164" s="134"/>
      <c r="S164" s="135"/>
    </row>
    <row r="165" spans="2:19" ht="15" x14ac:dyDescent="0.25">
      <c r="B165" s="4"/>
      <c r="C165" s="65" t="s">
        <v>880</v>
      </c>
      <c r="D165" s="66" t="s">
        <v>1353</v>
      </c>
      <c r="E165" s="67"/>
      <c r="F165" s="5"/>
      <c r="G165" s="5"/>
      <c r="H165" s="5"/>
      <c r="I165" s="134"/>
      <c r="J165" s="134"/>
      <c r="K165" s="372"/>
      <c r="L165" s="373"/>
      <c r="M165" s="374"/>
      <c r="N165" s="5"/>
      <c r="O165" s="372"/>
      <c r="P165" s="373"/>
      <c r="Q165" s="374"/>
      <c r="R165" s="134"/>
      <c r="S165" s="135"/>
    </row>
    <row r="166" spans="2:19" ht="15" x14ac:dyDescent="0.25">
      <c r="B166" s="4"/>
      <c r="C166" s="65" t="s">
        <v>881</v>
      </c>
      <c r="D166" s="66" t="s">
        <v>1354</v>
      </c>
      <c r="E166" s="67"/>
      <c r="F166" s="5"/>
      <c r="G166" s="5"/>
      <c r="H166" s="5"/>
      <c r="I166" s="134"/>
      <c r="J166" s="134"/>
      <c r="K166" s="579"/>
      <c r="L166" s="560"/>
      <c r="M166" s="560"/>
      <c r="N166" s="5"/>
      <c r="O166" s="579"/>
      <c r="P166" s="560"/>
      <c r="Q166" s="560"/>
      <c r="R166" s="134"/>
      <c r="S166" s="135"/>
    </row>
    <row r="167" spans="2:19" ht="15" x14ac:dyDescent="0.25">
      <c r="B167" s="4"/>
      <c r="C167" s="58"/>
      <c r="D167" s="438"/>
      <c r="E167" s="439"/>
      <c r="F167" s="439"/>
      <c r="G167" s="439"/>
      <c r="H167" s="439"/>
      <c r="I167" s="440"/>
      <c r="J167" s="5"/>
      <c r="K167" s="372"/>
      <c r="L167" s="373"/>
      <c r="M167" s="374"/>
      <c r="N167" s="134"/>
      <c r="O167" s="372"/>
      <c r="P167" s="373"/>
      <c r="Q167" s="374"/>
      <c r="R167" s="134"/>
      <c r="S167" s="135"/>
    </row>
    <row r="168" spans="2:19" ht="15.75" thickBot="1" x14ac:dyDescent="0.3">
      <c r="B168" s="4"/>
      <c r="C168" s="58"/>
      <c r="D168" s="61"/>
      <c r="E168" s="5"/>
      <c r="F168" s="5"/>
      <c r="G168" s="5"/>
      <c r="H168" s="5"/>
      <c r="I168" s="134"/>
      <c r="J168" s="5"/>
      <c r="K168" s="583"/>
      <c r="L168" s="584"/>
      <c r="M168" s="584"/>
      <c r="N168" s="134"/>
      <c r="O168" s="583"/>
      <c r="P168" s="584"/>
      <c r="Q168" s="584"/>
      <c r="R168" s="134"/>
      <c r="S168" s="135"/>
    </row>
    <row r="169" spans="2:19" ht="15.75" thickBot="1" x14ac:dyDescent="0.3">
      <c r="B169" s="4"/>
      <c r="C169" s="62" t="s">
        <v>42</v>
      </c>
      <c r="D169" s="63" t="s">
        <v>1364</v>
      </c>
      <c r="E169" s="64"/>
      <c r="F169" s="64"/>
      <c r="G169" s="64"/>
      <c r="H169" s="64"/>
      <c r="I169" s="585" t="str">
        <f>IF((SUM(K171:K177,K179))&lt;&gt;K169,(SUM(K171:K177,K179)),"")</f>
        <v/>
      </c>
      <c r="J169" s="586"/>
      <c r="K169" s="382">
        <f>SUM(K171:M177,K179)</f>
        <v>0</v>
      </c>
      <c r="L169" s="383"/>
      <c r="M169" s="384"/>
      <c r="N169" s="64"/>
      <c r="O169" s="382">
        <f>SUM(O171:Q177,O179)</f>
        <v>0</v>
      </c>
      <c r="P169" s="383"/>
      <c r="Q169" s="384"/>
      <c r="R169" s="557" t="str">
        <f>IF((SUM(O171:O177,O179))&lt;&gt;O169,(SUM(O171:O177,O179)),"")</f>
        <v/>
      </c>
      <c r="S169" s="582"/>
    </row>
    <row r="170" spans="2:19" ht="15" x14ac:dyDescent="0.25">
      <c r="B170" s="4"/>
      <c r="C170" s="58"/>
      <c r="D170" s="61"/>
      <c r="E170" s="5"/>
      <c r="F170" s="5"/>
      <c r="G170" s="5"/>
      <c r="H170" s="5"/>
      <c r="I170" s="134"/>
      <c r="J170" s="5"/>
      <c r="K170" s="564"/>
      <c r="L170" s="565"/>
      <c r="M170" s="565"/>
      <c r="N170" s="134"/>
      <c r="O170" s="564"/>
      <c r="P170" s="565"/>
      <c r="Q170" s="565"/>
      <c r="R170" s="134"/>
      <c r="S170" s="135"/>
    </row>
    <row r="171" spans="2:19" ht="15" x14ac:dyDescent="0.25">
      <c r="B171" s="4"/>
      <c r="C171" s="65" t="s">
        <v>899</v>
      </c>
      <c r="D171" s="66" t="s">
        <v>1357</v>
      </c>
      <c r="E171" s="67"/>
      <c r="F171" s="67"/>
      <c r="G171" s="67"/>
      <c r="H171" s="67"/>
      <c r="I171" s="134"/>
      <c r="J171" s="5"/>
      <c r="K171" s="372"/>
      <c r="L171" s="373"/>
      <c r="M171" s="374"/>
      <c r="N171" s="134"/>
      <c r="O171" s="372"/>
      <c r="P171" s="373"/>
      <c r="Q171" s="374"/>
      <c r="R171" s="134"/>
      <c r="S171" s="135"/>
    </row>
    <row r="172" spans="2:19" ht="15" x14ac:dyDescent="0.25">
      <c r="B172" s="4"/>
      <c r="C172" s="68" t="s">
        <v>907</v>
      </c>
      <c r="D172" s="150" t="s">
        <v>1479</v>
      </c>
      <c r="E172" s="67"/>
      <c r="F172" s="67"/>
      <c r="G172" s="67"/>
      <c r="H172" s="67"/>
      <c r="I172" s="134"/>
      <c r="J172" s="5"/>
      <c r="K172" s="372"/>
      <c r="L172" s="373"/>
      <c r="M172" s="374"/>
      <c r="N172" s="134"/>
      <c r="O172" s="372"/>
      <c r="P172" s="373"/>
      <c r="Q172" s="374"/>
      <c r="R172" s="134"/>
      <c r="S172" s="135"/>
    </row>
    <row r="173" spans="2:19" ht="15" x14ac:dyDescent="0.25">
      <c r="B173" s="4"/>
      <c r="C173" s="65" t="s">
        <v>900</v>
      </c>
      <c r="D173" s="66" t="s">
        <v>1358</v>
      </c>
      <c r="E173" s="67"/>
      <c r="F173" s="67"/>
      <c r="G173" s="67"/>
      <c r="H173" s="67"/>
      <c r="I173" s="134"/>
      <c r="J173" s="5"/>
      <c r="K173" s="372"/>
      <c r="L173" s="373"/>
      <c r="M173" s="374"/>
      <c r="N173" s="134"/>
      <c r="O173" s="372"/>
      <c r="P173" s="373"/>
      <c r="Q173" s="374"/>
      <c r="R173" s="134"/>
      <c r="S173" s="135"/>
    </row>
    <row r="174" spans="2:19" ht="15" x14ac:dyDescent="0.25">
      <c r="B174" s="4"/>
      <c r="C174" s="65" t="s">
        <v>901</v>
      </c>
      <c r="D174" s="66" t="s">
        <v>1359</v>
      </c>
      <c r="E174" s="67"/>
      <c r="F174" s="67"/>
      <c r="G174" s="67"/>
      <c r="H174" s="67"/>
      <c r="I174" s="134"/>
      <c r="J174" s="5"/>
      <c r="K174" s="372"/>
      <c r="L174" s="373"/>
      <c r="M174" s="374"/>
      <c r="N174" s="134"/>
      <c r="O174" s="372"/>
      <c r="P174" s="373"/>
      <c r="Q174" s="374"/>
      <c r="R174" s="134"/>
      <c r="S174" s="135"/>
    </row>
    <row r="175" spans="2:19" ht="15" x14ac:dyDescent="0.25">
      <c r="B175" s="4"/>
      <c r="C175" s="65" t="s">
        <v>902</v>
      </c>
      <c r="D175" s="66" t="s">
        <v>1455</v>
      </c>
      <c r="E175" s="67"/>
      <c r="F175" s="67"/>
      <c r="G175" s="67"/>
      <c r="H175" s="67"/>
      <c r="I175" s="134"/>
      <c r="J175" s="5"/>
      <c r="K175" s="372"/>
      <c r="L175" s="373"/>
      <c r="M175" s="374"/>
      <c r="N175" s="134"/>
      <c r="O175" s="372"/>
      <c r="P175" s="373"/>
      <c r="Q175" s="374"/>
      <c r="R175" s="134"/>
      <c r="S175" s="135"/>
    </row>
    <row r="176" spans="2:19" ht="15" x14ac:dyDescent="0.25">
      <c r="B176" s="4"/>
      <c r="C176" s="65" t="s">
        <v>903</v>
      </c>
      <c r="D176" s="66" t="s">
        <v>1360</v>
      </c>
      <c r="E176" s="67"/>
      <c r="F176" s="67"/>
      <c r="G176" s="67"/>
      <c r="H176" s="67"/>
      <c r="I176" s="134"/>
      <c r="J176" s="5"/>
      <c r="K176" s="372"/>
      <c r="L176" s="373"/>
      <c r="M176" s="374"/>
      <c r="N176" s="134"/>
      <c r="O176" s="372"/>
      <c r="P176" s="373"/>
      <c r="Q176" s="374"/>
      <c r="R176" s="134"/>
      <c r="S176" s="135"/>
    </row>
    <row r="177" spans="2:19" ht="15" x14ac:dyDescent="0.25">
      <c r="B177" s="4"/>
      <c r="C177" s="65" t="s">
        <v>904</v>
      </c>
      <c r="D177" s="66" t="s">
        <v>1361</v>
      </c>
      <c r="E177" s="67"/>
      <c r="F177" s="67"/>
      <c r="G177" s="67"/>
      <c r="H177" s="67"/>
      <c r="I177" s="134"/>
      <c r="J177" s="5"/>
      <c r="K177" s="372"/>
      <c r="L177" s="373"/>
      <c r="M177" s="374"/>
      <c r="N177" s="134"/>
      <c r="O177" s="372"/>
      <c r="P177" s="373"/>
      <c r="Q177" s="374"/>
      <c r="R177" s="134"/>
      <c r="S177" s="135"/>
    </row>
    <row r="178" spans="2:19" ht="15" x14ac:dyDescent="0.25">
      <c r="B178" s="4"/>
      <c r="C178" s="65" t="s">
        <v>905</v>
      </c>
      <c r="D178" s="66" t="s">
        <v>1362</v>
      </c>
      <c r="E178" s="67"/>
      <c r="F178" s="67"/>
      <c r="G178" s="67"/>
      <c r="H178" s="67"/>
      <c r="I178" s="134"/>
      <c r="J178" s="5"/>
      <c r="K178" s="579"/>
      <c r="L178" s="560"/>
      <c r="M178" s="560"/>
      <c r="N178" s="5"/>
      <c r="O178" s="579"/>
      <c r="P178" s="560"/>
      <c r="Q178" s="560"/>
      <c r="R178" s="134"/>
      <c r="S178" s="135"/>
    </row>
    <row r="179" spans="2:19" ht="15" x14ac:dyDescent="0.25">
      <c r="B179" s="4"/>
      <c r="C179" s="65"/>
      <c r="D179" s="438"/>
      <c r="E179" s="482"/>
      <c r="F179" s="482"/>
      <c r="G179" s="482"/>
      <c r="H179" s="482"/>
      <c r="I179" s="483"/>
      <c r="J179" s="5"/>
      <c r="K179" s="372"/>
      <c r="L179" s="373"/>
      <c r="M179" s="374"/>
      <c r="N179" s="134"/>
      <c r="O179" s="372"/>
      <c r="P179" s="373"/>
      <c r="Q179" s="374"/>
      <c r="R179" s="134"/>
      <c r="S179" s="135"/>
    </row>
    <row r="180" spans="2:19" ht="15.75" thickBot="1" x14ac:dyDescent="0.3">
      <c r="B180" s="4"/>
      <c r="C180" s="58"/>
      <c r="D180" s="61"/>
      <c r="E180" s="5"/>
      <c r="F180" s="5"/>
      <c r="G180" s="5"/>
      <c r="H180" s="5"/>
      <c r="I180" s="134"/>
      <c r="J180" s="5"/>
      <c r="K180" s="583"/>
      <c r="L180" s="584"/>
      <c r="M180" s="584"/>
      <c r="N180" s="134"/>
      <c r="O180" s="583"/>
      <c r="P180" s="584"/>
      <c r="Q180" s="584"/>
      <c r="R180" s="134"/>
      <c r="S180" s="135"/>
    </row>
    <row r="181" spans="2:19" ht="15.75" thickBot="1" x14ac:dyDescent="0.3">
      <c r="B181" s="4"/>
      <c r="C181" s="62" t="s">
        <v>43</v>
      </c>
      <c r="D181" s="63" t="s">
        <v>1365</v>
      </c>
      <c r="E181" s="64"/>
      <c r="F181" s="64"/>
      <c r="G181" s="64"/>
      <c r="H181" s="64"/>
      <c r="I181" s="585" t="str">
        <f>IF((SUM(K183:K185,K187))&lt;&gt;K181,(SUM(K183:K185,K187)),"")</f>
        <v/>
      </c>
      <c r="J181" s="586"/>
      <c r="K181" s="382">
        <f>SUM(K183:M185,K187)</f>
        <v>0</v>
      </c>
      <c r="L181" s="383"/>
      <c r="M181" s="384"/>
      <c r="N181" s="64"/>
      <c r="O181" s="382">
        <f>SUM(O183:Q185,O187)</f>
        <v>0</v>
      </c>
      <c r="P181" s="383"/>
      <c r="Q181" s="384"/>
      <c r="R181" s="557" t="str">
        <f>IF((SUM(O183:O185,O187))&lt;&gt;O181,(SUM(O183:O185,O187)),"")</f>
        <v/>
      </c>
      <c r="S181" s="582"/>
    </row>
    <row r="182" spans="2:19" ht="15" x14ac:dyDescent="0.25">
      <c r="B182" s="4"/>
      <c r="C182" s="58"/>
      <c r="D182" s="61"/>
      <c r="E182" s="5"/>
      <c r="F182" s="5"/>
      <c r="G182" s="5"/>
      <c r="H182" s="5"/>
      <c r="I182" s="134"/>
      <c r="J182" s="5"/>
      <c r="K182" s="564"/>
      <c r="L182" s="565"/>
      <c r="M182" s="565"/>
      <c r="N182" s="134"/>
      <c r="O182" s="564"/>
      <c r="P182" s="565"/>
      <c r="Q182" s="565"/>
      <c r="R182" s="134"/>
      <c r="S182" s="135"/>
    </row>
    <row r="183" spans="2:19" ht="15" x14ac:dyDescent="0.25">
      <c r="B183" s="4"/>
      <c r="C183" s="65" t="s">
        <v>913</v>
      </c>
      <c r="D183" s="66" t="s">
        <v>1366</v>
      </c>
      <c r="E183" s="67"/>
      <c r="F183" s="67"/>
      <c r="G183" s="67"/>
      <c r="H183" s="5"/>
      <c r="I183" s="134"/>
      <c r="J183" s="5"/>
      <c r="K183" s="372"/>
      <c r="L183" s="373"/>
      <c r="M183" s="374"/>
      <c r="N183" s="134"/>
      <c r="O183" s="372"/>
      <c r="P183" s="373"/>
      <c r="Q183" s="374"/>
      <c r="R183" s="134"/>
      <c r="S183" s="135"/>
    </row>
    <row r="184" spans="2:19" ht="15" x14ac:dyDescent="0.25">
      <c r="B184" s="4"/>
      <c r="C184" s="65" t="s">
        <v>915</v>
      </c>
      <c r="D184" s="66" t="s">
        <v>1367</v>
      </c>
      <c r="E184" s="67"/>
      <c r="F184" s="67"/>
      <c r="G184" s="67"/>
      <c r="H184" s="5"/>
      <c r="I184" s="134"/>
      <c r="J184" s="5"/>
      <c r="K184" s="372"/>
      <c r="L184" s="373"/>
      <c r="M184" s="374"/>
      <c r="N184" s="134"/>
      <c r="O184" s="372"/>
      <c r="P184" s="373"/>
      <c r="Q184" s="374"/>
      <c r="R184" s="134"/>
      <c r="S184" s="135"/>
    </row>
    <row r="185" spans="2:19" ht="15" x14ac:dyDescent="0.25">
      <c r="B185" s="4"/>
      <c r="C185" s="65" t="s">
        <v>916</v>
      </c>
      <c r="D185" s="66" t="s">
        <v>1368</v>
      </c>
      <c r="E185" s="67"/>
      <c r="F185" s="67"/>
      <c r="G185" s="67"/>
      <c r="H185" s="5"/>
      <c r="I185" s="134"/>
      <c r="J185" s="5"/>
      <c r="K185" s="372"/>
      <c r="L185" s="373"/>
      <c r="M185" s="374"/>
      <c r="N185" s="134"/>
      <c r="O185" s="372"/>
      <c r="P185" s="373"/>
      <c r="Q185" s="374"/>
      <c r="R185" s="134"/>
      <c r="S185" s="135"/>
    </row>
    <row r="186" spans="2:19" ht="15" x14ac:dyDescent="0.25">
      <c r="B186" s="4"/>
      <c r="C186" s="65" t="s">
        <v>917</v>
      </c>
      <c r="D186" s="66" t="s">
        <v>1369</v>
      </c>
      <c r="E186" s="67"/>
      <c r="F186" s="67"/>
      <c r="G186" s="67"/>
      <c r="H186" s="5"/>
      <c r="I186" s="134"/>
      <c r="J186" s="5"/>
      <c r="K186" s="579"/>
      <c r="L186" s="560"/>
      <c r="M186" s="560"/>
      <c r="N186" s="134"/>
      <c r="O186" s="579"/>
      <c r="P186" s="560"/>
      <c r="Q186" s="560"/>
      <c r="R186" s="134"/>
      <c r="S186" s="135"/>
    </row>
    <row r="187" spans="2:19" ht="15" x14ac:dyDescent="0.25">
      <c r="B187" s="4"/>
      <c r="C187" s="58"/>
      <c r="D187" s="438"/>
      <c r="E187" s="482"/>
      <c r="F187" s="482"/>
      <c r="G187" s="482"/>
      <c r="H187" s="482"/>
      <c r="I187" s="483"/>
      <c r="J187" s="5"/>
      <c r="K187" s="372"/>
      <c r="L187" s="373"/>
      <c r="M187" s="374"/>
      <c r="N187" s="134"/>
      <c r="O187" s="372"/>
      <c r="P187" s="373"/>
      <c r="Q187" s="374"/>
      <c r="R187" s="134"/>
      <c r="S187" s="135"/>
    </row>
    <row r="188" spans="2:19" ht="15" x14ac:dyDescent="0.25">
      <c r="B188" s="4"/>
      <c r="C188" s="58"/>
      <c r="D188" s="61"/>
      <c r="E188" s="5"/>
      <c r="F188" s="5"/>
      <c r="G188" s="5"/>
      <c r="H188" s="5"/>
      <c r="I188" s="134"/>
      <c r="J188" s="5"/>
      <c r="K188" s="580"/>
      <c r="L188" s="581"/>
      <c r="M188" s="581"/>
      <c r="N188" s="134"/>
      <c r="O188" s="580"/>
      <c r="P188" s="581"/>
      <c r="Q188" s="581"/>
      <c r="R188" s="134"/>
      <c r="S188" s="135"/>
    </row>
    <row r="189" spans="2:19" ht="15" x14ac:dyDescent="0.25">
      <c r="B189" s="4"/>
      <c r="C189" s="10" t="s">
        <v>809</v>
      </c>
      <c r="D189" s="69" t="s">
        <v>1370</v>
      </c>
      <c r="E189" s="22"/>
      <c r="F189" s="22"/>
      <c r="G189" s="22"/>
      <c r="H189" s="5"/>
      <c r="I189" s="5"/>
      <c r="J189" s="5"/>
      <c r="K189" s="573"/>
      <c r="L189" s="574"/>
      <c r="M189" s="574"/>
      <c r="N189" s="134"/>
      <c r="O189" s="573"/>
      <c r="P189" s="574"/>
      <c r="Q189" s="574"/>
      <c r="R189" s="134"/>
      <c r="S189" s="135"/>
    </row>
    <row r="190" spans="2:19" ht="15" x14ac:dyDescent="0.25">
      <c r="B190" s="4"/>
      <c r="C190" s="61"/>
      <c r="D190" s="5"/>
      <c r="E190" s="5"/>
      <c r="F190" s="5"/>
      <c r="G190" s="5"/>
      <c r="H190" s="5"/>
      <c r="I190" s="5"/>
      <c r="J190" s="5"/>
      <c r="K190" s="575"/>
      <c r="L190" s="576"/>
      <c r="M190" s="576"/>
      <c r="N190" s="134"/>
      <c r="O190" s="575"/>
      <c r="P190" s="576"/>
      <c r="Q190" s="576"/>
      <c r="R190" s="134"/>
      <c r="S190" s="135"/>
    </row>
    <row r="191" spans="2:19" ht="15" x14ac:dyDescent="0.25">
      <c r="B191" s="4"/>
      <c r="C191" s="5"/>
      <c r="D191" s="484"/>
      <c r="E191" s="485"/>
      <c r="F191" s="485"/>
      <c r="G191" s="485"/>
      <c r="H191" s="485"/>
      <c r="I191" s="485"/>
      <c r="J191" s="485"/>
      <c r="K191" s="485"/>
      <c r="L191" s="485"/>
      <c r="M191" s="485"/>
      <c r="N191" s="486"/>
      <c r="O191" s="486"/>
      <c r="P191" s="486"/>
      <c r="Q191" s="487"/>
      <c r="R191" s="134"/>
      <c r="S191" s="135"/>
    </row>
    <row r="192" spans="2:19" ht="15" x14ac:dyDescent="0.25">
      <c r="B192" s="4"/>
      <c r="C192" s="5"/>
      <c r="D192" s="488"/>
      <c r="E192" s="489"/>
      <c r="F192" s="489"/>
      <c r="G192" s="489"/>
      <c r="H192" s="489"/>
      <c r="I192" s="489"/>
      <c r="J192" s="489"/>
      <c r="K192" s="489"/>
      <c r="L192" s="489"/>
      <c r="M192" s="489"/>
      <c r="N192" s="490"/>
      <c r="O192" s="490"/>
      <c r="P192" s="490"/>
      <c r="Q192" s="491"/>
      <c r="R192" s="134"/>
      <c r="S192" s="135"/>
    </row>
    <row r="193" spans="2:19" ht="15" x14ac:dyDescent="0.25">
      <c r="B193" s="4"/>
      <c r="C193" s="5"/>
      <c r="D193" s="492"/>
      <c r="E193" s="493"/>
      <c r="F193" s="493"/>
      <c r="G193" s="493"/>
      <c r="H193" s="493"/>
      <c r="I193" s="493"/>
      <c r="J193" s="493"/>
      <c r="K193" s="493"/>
      <c r="L193" s="493"/>
      <c r="M193" s="493"/>
      <c r="N193" s="494"/>
      <c r="O193" s="494"/>
      <c r="P193" s="494"/>
      <c r="Q193" s="495"/>
      <c r="R193" s="134"/>
      <c r="S193" s="135"/>
    </row>
    <row r="194" spans="2:19" ht="15" thickBot="1" x14ac:dyDescent="0.25">
      <c r="B194" s="27"/>
      <c r="C194" s="16"/>
      <c r="D194" s="16"/>
      <c r="E194" s="16"/>
      <c r="F194" s="16"/>
      <c r="G194" s="16"/>
      <c r="H194" s="16"/>
      <c r="I194" s="16"/>
      <c r="J194" s="16"/>
      <c r="K194" s="16"/>
      <c r="L194" s="16"/>
      <c r="M194" s="16"/>
      <c r="N194" s="16"/>
      <c r="O194" s="16"/>
      <c r="P194" s="16"/>
      <c r="Q194" s="16"/>
      <c r="R194" s="16"/>
      <c r="S194" s="17"/>
    </row>
    <row r="195" spans="2:19" ht="15.75" thickTop="1" thickBot="1" x14ac:dyDescent="0.25"/>
    <row r="196" spans="2:19" ht="15" thickTop="1" x14ac:dyDescent="0.2">
      <c r="B196" s="2"/>
      <c r="C196" s="3"/>
      <c r="D196" s="3"/>
      <c r="E196" s="3"/>
      <c r="F196" s="3"/>
      <c r="G196" s="3"/>
      <c r="H196" s="3"/>
      <c r="I196" s="3"/>
      <c r="J196" s="3"/>
      <c r="K196" s="3"/>
      <c r="L196" s="3"/>
      <c r="M196" s="3"/>
      <c r="N196" s="3"/>
      <c r="O196" s="3"/>
      <c r="P196" s="3"/>
      <c r="Q196" s="3"/>
      <c r="R196" s="3"/>
      <c r="S196" s="19"/>
    </row>
    <row r="197" spans="2:19" ht="15.75" x14ac:dyDescent="0.25">
      <c r="B197" s="4"/>
      <c r="C197" s="20" t="s">
        <v>1461</v>
      </c>
      <c r="D197" s="61"/>
      <c r="E197" s="5"/>
      <c r="F197" s="5"/>
      <c r="G197" s="5"/>
      <c r="H197" s="5"/>
      <c r="I197" s="5"/>
      <c r="J197" s="5"/>
      <c r="K197" s="5"/>
      <c r="L197" s="5"/>
      <c r="M197" s="5"/>
      <c r="N197" s="5"/>
      <c r="O197" s="5"/>
      <c r="P197" s="5"/>
      <c r="Q197" s="5"/>
      <c r="R197" s="5"/>
      <c r="S197" s="6"/>
    </row>
    <row r="198" spans="2:19" ht="16.5" thickBot="1" x14ac:dyDescent="0.3">
      <c r="B198" s="4"/>
      <c r="C198" s="20"/>
      <c r="D198" s="61"/>
      <c r="E198" s="5"/>
      <c r="F198" s="5"/>
      <c r="G198" s="5"/>
      <c r="H198" s="5"/>
      <c r="I198" s="5"/>
      <c r="J198" s="5"/>
      <c r="K198" s="552" t="s">
        <v>1530</v>
      </c>
      <c r="L198" s="552"/>
      <c r="M198" s="552"/>
      <c r="N198" s="95"/>
      <c r="O198" s="552" t="s">
        <v>1531</v>
      </c>
      <c r="P198" s="552"/>
      <c r="Q198" s="552"/>
      <c r="R198" s="5"/>
      <c r="S198" s="6"/>
    </row>
    <row r="199" spans="2:19" ht="15.75" thickBot="1" x14ac:dyDescent="0.3">
      <c r="B199" s="4"/>
      <c r="C199" s="83">
        <v>7.1</v>
      </c>
      <c r="D199" s="58" t="s">
        <v>1371</v>
      </c>
      <c r="E199" s="5"/>
      <c r="F199" s="5"/>
      <c r="G199" s="5"/>
      <c r="H199" s="5"/>
      <c r="I199" s="557" t="str">
        <f>IF((SUM(K201:K208,K210))&lt;&gt;K199,(SUM(K201:K208,K210)),"")</f>
        <v/>
      </c>
      <c r="J199" s="558"/>
      <c r="K199" s="382">
        <f>SUM(K201:M208,K210)</f>
        <v>0</v>
      </c>
      <c r="L199" s="383"/>
      <c r="M199" s="384"/>
      <c r="N199" s="139"/>
      <c r="O199" s="382">
        <f>SUM(O201:Q208,O210)</f>
        <v>0</v>
      </c>
      <c r="P199" s="383"/>
      <c r="Q199" s="384"/>
      <c r="R199" s="553" t="str">
        <f>IF((SUM(O201:O208,O210))&lt;&gt;O199,(SUM(O201:O208,O210)),"")</f>
        <v/>
      </c>
      <c r="S199" s="554"/>
    </row>
    <row r="200" spans="2:19" ht="15" x14ac:dyDescent="0.25">
      <c r="B200" s="4"/>
      <c r="C200" s="58"/>
      <c r="D200" s="61"/>
      <c r="E200" s="5"/>
      <c r="F200" s="5"/>
      <c r="G200" s="5"/>
      <c r="H200" s="5"/>
      <c r="I200" s="134"/>
      <c r="J200" s="5"/>
      <c r="K200" s="564"/>
      <c r="L200" s="565"/>
      <c r="M200" s="565"/>
      <c r="N200" s="139"/>
      <c r="O200" s="564"/>
      <c r="P200" s="565"/>
      <c r="Q200" s="565"/>
      <c r="R200" s="134"/>
      <c r="S200" s="135"/>
    </row>
    <row r="201" spans="2:19" ht="15" x14ac:dyDescent="0.25">
      <c r="B201" s="4"/>
      <c r="C201" s="65" t="s">
        <v>811</v>
      </c>
      <c r="D201" s="66" t="s">
        <v>1372</v>
      </c>
      <c r="E201" s="5"/>
      <c r="F201" s="5"/>
      <c r="G201" s="5"/>
      <c r="H201" s="5"/>
      <c r="I201" s="134"/>
      <c r="J201" s="5"/>
      <c r="K201" s="372"/>
      <c r="L201" s="373"/>
      <c r="M201" s="374"/>
      <c r="N201" s="134"/>
      <c r="O201" s="372"/>
      <c r="P201" s="373"/>
      <c r="Q201" s="374"/>
      <c r="R201" s="134"/>
      <c r="S201" s="135"/>
    </row>
    <row r="202" spans="2:19" ht="15" x14ac:dyDescent="0.25">
      <c r="B202" s="4"/>
      <c r="C202" s="65" t="s">
        <v>922</v>
      </c>
      <c r="D202" s="66" t="s">
        <v>1373</v>
      </c>
      <c r="E202" s="5"/>
      <c r="F202" s="5"/>
      <c r="G202" s="5"/>
      <c r="H202" s="5"/>
      <c r="I202" s="134"/>
      <c r="J202" s="5"/>
      <c r="K202" s="372"/>
      <c r="L202" s="373"/>
      <c r="M202" s="374"/>
      <c r="N202" s="134"/>
      <c r="O202" s="372"/>
      <c r="P202" s="373"/>
      <c r="Q202" s="374"/>
      <c r="R202" s="134"/>
      <c r="S202" s="135"/>
    </row>
    <row r="203" spans="2:19" ht="15" x14ac:dyDescent="0.25">
      <c r="B203" s="4"/>
      <c r="C203" s="65" t="s">
        <v>923</v>
      </c>
      <c r="D203" s="66" t="s">
        <v>1380</v>
      </c>
      <c r="E203" s="5"/>
      <c r="F203" s="5"/>
      <c r="G203" s="5"/>
      <c r="H203" s="5"/>
      <c r="I203" s="134"/>
      <c r="J203" s="5"/>
      <c r="K203" s="372"/>
      <c r="L203" s="373"/>
      <c r="M203" s="374"/>
      <c r="N203" s="134"/>
      <c r="O203" s="372"/>
      <c r="P203" s="373"/>
      <c r="Q203" s="374"/>
      <c r="R203" s="134"/>
      <c r="S203" s="135"/>
    </row>
    <row r="204" spans="2:19" ht="15" x14ac:dyDescent="0.25">
      <c r="B204" s="4"/>
      <c r="C204" s="65" t="s">
        <v>924</v>
      </c>
      <c r="D204" s="66" t="s">
        <v>1374</v>
      </c>
      <c r="E204" s="5"/>
      <c r="F204" s="5"/>
      <c r="G204" s="5"/>
      <c r="H204" s="5"/>
      <c r="I204" s="134"/>
      <c r="J204" s="5"/>
      <c r="K204" s="372"/>
      <c r="L204" s="373"/>
      <c r="M204" s="374"/>
      <c r="N204" s="134"/>
      <c r="O204" s="372"/>
      <c r="P204" s="373"/>
      <c r="Q204" s="374"/>
      <c r="R204" s="134"/>
      <c r="S204" s="135"/>
    </row>
    <row r="205" spans="2:19" ht="15" x14ac:dyDescent="0.25">
      <c r="B205" s="4"/>
      <c r="C205" s="65" t="s">
        <v>925</v>
      </c>
      <c r="D205" s="66" t="s">
        <v>1375</v>
      </c>
      <c r="E205" s="5"/>
      <c r="F205" s="5"/>
      <c r="G205" s="5"/>
      <c r="H205" s="5"/>
      <c r="I205" s="134"/>
      <c r="J205" s="5"/>
      <c r="K205" s="372"/>
      <c r="L205" s="373"/>
      <c r="M205" s="374"/>
      <c r="N205" s="134"/>
      <c r="O205" s="372"/>
      <c r="P205" s="373"/>
      <c r="Q205" s="374"/>
      <c r="R205" s="134"/>
      <c r="S205" s="135"/>
    </row>
    <row r="206" spans="2:19" ht="15" x14ac:dyDescent="0.25">
      <c r="B206" s="4"/>
      <c r="C206" s="65" t="s">
        <v>926</v>
      </c>
      <c r="D206" s="66" t="s">
        <v>1376</v>
      </c>
      <c r="E206" s="5"/>
      <c r="F206" s="5"/>
      <c r="G206" s="5"/>
      <c r="H206" s="5"/>
      <c r="I206" s="134"/>
      <c r="J206" s="5"/>
      <c r="K206" s="372"/>
      <c r="L206" s="373"/>
      <c r="M206" s="374"/>
      <c r="N206" s="134"/>
      <c r="O206" s="372"/>
      <c r="P206" s="373"/>
      <c r="Q206" s="374"/>
      <c r="R206" s="134"/>
      <c r="S206" s="135"/>
    </row>
    <row r="207" spans="2:19" ht="15" x14ac:dyDescent="0.25">
      <c r="B207" s="4"/>
      <c r="C207" s="65" t="s">
        <v>927</v>
      </c>
      <c r="D207" s="66" t="s">
        <v>1377</v>
      </c>
      <c r="E207" s="5"/>
      <c r="F207" s="5"/>
      <c r="G207" s="5"/>
      <c r="H207" s="5"/>
      <c r="I207" s="134"/>
      <c r="J207" s="5"/>
      <c r="K207" s="372"/>
      <c r="L207" s="373"/>
      <c r="M207" s="374"/>
      <c r="N207" s="134"/>
      <c r="O207" s="372"/>
      <c r="P207" s="373"/>
      <c r="Q207" s="374"/>
      <c r="R207" s="134"/>
      <c r="S207" s="135"/>
    </row>
    <row r="208" spans="2:19" ht="15" x14ac:dyDescent="0.25">
      <c r="B208" s="4"/>
      <c r="C208" s="65" t="s">
        <v>928</v>
      </c>
      <c r="D208" s="66" t="s">
        <v>1378</v>
      </c>
      <c r="E208" s="5"/>
      <c r="F208" s="5"/>
      <c r="G208" s="5"/>
      <c r="H208" s="5"/>
      <c r="I208" s="134"/>
      <c r="J208" s="5"/>
      <c r="K208" s="372"/>
      <c r="L208" s="373"/>
      <c r="M208" s="374"/>
      <c r="N208" s="139"/>
      <c r="O208" s="372"/>
      <c r="P208" s="373"/>
      <c r="Q208" s="374"/>
      <c r="R208" s="134"/>
      <c r="S208" s="135"/>
    </row>
    <row r="209" spans="2:19" ht="15" x14ac:dyDescent="0.25">
      <c r="B209" s="4"/>
      <c r="C209" s="65" t="s">
        <v>929</v>
      </c>
      <c r="D209" s="66" t="s">
        <v>1379</v>
      </c>
      <c r="E209" s="5"/>
      <c r="F209" s="5"/>
      <c r="G209" s="5"/>
      <c r="H209" s="5"/>
      <c r="I209" s="5"/>
      <c r="J209" s="139"/>
      <c r="K209" s="579"/>
      <c r="L209" s="560"/>
      <c r="M209" s="560"/>
      <c r="N209" s="5"/>
      <c r="O209" s="579"/>
      <c r="P209" s="560"/>
      <c r="Q209" s="560"/>
      <c r="R209" s="5"/>
      <c r="S209" s="135"/>
    </row>
    <row r="210" spans="2:19" ht="15.75" x14ac:dyDescent="0.25">
      <c r="B210" s="4"/>
      <c r="C210" s="20"/>
      <c r="D210" s="438"/>
      <c r="E210" s="482"/>
      <c r="F210" s="482"/>
      <c r="G210" s="482"/>
      <c r="H210" s="482"/>
      <c r="I210" s="483"/>
      <c r="J210" s="139"/>
      <c r="K210" s="372"/>
      <c r="L210" s="373"/>
      <c r="M210" s="374"/>
      <c r="N210" s="5"/>
      <c r="O210" s="372"/>
      <c r="P210" s="373"/>
      <c r="Q210" s="374"/>
      <c r="R210" s="5"/>
      <c r="S210" s="135"/>
    </row>
    <row r="211" spans="2:19" ht="15.75" x14ac:dyDescent="0.25">
      <c r="B211" s="4"/>
      <c r="C211" s="20"/>
      <c r="D211" s="61"/>
      <c r="E211" s="5"/>
      <c r="F211" s="5"/>
      <c r="G211" s="5"/>
      <c r="H211" s="5"/>
      <c r="I211" s="5"/>
      <c r="J211" s="5"/>
      <c r="K211" s="580"/>
      <c r="L211" s="581"/>
      <c r="M211" s="581"/>
      <c r="N211" s="5"/>
      <c r="O211" s="580"/>
      <c r="P211" s="581"/>
      <c r="Q211" s="581"/>
      <c r="R211" s="5"/>
      <c r="S211" s="135"/>
    </row>
    <row r="212" spans="2:19" ht="15" x14ac:dyDescent="0.25">
      <c r="B212" s="4"/>
      <c r="C212" s="83">
        <v>7.2</v>
      </c>
      <c r="D212" s="69" t="s">
        <v>1370</v>
      </c>
      <c r="E212" s="5"/>
      <c r="F212" s="5"/>
      <c r="G212" s="5"/>
      <c r="H212" s="5"/>
      <c r="I212" s="5"/>
      <c r="J212" s="5"/>
      <c r="K212" s="573"/>
      <c r="L212" s="574"/>
      <c r="M212" s="574"/>
      <c r="N212" s="5"/>
      <c r="O212" s="573"/>
      <c r="P212" s="574"/>
      <c r="Q212" s="574"/>
      <c r="R212" s="5"/>
      <c r="S212" s="6"/>
    </row>
    <row r="213" spans="2:19" ht="15.75" x14ac:dyDescent="0.25">
      <c r="B213" s="4"/>
      <c r="C213" s="20"/>
      <c r="D213" s="61"/>
      <c r="E213" s="5"/>
      <c r="F213" s="5"/>
      <c r="G213" s="5"/>
      <c r="H213" s="5"/>
      <c r="I213" s="5"/>
      <c r="J213" s="5"/>
      <c r="K213" s="575"/>
      <c r="L213" s="576"/>
      <c r="M213" s="576"/>
      <c r="N213" s="5"/>
      <c r="O213" s="577"/>
      <c r="P213" s="578"/>
      <c r="Q213" s="578"/>
      <c r="R213" s="5"/>
      <c r="S213" s="6"/>
    </row>
    <row r="214" spans="2:19" ht="15.75" x14ac:dyDescent="0.25">
      <c r="B214" s="4"/>
      <c r="C214" s="20"/>
      <c r="D214" s="484"/>
      <c r="E214" s="485"/>
      <c r="F214" s="485"/>
      <c r="G214" s="485"/>
      <c r="H214" s="485"/>
      <c r="I214" s="485"/>
      <c r="J214" s="485"/>
      <c r="K214" s="485"/>
      <c r="L214" s="485"/>
      <c r="M214" s="485"/>
      <c r="N214" s="486"/>
      <c r="O214" s="486"/>
      <c r="P214" s="486"/>
      <c r="Q214" s="487"/>
      <c r="R214" s="5"/>
      <c r="S214" s="6"/>
    </row>
    <row r="215" spans="2:19" ht="15.75" x14ac:dyDescent="0.25">
      <c r="B215" s="4"/>
      <c r="C215" s="20"/>
      <c r="D215" s="488"/>
      <c r="E215" s="489"/>
      <c r="F215" s="489"/>
      <c r="G215" s="489"/>
      <c r="H215" s="489"/>
      <c r="I215" s="489"/>
      <c r="J215" s="489"/>
      <c r="K215" s="489"/>
      <c r="L215" s="489"/>
      <c r="M215" s="489"/>
      <c r="N215" s="490"/>
      <c r="O215" s="490"/>
      <c r="P215" s="490"/>
      <c r="Q215" s="491"/>
      <c r="R215" s="5"/>
      <c r="S215" s="6"/>
    </row>
    <row r="216" spans="2:19" ht="15.75" x14ac:dyDescent="0.25">
      <c r="B216" s="4"/>
      <c r="C216" s="20"/>
      <c r="D216" s="492"/>
      <c r="E216" s="493"/>
      <c r="F216" s="493"/>
      <c r="G216" s="493"/>
      <c r="H216" s="493"/>
      <c r="I216" s="493"/>
      <c r="J216" s="493"/>
      <c r="K216" s="493"/>
      <c r="L216" s="493"/>
      <c r="M216" s="493"/>
      <c r="N216" s="494"/>
      <c r="O216" s="494"/>
      <c r="P216" s="494"/>
      <c r="Q216" s="495"/>
      <c r="R216" s="5"/>
      <c r="S216" s="6"/>
    </row>
    <row r="217" spans="2:19" ht="15" thickBot="1" x14ac:dyDescent="0.25">
      <c r="B217" s="27"/>
      <c r="C217" s="16"/>
      <c r="D217" s="16"/>
      <c r="E217" s="16"/>
      <c r="F217" s="16"/>
      <c r="G217" s="16"/>
      <c r="H217" s="16"/>
      <c r="I217" s="16"/>
      <c r="J217" s="16"/>
      <c r="K217" s="16"/>
      <c r="L217" s="16"/>
      <c r="M217" s="16"/>
      <c r="N217" s="16"/>
      <c r="O217" s="16"/>
      <c r="P217" s="16"/>
      <c r="Q217" s="16"/>
      <c r="R217" s="16"/>
      <c r="S217" s="17"/>
    </row>
    <row r="218" spans="2:19" ht="15.75" thickTop="1" thickBot="1" x14ac:dyDescent="0.25"/>
    <row r="219" spans="2:19" ht="15" thickTop="1" x14ac:dyDescent="0.2">
      <c r="B219" s="2"/>
      <c r="C219" s="3"/>
      <c r="D219" s="3"/>
      <c r="E219" s="3"/>
      <c r="F219" s="3"/>
      <c r="G219" s="3"/>
      <c r="H219" s="3"/>
      <c r="I219" s="3"/>
      <c r="J219" s="3"/>
      <c r="K219" s="3"/>
      <c r="L219" s="3"/>
      <c r="M219" s="3"/>
      <c r="N219" s="3"/>
      <c r="O219" s="3"/>
      <c r="P219" s="3"/>
      <c r="Q219" s="3"/>
      <c r="R219" s="3"/>
      <c r="S219" s="19"/>
    </row>
    <row r="220" spans="2:19" ht="15.75" x14ac:dyDescent="0.25">
      <c r="B220" s="4"/>
      <c r="C220" s="20" t="s">
        <v>1462</v>
      </c>
      <c r="D220" s="61"/>
      <c r="E220" s="5"/>
      <c r="F220" s="5"/>
      <c r="G220" s="5"/>
      <c r="H220" s="5"/>
      <c r="I220" s="5"/>
      <c r="J220" s="5"/>
      <c r="K220" s="5"/>
      <c r="L220" s="5"/>
      <c r="M220" s="5"/>
      <c r="N220" s="5"/>
      <c r="O220" s="5"/>
      <c r="P220" s="5"/>
      <c r="Q220" s="5"/>
      <c r="R220" s="5"/>
      <c r="S220" s="6"/>
    </row>
    <row r="221" spans="2:19" ht="16.5" thickBot="1" x14ac:dyDescent="0.3">
      <c r="B221" s="4"/>
      <c r="C221" s="20"/>
      <c r="D221" s="61"/>
      <c r="E221" s="5"/>
      <c r="F221" s="5"/>
      <c r="G221" s="5"/>
      <c r="H221" s="5"/>
      <c r="I221" s="5"/>
      <c r="J221" s="5"/>
      <c r="K221" s="552" t="s">
        <v>1530</v>
      </c>
      <c r="L221" s="552"/>
      <c r="M221" s="552"/>
      <c r="N221" s="95"/>
      <c r="O221" s="552" t="s">
        <v>1531</v>
      </c>
      <c r="P221" s="552"/>
      <c r="Q221" s="552"/>
      <c r="R221" s="5"/>
      <c r="S221" s="6"/>
    </row>
    <row r="222" spans="2:19" s="110" customFormat="1" ht="15.75" thickBot="1" x14ac:dyDescent="0.3">
      <c r="B222" s="105"/>
      <c r="C222" s="106">
        <v>8.1</v>
      </c>
      <c r="D222" s="70" t="s">
        <v>1381</v>
      </c>
      <c r="E222" s="107"/>
      <c r="F222" s="107"/>
      <c r="G222" s="108"/>
      <c r="H222" s="108"/>
      <c r="I222" s="557" t="str">
        <f>IF((SUM(K224:K226))&lt;&gt;K222,(SUM(K224:K226)),"")</f>
        <v/>
      </c>
      <c r="J222" s="570"/>
      <c r="K222" s="435">
        <f>SUM(K224:M226)</f>
        <v>0</v>
      </c>
      <c r="L222" s="436"/>
      <c r="M222" s="437"/>
      <c r="N222" s="109"/>
      <c r="O222" s="435">
        <f>SUM(O224:Q226)</f>
        <v>0</v>
      </c>
      <c r="P222" s="436"/>
      <c r="Q222" s="437"/>
      <c r="R222" s="553" t="str">
        <f>IF((SUM(O224:O226))&lt;&gt;O222,(SUM(O224:O226)),"")</f>
        <v/>
      </c>
      <c r="S222" s="571"/>
    </row>
    <row r="223" spans="2:19" ht="15.75" x14ac:dyDescent="0.25">
      <c r="B223" s="4"/>
      <c r="C223" s="85"/>
      <c r="D223" s="20"/>
      <c r="E223" s="5"/>
      <c r="F223" s="5"/>
      <c r="G223" s="5"/>
      <c r="H223" s="5"/>
      <c r="I223" s="5"/>
      <c r="J223" s="139"/>
      <c r="K223" s="139"/>
      <c r="L223" s="139"/>
      <c r="M223" s="139"/>
      <c r="N223" s="5"/>
      <c r="O223" s="139"/>
      <c r="P223" s="139"/>
      <c r="Q223" s="139"/>
      <c r="R223" s="5"/>
      <c r="S223" s="6"/>
    </row>
    <row r="224" spans="2:19" x14ac:dyDescent="0.2">
      <c r="B224" s="4"/>
      <c r="C224" s="120" t="s">
        <v>937</v>
      </c>
      <c r="D224" s="71" t="s">
        <v>1382</v>
      </c>
      <c r="E224" s="5"/>
      <c r="F224" s="5"/>
      <c r="G224" s="5"/>
      <c r="H224" s="5"/>
      <c r="I224" s="5"/>
      <c r="J224" s="139"/>
      <c r="K224" s="372">
        <f>K148</f>
        <v>0</v>
      </c>
      <c r="L224" s="373"/>
      <c r="M224" s="374"/>
      <c r="N224" s="139"/>
      <c r="O224" s="372">
        <f>O148</f>
        <v>0</v>
      </c>
      <c r="P224" s="373"/>
      <c r="Q224" s="374"/>
      <c r="R224" s="5"/>
      <c r="S224" s="6"/>
    </row>
    <row r="225" spans="2:19" x14ac:dyDescent="0.2">
      <c r="B225" s="4"/>
      <c r="C225" s="120" t="s">
        <v>938</v>
      </c>
      <c r="D225" s="71" t="s">
        <v>1383</v>
      </c>
      <c r="E225" s="5"/>
      <c r="F225" s="5"/>
      <c r="G225" s="5"/>
      <c r="H225" s="5"/>
      <c r="I225" s="5"/>
      <c r="J225" s="139"/>
      <c r="K225" s="372">
        <f>K169</f>
        <v>0</v>
      </c>
      <c r="L225" s="373"/>
      <c r="M225" s="374"/>
      <c r="N225" s="139"/>
      <c r="O225" s="372">
        <f>O169</f>
        <v>0</v>
      </c>
      <c r="P225" s="373"/>
      <c r="Q225" s="374"/>
      <c r="R225" s="5"/>
      <c r="S225" s="6"/>
    </row>
    <row r="226" spans="2:19" x14ac:dyDescent="0.2">
      <c r="B226" s="4"/>
      <c r="C226" s="120" t="s">
        <v>939</v>
      </c>
      <c r="D226" s="71" t="s">
        <v>1384</v>
      </c>
      <c r="E226" s="5"/>
      <c r="F226" s="5"/>
      <c r="G226" s="5"/>
      <c r="H226" s="5"/>
      <c r="I226" s="5"/>
      <c r="J226" s="139"/>
      <c r="K226" s="372">
        <f>K181</f>
        <v>0</v>
      </c>
      <c r="L226" s="373"/>
      <c r="M226" s="374"/>
      <c r="N226" s="139"/>
      <c r="O226" s="372">
        <f>O181</f>
        <v>0</v>
      </c>
      <c r="P226" s="373"/>
      <c r="Q226" s="374"/>
      <c r="R226" s="5"/>
      <c r="S226" s="6"/>
    </row>
    <row r="227" spans="2:19" ht="15.75" thickBot="1" x14ac:dyDescent="0.3">
      <c r="B227" s="4"/>
      <c r="C227" s="86"/>
      <c r="D227" s="72"/>
      <c r="E227" s="5"/>
      <c r="F227" s="5"/>
      <c r="G227" s="5"/>
      <c r="H227" s="5"/>
      <c r="I227" s="5"/>
      <c r="J227" s="139"/>
      <c r="K227" s="5"/>
      <c r="L227" s="5"/>
      <c r="M227" s="139"/>
      <c r="N227" s="139"/>
      <c r="O227" s="5"/>
      <c r="P227" s="5"/>
      <c r="Q227" s="139"/>
      <c r="R227" s="5"/>
      <c r="S227" s="6"/>
    </row>
    <row r="228" spans="2:19" s="110" customFormat="1" ht="15.75" thickBot="1" x14ac:dyDescent="0.3">
      <c r="B228" s="105"/>
      <c r="C228" s="106">
        <v>8.1999999999999993</v>
      </c>
      <c r="D228" s="70" t="s">
        <v>1385</v>
      </c>
      <c r="E228" s="107"/>
      <c r="F228" s="107"/>
      <c r="G228" s="108"/>
      <c r="H228" s="108"/>
      <c r="I228" s="557" t="str">
        <f>IF((K228)&lt;&gt;K199, K199,"")</f>
        <v/>
      </c>
      <c r="J228" s="570"/>
      <c r="K228" s="435">
        <f>K199</f>
        <v>0</v>
      </c>
      <c r="L228" s="436"/>
      <c r="M228" s="437"/>
      <c r="N228" s="109"/>
      <c r="O228" s="435">
        <f>O199</f>
        <v>0</v>
      </c>
      <c r="P228" s="436"/>
      <c r="Q228" s="437"/>
      <c r="R228" s="553" t="str">
        <f>IF((O228)&lt;&gt;O199, O199,"")</f>
        <v/>
      </c>
      <c r="S228" s="571"/>
    </row>
    <row r="229" spans="2:19" ht="15.75" thickBot="1" x14ac:dyDescent="0.3">
      <c r="B229" s="4"/>
      <c r="C229" s="86"/>
      <c r="D229" s="72"/>
      <c r="E229" s="5"/>
      <c r="F229" s="5"/>
      <c r="G229" s="5"/>
      <c r="H229" s="5"/>
      <c r="I229" s="5"/>
      <c r="J229" s="139"/>
      <c r="K229" s="5"/>
      <c r="L229" s="5"/>
      <c r="M229" s="139"/>
      <c r="N229" s="139"/>
      <c r="O229" s="5"/>
      <c r="P229" s="5"/>
      <c r="Q229" s="139"/>
      <c r="R229" s="5"/>
      <c r="S229" s="6"/>
    </row>
    <row r="230" spans="2:19" s="110" customFormat="1" ht="15.75" thickBot="1" x14ac:dyDescent="0.3">
      <c r="B230" s="105"/>
      <c r="C230" s="106">
        <v>8.3000000000000007</v>
      </c>
      <c r="D230" s="70" t="s">
        <v>1386</v>
      </c>
      <c r="E230" s="111"/>
      <c r="F230" s="108"/>
      <c r="G230" s="108"/>
      <c r="H230" s="108"/>
      <c r="I230" s="557" t="str">
        <f>IF((K222-K228)&lt;&gt;K230,(K222-K228),"")</f>
        <v/>
      </c>
      <c r="J230" s="570"/>
      <c r="K230" s="435">
        <f>K222-K228</f>
        <v>0</v>
      </c>
      <c r="L230" s="436"/>
      <c r="M230" s="437"/>
      <c r="N230" s="109"/>
      <c r="O230" s="435">
        <f>O222-O228</f>
        <v>0</v>
      </c>
      <c r="P230" s="436"/>
      <c r="Q230" s="437"/>
      <c r="R230" s="553" t="str">
        <f>IF((O222-O228)&lt;&gt;O230,(O222-O228),"")</f>
        <v/>
      </c>
      <c r="S230" s="572"/>
    </row>
    <row r="231" spans="2:19" x14ac:dyDescent="0.2">
      <c r="B231" s="4"/>
      <c r="C231" s="87"/>
      <c r="D231" s="73" t="s">
        <v>1387</v>
      </c>
      <c r="E231" s="61"/>
      <c r="F231" s="5"/>
      <c r="G231" s="5"/>
      <c r="H231" s="5"/>
      <c r="I231" s="5"/>
      <c r="J231" s="139"/>
      <c r="K231" s="139"/>
      <c r="L231" s="139"/>
      <c r="M231" s="139"/>
      <c r="N231" s="5"/>
      <c r="O231" s="139"/>
      <c r="P231" s="139"/>
      <c r="Q231" s="139"/>
      <c r="R231" s="5"/>
      <c r="S231" s="6"/>
    </row>
    <row r="232" spans="2:19" ht="16.5" thickBot="1" x14ac:dyDescent="0.3">
      <c r="B232" s="4"/>
      <c r="C232" s="88"/>
      <c r="D232" s="61"/>
      <c r="E232" s="5"/>
      <c r="F232" s="5"/>
      <c r="G232" s="5"/>
      <c r="H232" s="5"/>
      <c r="I232" s="5"/>
      <c r="J232" s="5"/>
      <c r="K232" s="5"/>
      <c r="L232" s="5"/>
      <c r="M232" s="5"/>
      <c r="N232" s="5"/>
      <c r="O232" s="139"/>
      <c r="P232" s="139"/>
      <c r="Q232" s="139"/>
      <c r="R232" s="5"/>
      <c r="S232" s="6"/>
    </row>
    <row r="233" spans="2:19" s="110" customFormat="1" ht="15.75" thickBot="1" x14ac:dyDescent="0.3">
      <c r="B233" s="105"/>
      <c r="C233" s="106">
        <v>8.4</v>
      </c>
      <c r="D233" s="58" t="s">
        <v>1388</v>
      </c>
      <c r="E233" s="108"/>
      <c r="F233" s="108"/>
      <c r="G233" s="108"/>
      <c r="H233" s="108"/>
      <c r="I233" s="557" t="str">
        <f>IF((SUM(K235:K236,K238))&lt;&gt;K233,(SUM(K235:K236,K238)),"")</f>
        <v/>
      </c>
      <c r="J233" s="570"/>
      <c r="K233" s="435">
        <f>SUM(K235:M236,K238)</f>
        <v>0</v>
      </c>
      <c r="L233" s="436"/>
      <c r="M233" s="437"/>
      <c r="N233" s="109"/>
      <c r="O233" s="435">
        <f>SUM(O235:Q236,O238)</f>
        <v>0</v>
      </c>
      <c r="P233" s="436"/>
      <c r="Q233" s="437"/>
      <c r="R233" s="553" t="str">
        <f>IF((SUM(O235:O236,O238))&lt;&gt;O233,(SUM(O235:O236,O238)),"")</f>
        <v/>
      </c>
      <c r="S233" s="571"/>
    </row>
    <row r="234" spans="2:19" ht="15.75" x14ac:dyDescent="0.25">
      <c r="B234" s="4"/>
      <c r="C234" s="88"/>
      <c r="D234" s="74" t="s">
        <v>1328</v>
      </c>
      <c r="E234" s="5"/>
      <c r="F234" s="5"/>
      <c r="G234" s="5"/>
      <c r="H234" s="5"/>
      <c r="I234" s="5"/>
      <c r="J234" s="5"/>
      <c r="K234" s="5"/>
      <c r="L234" s="5"/>
      <c r="M234" s="5"/>
      <c r="N234" s="5"/>
      <c r="O234" s="139"/>
      <c r="P234" s="139"/>
      <c r="Q234" s="139"/>
      <c r="R234" s="5"/>
      <c r="S234" s="6"/>
    </row>
    <row r="235" spans="2:19" x14ac:dyDescent="0.2">
      <c r="B235" s="4"/>
      <c r="C235" s="93" t="s">
        <v>940</v>
      </c>
      <c r="D235" s="25" t="s">
        <v>1786</v>
      </c>
      <c r="E235" s="22"/>
      <c r="F235" s="22"/>
      <c r="G235" s="22"/>
      <c r="H235" s="22"/>
      <c r="I235" s="5"/>
      <c r="J235" s="5"/>
      <c r="K235" s="372"/>
      <c r="L235" s="373"/>
      <c r="M235" s="374"/>
      <c r="N235" s="5"/>
      <c r="O235" s="372"/>
      <c r="P235" s="373"/>
      <c r="Q235" s="374"/>
      <c r="R235" s="5"/>
      <c r="S235" s="6"/>
    </row>
    <row r="236" spans="2:19" x14ac:dyDescent="0.2">
      <c r="B236" s="4"/>
      <c r="C236" s="93" t="s">
        <v>941</v>
      </c>
      <c r="D236" s="25" t="s">
        <v>1389</v>
      </c>
      <c r="E236" s="22"/>
      <c r="F236" s="22"/>
      <c r="G236" s="22"/>
      <c r="H236" s="22"/>
      <c r="I236" s="5"/>
      <c r="J236" s="5"/>
      <c r="K236" s="372"/>
      <c r="L236" s="373"/>
      <c r="M236" s="374"/>
      <c r="N236" s="5"/>
      <c r="O236" s="372"/>
      <c r="P236" s="373"/>
      <c r="Q236" s="374"/>
      <c r="R236" s="5"/>
      <c r="S236" s="6"/>
    </row>
    <row r="237" spans="2:19" x14ac:dyDescent="0.2">
      <c r="B237" s="4"/>
      <c r="C237" s="93" t="s">
        <v>942</v>
      </c>
      <c r="D237" s="25" t="s">
        <v>1390</v>
      </c>
      <c r="E237" s="22"/>
      <c r="F237" s="22"/>
      <c r="G237" s="22"/>
      <c r="H237" s="22"/>
      <c r="I237" s="5"/>
      <c r="J237" s="5"/>
      <c r="K237" s="5"/>
      <c r="L237" s="5"/>
      <c r="M237" s="5"/>
      <c r="N237" s="5"/>
      <c r="O237" s="139"/>
      <c r="P237" s="139"/>
      <c r="Q237" s="139"/>
      <c r="R237" s="5"/>
      <c r="S237" s="6"/>
    </row>
    <row r="238" spans="2:19" ht="15.75" x14ac:dyDescent="0.25">
      <c r="B238" s="4"/>
      <c r="C238" s="88"/>
      <c r="D238" s="549"/>
      <c r="E238" s="550"/>
      <c r="F238" s="550"/>
      <c r="G238" s="550"/>
      <c r="H238" s="551"/>
      <c r="I238" s="5"/>
      <c r="J238" s="5"/>
      <c r="K238" s="372"/>
      <c r="L238" s="373"/>
      <c r="M238" s="374"/>
      <c r="N238" s="5"/>
      <c r="O238" s="372"/>
      <c r="P238" s="373"/>
      <c r="Q238" s="374"/>
      <c r="R238" s="5"/>
      <c r="S238" s="6"/>
    </row>
    <row r="239" spans="2:19" ht="16.5" thickBot="1" x14ac:dyDescent="0.3">
      <c r="B239" s="4"/>
      <c r="C239" s="88"/>
      <c r="D239" s="61"/>
      <c r="E239" s="5"/>
      <c r="F239" s="5"/>
      <c r="G239" s="5"/>
      <c r="H239" s="5"/>
      <c r="I239" s="5"/>
      <c r="J239" s="5"/>
      <c r="K239" s="5"/>
      <c r="L239" s="5"/>
      <c r="M239" s="5"/>
      <c r="N239" s="5"/>
      <c r="O239" s="139"/>
      <c r="P239" s="139"/>
      <c r="Q239" s="139"/>
      <c r="R239" s="5"/>
      <c r="S239" s="6"/>
    </row>
    <row r="240" spans="2:19" ht="15.75" thickBot="1" x14ac:dyDescent="0.3">
      <c r="B240" s="4"/>
      <c r="C240" s="84">
        <v>8.5</v>
      </c>
      <c r="D240" s="58" t="s">
        <v>1392</v>
      </c>
      <c r="E240" s="5"/>
      <c r="F240" s="5"/>
      <c r="G240" s="5"/>
      <c r="H240" s="5"/>
      <c r="I240" s="5"/>
      <c r="J240" s="5"/>
      <c r="K240" s="382"/>
      <c r="L240" s="383"/>
      <c r="M240" s="384"/>
      <c r="N240" s="139"/>
      <c r="O240" s="382"/>
      <c r="P240" s="383"/>
      <c r="Q240" s="384"/>
      <c r="R240" s="5"/>
      <c r="S240" s="6"/>
    </row>
    <row r="241" spans="2:19" ht="16.5" thickBot="1" x14ac:dyDescent="0.3">
      <c r="B241" s="4"/>
      <c r="C241" s="88"/>
      <c r="D241" s="61"/>
      <c r="E241" s="5"/>
      <c r="F241" s="5"/>
      <c r="G241" s="5"/>
      <c r="H241" s="5"/>
      <c r="I241" s="5"/>
      <c r="J241" s="5"/>
      <c r="K241" s="5"/>
      <c r="L241" s="5"/>
      <c r="M241" s="5"/>
      <c r="N241" s="5"/>
      <c r="O241" s="139"/>
      <c r="P241" s="139"/>
      <c r="Q241" s="139"/>
      <c r="R241" s="5"/>
      <c r="S241" s="6"/>
    </row>
    <row r="242" spans="2:19" s="110" customFormat="1" ht="15.75" thickBot="1" x14ac:dyDescent="0.3">
      <c r="B242" s="105"/>
      <c r="C242" s="106">
        <v>8.6</v>
      </c>
      <c r="D242" s="70" t="s">
        <v>1391</v>
      </c>
      <c r="E242" s="111"/>
      <c r="F242" s="108"/>
      <c r="G242" s="108"/>
      <c r="H242" s="108"/>
      <c r="I242" s="557" t="str">
        <f>IF((K230-K233-K240)&lt;&gt;K242,(K230-K233-K240),"")</f>
        <v/>
      </c>
      <c r="J242" s="570"/>
      <c r="K242" s="435">
        <f>K230-K233-K240</f>
        <v>0</v>
      </c>
      <c r="L242" s="436"/>
      <c r="M242" s="437"/>
      <c r="N242" s="109"/>
      <c r="O242" s="435">
        <f>O230-O233-O240</f>
        <v>0</v>
      </c>
      <c r="P242" s="436"/>
      <c r="Q242" s="437"/>
      <c r="R242" s="553" t="str">
        <f>IF((O230-O233-O240)&lt;&gt;O242,(O230-O233-O240),"")</f>
        <v/>
      </c>
      <c r="S242" s="571"/>
    </row>
    <row r="243" spans="2:19" ht="15.75" x14ac:dyDescent="0.25">
      <c r="B243" s="4"/>
      <c r="C243" s="88"/>
      <c r="D243" s="73" t="s">
        <v>1393</v>
      </c>
      <c r="E243" s="5"/>
      <c r="F243" s="5"/>
      <c r="G243" s="5"/>
      <c r="H243" s="5"/>
      <c r="I243" s="5"/>
      <c r="J243" s="5"/>
      <c r="K243" s="5"/>
      <c r="L243" s="5"/>
      <c r="M243" s="5"/>
      <c r="N243" s="5"/>
      <c r="O243" s="139"/>
      <c r="P243" s="139"/>
      <c r="Q243" s="139"/>
      <c r="R243" s="5"/>
      <c r="S243" s="6"/>
    </row>
    <row r="244" spans="2:19" ht="15.75" x14ac:dyDescent="0.25">
      <c r="B244" s="4"/>
      <c r="C244" s="88"/>
      <c r="D244" s="73"/>
      <c r="E244" s="5"/>
      <c r="F244" s="5"/>
      <c r="G244" s="5"/>
      <c r="H244" s="5"/>
      <c r="I244" s="5"/>
      <c r="J244" s="5"/>
      <c r="K244" s="5"/>
      <c r="L244" s="5"/>
      <c r="M244" s="5"/>
      <c r="N244" s="5"/>
      <c r="O244" s="139"/>
      <c r="P244" s="139"/>
      <c r="Q244" s="139"/>
      <c r="R244" s="5"/>
      <c r="S244" s="6"/>
    </row>
    <row r="245" spans="2:19" x14ac:dyDescent="0.2">
      <c r="B245" s="4"/>
      <c r="C245" s="84">
        <v>8.6999999999999993</v>
      </c>
      <c r="D245" s="75" t="s">
        <v>1370</v>
      </c>
      <c r="E245" s="5"/>
      <c r="F245" s="5"/>
      <c r="G245" s="5"/>
      <c r="H245" s="5"/>
      <c r="I245" s="5"/>
      <c r="J245" s="5"/>
      <c r="K245" s="5"/>
      <c r="L245" s="5"/>
      <c r="M245" s="5"/>
      <c r="N245" s="5"/>
      <c r="O245" s="139"/>
      <c r="P245" s="139"/>
      <c r="Q245" s="139"/>
      <c r="R245" s="5"/>
      <c r="S245" s="6"/>
    </row>
    <row r="246" spans="2:19" ht="15.75" x14ac:dyDescent="0.25">
      <c r="B246" s="4"/>
      <c r="C246" s="88"/>
      <c r="D246" s="61"/>
      <c r="E246" s="5"/>
      <c r="F246" s="5"/>
      <c r="G246" s="5"/>
      <c r="H246" s="5"/>
      <c r="I246" s="5"/>
      <c r="J246" s="5"/>
      <c r="K246" s="5"/>
      <c r="L246" s="5"/>
      <c r="M246" s="5"/>
      <c r="N246" s="5"/>
      <c r="O246" s="139"/>
      <c r="P246" s="139"/>
      <c r="Q246" s="139"/>
      <c r="R246" s="5"/>
      <c r="S246" s="6"/>
    </row>
    <row r="247" spans="2:19" ht="15.75" x14ac:dyDescent="0.25">
      <c r="B247" s="4"/>
      <c r="C247" s="88"/>
      <c r="D247" s="484"/>
      <c r="E247" s="485"/>
      <c r="F247" s="485"/>
      <c r="G247" s="485"/>
      <c r="H247" s="485"/>
      <c r="I247" s="485"/>
      <c r="J247" s="485"/>
      <c r="K247" s="485"/>
      <c r="L247" s="485"/>
      <c r="M247" s="485"/>
      <c r="N247" s="500"/>
      <c r="O247" s="500"/>
      <c r="P247" s="500"/>
      <c r="Q247" s="501"/>
      <c r="R247" s="5"/>
      <c r="S247" s="6"/>
    </row>
    <row r="248" spans="2:19" ht="15.75" x14ac:dyDescent="0.25">
      <c r="B248" s="4"/>
      <c r="C248" s="88"/>
      <c r="D248" s="488"/>
      <c r="E248" s="489"/>
      <c r="F248" s="489"/>
      <c r="G248" s="489"/>
      <c r="H248" s="489"/>
      <c r="I248" s="489"/>
      <c r="J248" s="489"/>
      <c r="K248" s="489"/>
      <c r="L248" s="489"/>
      <c r="M248" s="489"/>
      <c r="N248" s="502"/>
      <c r="O248" s="502"/>
      <c r="P248" s="502"/>
      <c r="Q248" s="503"/>
      <c r="R248" s="5"/>
      <c r="S248" s="6"/>
    </row>
    <row r="249" spans="2:19" ht="15.75" x14ac:dyDescent="0.25">
      <c r="B249" s="4"/>
      <c r="C249" s="88"/>
      <c r="D249" s="492"/>
      <c r="E249" s="493"/>
      <c r="F249" s="493"/>
      <c r="G249" s="493"/>
      <c r="H249" s="493"/>
      <c r="I249" s="493"/>
      <c r="J249" s="493"/>
      <c r="K249" s="493"/>
      <c r="L249" s="493"/>
      <c r="M249" s="493"/>
      <c r="N249" s="504"/>
      <c r="O249" s="504"/>
      <c r="P249" s="504"/>
      <c r="Q249" s="505"/>
      <c r="R249" s="5"/>
      <c r="S249" s="6"/>
    </row>
    <row r="250" spans="2:19" ht="15" thickBot="1" x14ac:dyDescent="0.25">
      <c r="B250" s="27"/>
      <c r="C250" s="90"/>
      <c r="D250" s="16"/>
      <c r="E250" s="16"/>
      <c r="F250" s="16"/>
      <c r="G250" s="16"/>
      <c r="H250" s="16"/>
      <c r="I250" s="16"/>
      <c r="J250" s="16"/>
      <c r="K250" s="16"/>
      <c r="L250" s="16"/>
      <c r="M250" s="16"/>
      <c r="N250" s="16"/>
      <c r="O250" s="16"/>
      <c r="P250" s="16"/>
      <c r="Q250" s="16"/>
      <c r="R250" s="16"/>
      <c r="S250" s="17"/>
    </row>
    <row r="251" spans="2:19" ht="15.75" thickTop="1" thickBot="1" x14ac:dyDescent="0.25">
      <c r="B251" s="18"/>
      <c r="C251" s="91"/>
      <c r="D251" s="18"/>
      <c r="E251" s="18"/>
      <c r="F251" s="18"/>
      <c r="G251" s="18"/>
      <c r="H251" s="18"/>
      <c r="I251" s="18"/>
      <c r="J251" s="18"/>
      <c r="K251" s="18"/>
      <c r="L251" s="18"/>
      <c r="M251" s="18"/>
      <c r="N251" s="18"/>
      <c r="O251" s="18"/>
      <c r="P251" s="18"/>
      <c r="Q251" s="18"/>
      <c r="R251" s="18"/>
      <c r="S251" s="18"/>
    </row>
    <row r="252" spans="2:19" ht="15" thickTop="1" x14ac:dyDescent="0.2">
      <c r="B252" s="2"/>
      <c r="C252" s="92"/>
      <c r="D252" s="3"/>
      <c r="E252" s="3"/>
      <c r="F252" s="3"/>
      <c r="G252" s="3"/>
      <c r="H252" s="3"/>
      <c r="I252" s="3"/>
      <c r="J252" s="3"/>
      <c r="K252" s="3"/>
      <c r="L252" s="3"/>
      <c r="M252" s="3"/>
      <c r="N252" s="3"/>
      <c r="O252" s="3"/>
      <c r="P252" s="3"/>
      <c r="Q252" s="3"/>
      <c r="R252" s="3"/>
      <c r="S252" s="19"/>
    </row>
    <row r="253" spans="2:19" ht="15.75" x14ac:dyDescent="0.25">
      <c r="B253" s="4"/>
      <c r="C253" s="88" t="s">
        <v>1463</v>
      </c>
      <c r="D253" s="61"/>
      <c r="E253" s="5"/>
      <c r="F253" s="5"/>
      <c r="G253" s="5"/>
      <c r="H253" s="5"/>
      <c r="I253" s="5"/>
      <c r="J253" s="5"/>
      <c r="K253" s="5"/>
      <c r="L253" s="5"/>
      <c r="M253" s="5"/>
      <c r="N253" s="5"/>
      <c r="O253" s="5"/>
      <c r="P253" s="5"/>
      <c r="Q253" s="5"/>
      <c r="R253" s="5"/>
      <c r="S253" s="6"/>
    </row>
    <row r="254" spans="2:19" ht="16.5" thickBot="1" x14ac:dyDescent="0.3">
      <c r="B254" s="4"/>
      <c r="C254" s="88"/>
      <c r="D254" s="61"/>
      <c r="E254" s="5"/>
      <c r="F254" s="5"/>
      <c r="G254" s="5"/>
      <c r="H254" s="5"/>
      <c r="I254" s="5"/>
      <c r="J254" s="5"/>
      <c r="K254" s="552" t="s">
        <v>1530</v>
      </c>
      <c r="L254" s="552"/>
      <c r="M254" s="552"/>
      <c r="N254" s="95"/>
      <c r="O254" s="552" t="s">
        <v>1531</v>
      </c>
      <c r="P254" s="552"/>
      <c r="Q254" s="552"/>
      <c r="R254" s="134"/>
      <c r="S254" s="135"/>
    </row>
    <row r="255" spans="2:19" s="110" customFormat="1" ht="16.5" thickTop="1" thickBot="1" x14ac:dyDescent="0.3">
      <c r="B255" s="105"/>
      <c r="C255" s="106">
        <v>9.1</v>
      </c>
      <c r="D255" s="76" t="s">
        <v>1394</v>
      </c>
      <c r="E255" s="50"/>
      <c r="F255" s="108"/>
      <c r="G255" s="108"/>
      <c r="H255" s="557" t="str">
        <f>IF((SUM(K257,K261))&lt;&gt;K255,(SUM(K257,K261)),"")</f>
        <v/>
      </c>
      <c r="I255" s="567"/>
      <c r="J255" s="568"/>
      <c r="K255" s="530">
        <f>SUM(K257,K261)</f>
        <v>0</v>
      </c>
      <c r="L255" s="531"/>
      <c r="M255" s="532"/>
      <c r="N255" s="109"/>
      <c r="O255" s="530">
        <f>SUM(O257,O261)</f>
        <v>0</v>
      </c>
      <c r="P255" s="531"/>
      <c r="Q255" s="532"/>
      <c r="R255" s="566" t="str">
        <f>IF((SUM(O257,O261))&lt;&gt;O255,(SUM(O257,O261)),"")</f>
        <v/>
      </c>
      <c r="S255" s="554"/>
    </row>
    <row r="256" spans="2:19" ht="16.5" thickTop="1" thickBot="1" x14ac:dyDescent="0.3">
      <c r="B256" s="4"/>
      <c r="C256" s="84"/>
      <c r="D256" s="75"/>
      <c r="E256" s="67"/>
      <c r="F256" s="5"/>
      <c r="G256" s="5"/>
      <c r="H256" s="139"/>
      <c r="I256" s="139"/>
      <c r="J256" s="139"/>
      <c r="K256" s="139"/>
      <c r="L256" s="5"/>
      <c r="M256" s="139"/>
      <c r="N256" s="139"/>
      <c r="O256" s="139"/>
      <c r="P256" s="5"/>
      <c r="Q256" s="139"/>
      <c r="R256" s="134"/>
      <c r="S256" s="135"/>
    </row>
    <row r="257" spans="2:19" ht="15.75" thickBot="1" x14ac:dyDescent="0.3">
      <c r="B257" s="4"/>
      <c r="C257" s="93" t="s">
        <v>813</v>
      </c>
      <c r="D257" s="77" t="s">
        <v>1395</v>
      </c>
      <c r="E257" s="5"/>
      <c r="F257" s="5"/>
      <c r="G257" s="5"/>
      <c r="H257" s="557" t="str">
        <f>IF((SUM(K258:M259))&lt;&gt;K257,(SUM(K258:M259)),"")</f>
        <v/>
      </c>
      <c r="I257" s="567"/>
      <c r="J257" s="568"/>
      <c r="K257" s="509">
        <f>SUM(K258:M259)</f>
        <v>0</v>
      </c>
      <c r="L257" s="510"/>
      <c r="M257" s="511"/>
      <c r="N257" s="5"/>
      <c r="O257" s="512">
        <f>SUM(O258:Q259)</f>
        <v>0</v>
      </c>
      <c r="P257" s="513"/>
      <c r="Q257" s="514"/>
      <c r="R257" s="566" t="str">
        <f>IF((SUM(O258:O259))&lt;&gt;O257,(SUM(O258:O259)),"")</f>
        <v/>
      </c>
      <c r="S257" s="554"/>
    </row>
    <row r="258" spans="2:19" ht="15" x14ac:dyDescent="0.25">
      <c r="B258" s="4"/>
      <c r="C258" s="89" t="s">
        <v>1008</v>
      </c>
      <c r="D258" s="66" t="s">
        <v>1396</v>
      </c>
      <c r="E258" s="5"/>
      <c r="F258" s="5"/>
      <c r="G258" s="5"/>
      <c r="H258" s="139"/>
      <c r="I258" s="139"/>
      <c r="J258" s="139"/>
      <c r="K258" s="506"/>
      <c r="L258" s="507"/>
      <c r="M258" s="508"/>
      <c r="N258" s="5"/>
      <c r="O258" s="506"/>
      <c r="P258" s="507"/>
      <c r="Q258" s="508"/>
      <c r="R258" s="134"/>
      <c r="S258" s="135"/>
    </row>
    <row r="259" spans="2:19" ht="15" x14ac:dyDescent="0.25">
      <c r="B259" s="4"/>
      <c r="C259" s="89" t="s">
        <v>1010</v>
      </c>
      <c r="D259" s="66" t="s">
        <v>1397</v>
      </c>
      <c r="E259" s="5"/>
      <c r="F259" s="5"/>
      <c r="G259" s="5"/>
      <c r="H259" s="139"/>
      <c r="I259" s="139"/>
      <c r="J259" s="139"/>
      <c r="K259" s="515"/>
      <c r="L259" s="516"/>
      <c r="M259" s="517"/>
      <c r="N259" s="5"/>
      <c r="O259" s="515"/>
      <c r="P259" s="516"/>
      <c r="Q259" s="517"/>
      <c r="R259" s="134"/>
      <c r="S259" s="135"/>
    </row>
    <row r="260" spans="2:19" ht="15.75" thickBot="1" x14ac:dyDescent="0.3">
      <c r="B260" s="4"/>
      <c r="C260" s="84"/>
      <c r="D260" s="66"/>
      <c r="E260" s="5"/>
      <c r="F260" s="5"/>
      <c r="G260" s="5"/>
      <c r="H260" s="139"/>
      <c r="I260" s="139"/>
      <c r="J260" s="139"/>
      <c r="K260" s="139"/>
      <c r="L260" s="5"/>
      <c r="M260" s="139"/>
      <c r="N260" s="5"/>
      <c r="O260" s="139"/>
      <c r="P260" s="5"/>
      <c r="Q260" s="139"/>
      <c r="R260" s="134"/>
      <c r="S260" s="135"/>
    </row>
    <row r="261" spans="2:19" ht="15.75" thickBot="1" x14ac:dyDescent="0.3">
      <c r="B261" s="4"/>
      <c r="C261" s="93" t="s">
        <v>814</v>
      </c>
      <c r="D261" s="77" t="s">
        <v>1398</v>
      </c>
      <c r="E261" s="5"/>
      <c r="F261" s="5"/>
      <c r="G261" s="5"/>
      <c r="H261" s="557" t="str">
        <f>IF((SUM(K262:M264))&lt;&gt;K261,(SUM(K262:M264)),"")</f>
        <v/>
      </c>
      <c r="I261" s="567"/>
      <c r="J261" s="568"/>
      <c r="K261" s="512">
        <f>SUM(K262:M264)</f>
        <v>0</v>
      </c>
      <c r="L261" s="513"/>
      <c r="M261" s="514"/>
      <c r="N261" s="5"/>
      <c r="O261" s="512">
        <f>SUM(O262:Q264)</f>
        <v>0</v>
      </c>
      <c r="P261" s="513"/>
      <c r="Q261" s="514"/>
      <c r="R261" s="566" t="str">
        <f>IF((SUM(O262:O264))&lt;&gt;O261,(SUM(O262:O264)),"")</f>
        <v/>
      </c>
      <c r="S261" s="554"/>
    </row>
    <row r="262" spans="2:19" ht="15" x14ac:dyDescent="0.25">
      <c r="B262" s="4"/>
      <c r="C262" s="89" t="s">
        <v>1009</v>
      </c>
      <c r="D262" s="66" t="s">
        <v>1399</v>
      </c>
      <c r="E262" s="5"/>
      <c r="F262" s="5"/>
      <c r="G262" s="5"/>
      <c r="H262" s="139"/>
      <c r="I262" s="139"/>
      <c r="J262" s="139"/>
      <c r="K262" s="521"/>
      <c r="L262" s="522"/>
      <c r="M262" s="523"/>
      <c r="N262" s="5"/>
      <c r="O262" s="521"/>
      <c r="P262" s="522"/>
      <c r="Q262" s="523"/>
      <c r="R262" s="134"/>
      <c r="S262" s="135"/>
    </row>
    <row r="263" spans="2:19" x14ac:dyDescent="0.2">
      <c r="B263" s="4"/>
      <c r="C263" s="84"/>
      <c r="D263" s="150" t="s">
        <v>1782</v>
      </c>
      <c r="E263" s="5"/>
      <c r="F263" s="5"/>
      <c r="G263" s="5"/>
      <c r="H263" s="139"/>
      <c r="I263" s="139"/>
      <c r="J263" s="139"/>
      <c r="K263" s="515"/>
      <c r="L263" s="516"/>
      <c r="M263" s="517"/>
      <c r="N263" s="5"/>
      <c r="O263" s="515"/>
      <c r="P263" s="516"/>
      <c r="Q263" s="517"/>
      <c r="R263" s="139"/>
      <c r="S263" s="6"/>
    </row>
    <row r="264" spans="2:19" ht="15" x14ac:dyDescent="0.25">
      <c r="B264" s="4"/>
      <c r="C264" s="89" t="s">
        <v>1011</v>
      </c>
      <c r="D264" s="66" t="s">
        <v>1397</v>
      </c>
      <c r="E264" s="5"/>
      <c r="F264" s="5"/>
      <c r="G264" s="5"/>
      <c r="H264" s="139"/>
      <c r="I264" s="139"/>
      <c r="J264" s="139"/>
      <c r="K264" s="506"/>
      <c r="L264" s="507"/>
      <c r="M264" s="508"/>
      <c r="N264" s="5"/>
      <c r="O264" s="506"/>
      <c r="P264" s="507"/>
      <c r="Q264" s="508"/>
      <c r="R264" s="134"/>
      <c r="S264" s="135"/>
    </row>
    <row r="265" spans="2:19" ht="15" thickBot="1" x14ac:dyDescent="0.25">
      <c r="B265" s="4"/>
      <c r="C265" s="84"/>
      <c r="D265" s="66"/>
      <c r="E265" s="5"/>
      <c r="F265" s="5"/>
      <c r="G265" s="5"/>
      <c r="H265" s="139"/>
      <c r="I265" s="139"/>
      <c r="J265" s="139"/>
      <c r="K265" s="139"/>
      <c r="L265" s="5"/>
      <c r="M265" s="139"/>
      <c r="N265" s="5"/>
      <c r="O265" s="139"/>
      <c r="P265" s="139"/>
      <c r="Q265" s="5"/>
      <c r="R265" s="139"/>
      <c r="S265" s="6"/>
    </row>
    <row r="266" spans="2:19" s="110" customFormat="1" ht="16.5" thickTop="1" thickBot="1" x14ac:dyDescent="0.3">
      <c r="B266" s="105"/>
      <c r="C266" s="106">
        <v>9.1999999999999993</v>
      </c>
      <c r="D266" s="76" t="s">
        <v>1400</v>
      </c>
      <c r="E266" s="108"/>
      <c r="F266" s="108"/>
      <c r="G266" s="108"/>
      <c r="H266" s="557" t="str">
        <f>IF((SUM(K267:M268))&lt;&gt;K266,(SUM(K267:M268)),"")</f>
        <v/>
      </c>
      <c r="I266" s="567"/>
      <c r="J266" s="568"/>
      <c r="K266" s="518">
        <f>SUM(K267:M268)</f>
        <v>0</v>
      </c>
      <c r="L266" s="519"/>
      <c r="M266" s="520"/>
      <c r="N266" s="108"/>
      <c r="O266" s="518">
        <f>SUM(O267:Q268)</f>
        <v>0</v>
      </c>
      <c r="P266" s="519"/>
      <c r="Q266" s="520"/>
      <c r="R266" s="566" t="str">
        <f>IF((SUM(O267:O268))&lt;&gt;O266,(SUM(O267:O268)),"")</f>
        <v/>
      </c>
      <c r="S266" s="554"/>
    </row>
    <row r="267" spans="2:19" ht="15.75" thickTop="1" x14ac:dyDescent="0.25">
      <c r="B267" s="4"/>
      <c r="C267" s="93" t="s">
        <v>824</v>
      </c>
      <c r="D267" s="66" t="s">
        <v>1402</v>
      </c>
      <c r="E267" s="5"/>
      <c r="F267" s="5"/>
      <c r="G267" s="5"/>
      <c r="H267" s="139"/>
      <c r="I267" s="139"/>
      <c r="J267" s="139"/>
      <c r="K267" s="506"/>
      <c r="L267" s="507"/>
      <c r="M267" s="508"/>
      <c r="N267" s="5"/>
      <c r="O267" s="506"/>
      <c r="P267" s="507"/>
      <c r="Q267" s="508"/>
      <c r="R267" s="134"/>
      <c r="S267" s="135"/>
    </row>
    <row r="268" spans="2:19" ht="15" x14ac:dyDescent="0.25">
      <c r="B268" s="4"/>
      <c r="C268" s="93" t="s">
        <v>824</v>
      </c>
      <c r="D268" s="66" t="s">
        <v>1401</v>
      </c>
      <c r="E268" s="5"/>
      <c r="F268" s="5"/>
      <c r="G268" s="5"/>
      <c r="H268" s="139"/>
      <c r="I268" s="139"/>
      <c r="J268" s="139"/>
      <c r="K268" s="515"/>
      <c r="L268" s="516"/>
      <c r="M268" s="517"/>
      <c r="N268" s="5"/>
      <c r="O268" s="515"/>
      <c r="P268" s="516"/>
      <c r="Q268" s="517"/>
      <c r="R268" s="134"/>
      <c r="S268" s="135"/>
    </row>
    <row r="269" spans="2:19" ht="15" thickBot="1" x14ac:dyDescent="0.25">
      <c r="B269" s="4"/>
      <c r="C269" s="84"/>
      <c r="D269" s="66"/>
      <c r="E269" s="5"/>
      <c r="F269" s="5"/>
      <c r="G269" s="5"/>
      <c r="H269" s="139"/>
      <c r="I269" s="139"/>
      <c r="J269" s="139"/>
      <c r="K269" s="139"/>
      <c r="L269" s="5"/>
      <c r="M269" s="139"/>
      <c r="N269" s="5"/>
      <c r="O269" s="139"/>
      <c r="P269" s="139"/>
      <c r="Q269" s="5"/>
      <c r="R269" s="139"/>
      <c r="S269" s="6"/>
    </row>
    <row r="270" spans="2:19" s="110" customFormat="1" ht="16.5" thickTop="1" thickBot="1" x14ac:dyDescent="0.3">
      <c r="B270" s="105"/>
      <c r="C270" s="106">
        <v>9.3000000000000007</v>
      </c>
      <c r="D270" s="76" t="s">
        <v>1403</v>
      </c>
      <c r="E270" s="108"/>
      <c r="F270" s="108"/>
      <c r="G270" s="108"/>
      <c r="H270" s="557" t="str">
        <f>IF((K255-K266)&lt;&gt;K270,(K255-K266),"")</f>
        <v/>
      </c>
      <c r="I270" s="567"/>
      <c r="J270" s="568"/>
      <c r="K270" s="530">
        <f>K255-K266</f>
        <v>0</v>
      </c>
      <c r="L270" s="531"/>
      <c r="M270" s="532"/>
      <c r="N270" s="109"/>
      <c r="O270" s="530">
        <f>O255-O266</f>
        <v>0</v>
      </c>
      <c r="P270" s="531"/>
      <c r="Q270" s="532"/>
      <c r="R270" s="566" t="str">
        <f>IF((O255-O266)&lt;&gt;O270,(O255-O266),"")</f>
        <v/>
      </c>
      <c r="S270" s="569"/>
    </row>
    <row r="271" spans="2:19" ht="15.75" thickTop="1" thickBot="1" x14ac:dyDescent="0.25">
      <c r="B271" s="27"/>
      <c r="C271" s="16"/>
      <c r="D271" s="16"/>
      <c r="E271" s="16"/>
      <c r="F271" s="16"/>
      <c r="G271" s="16"/>
      <c r="H271" s="16"/>
      <c r="I271" s="16"/>
      <c r="J271" s="16"/>
      <c r="K271" s="16"/>
      <c r="L271" s="16"/>
      <c r="M271" s="16"/>
      <c r="N271" s="16"/>
      <c r="O271" s="16"/>
      <c r="P271" s="16"/>
      <c r="Q271" s="16"/>
      <c r="R271" s="16"/>
      <c r="S271" s="17"/>
    </row>
    <row r="272" spans="2:19" ht="15.75" thickTop="1" thickBot="1" x14ac:dyDescent="0.25">
      <c r="B272" s="18"/>
      <c r="C272" s="18"/>
      <c r="D272" s="18"/>
      <c r="E272" s="18"/>
      <c r="F272" s="18"/>
      <c r="G272" s="18"/>
      <c r="H272" s="18"/>
      <c r="I272" s="18"/>
      <c r="J272" s="18"/>
      <c r="K272" s="18"/>
      <c r="L272" s="18"/>
      <c r="M272" s="18"/>
      <c r="N272" s="18"/>
      <c r="O272" s="18"/>
      <c r="P272" s="18"/>
      <c r="Q272" s="18"/>
      <c r="R272" s="18"/>
      <c r="S272" s="18"/>
    </row>
    <row r="273" spans="2:19" ht="15" thickTop="1" x14ac:dyDescent="0.2">
      <c r="B273" s="2"/>
      <c r="C273" s="3"/>
      <c r="D273" s="3"/>
      <c r="E273" s="3"/>
      <c r="F273" s="3"/>
      <c r="G273" s="3"/>
      <c r="H273" s="3"/>
      <c r="I273" s="3"/>
      <c r="J273" s="3"/>
      <c r="K273" s="3"/>
      <c r="L273" s="3"/>
      <c r="M273" s="3"/>
      <c r="N273" s="3"/>
      <c r="O273" s="3"/>
      <c r="P273" s="3"/>
      <c r="Q273" s="3"/>
      <c r="R273" s="3"/>
      <c r="S273" s="19"/>
    </row>
    <row r="274" spans="2:19" ht="15.75" x14ac:dyDescent="0.25">
      <c r="B274" s="4"/>
      <c r="C274" s="20" t="s">
        <v>1464</v>
      </c>
      <c r="D274" s="61"/>
      <c r="E274" s="5"/>
      <c r="F274" s="5"/>
      <c r="G274" s="5"/>
      <c r="H274" s="5"/>
      <c r="I274" s="5"/>
      <c r="J274" s="5"/>
      <c r="K274" s="5"/>
      <c r="L274" s="5"/>
      <c r="M274" s="5"/>
      <c r="N274" s="5"/>
      <c r="O274" s="5"/>
      <c r="P274" s="5"/>
      <c r="Q274" s="5"/>
      <c r="R274" s="5"/>
      <c r="S274" s="6"/>
    </row>
    <row r="275" spans="2:19" ht="15.75" x14ac:dyDescent="0.25">
      <c r="B275" s="4"/>
      <c r="C275" s="20"/>
      <c r="D275" s="61"/>
      <c r="E275" s="5"/>
      <c r="F275" s="5"/>
      <c r="G275" s="5"/>
      <c r="H275" s="5"/>
      <c r="I275" s="5"/>
      <c r="J275" s="5"/>
      <c r="K275" s="641">
        <v>2012</v>
      </c>
      <c r="L275" s="641"/>
      <c r="M275" s="642"/>
      <c r="N275" s="87"/>
      <c r="O275" s="641">
        <v>2011</v>
      </c>
      <c r="P275" s="641"/>
      <c r="Q275" s="642"/>
      <c r="R275" s="5"/>
      <c r="S275" s="6"/>
    </row>
    <row r="276" spans="2:19" x14ac:dyDescent="0.2">
      <c r="B276" s="4"/>
      <c r="C276" s="84">
        <v>10.1</v>
      </c>
      <c r="D276" s="66" t="s">
        <v>1404</v>
      </c>
      <c r="E276" s="67"/>
      <c r="F276" s="5"/>
      <c r="G276" s="5"/>
      <c r="H276" s="5"/>
      <c r="I276" s="5"/>
      <c r="J276" s="139"/>
      <c r="K276" s="372"/>
      <c r="L276" s="373"/>
      <c r="M276" s="374"/>
      <c r="N276" s="139"/>
      <c r="O276" s="372"/>
      <c r="P276" s="373"/>
      <c r="Q276" s="374"/>
      <c r="R276" s="5"/>
      <c r="S276" s="6"/>
    </row>
    <row r="277" spans="2:19" ht="15.75" x14ac:dyDescent="0.25">
      <c r="B277" s="4"/>
      <c r="C277" s="88"/>
      <c r="D277" s="74" t="s">
        <v>1405</v>
      </c>
      <c r="E277" s="5"/>
      <c r="F277" s="5"/>
      <c r="G277" s="5"/>
      <c r="H277" s="5"/>
      <c r="I277" s="5"/>
      <c r="J277" s="5"/>
      <c r="K277" s="5"/>
      <c r="L277" s="5"/>
      <c r="M277" s="5"/>
      <c r="N277" s="5"/>
      <c r="O277" s="139"/>
      <c r="P277" s="139"/>
      <c r="Q277" s="139"/>
      <c r="R277" s="5"/>
      <c r="S277" s="6"/>
    </row>
    <row r="278" spans="2:19" x14ac:dyDescent="0.2">
      <c r="B278" s="4"/>
      <c r="C278" s="84">
        <v>10.199999999999999</v>
      </c>
      <c r="D278" s="66" t="s">
        <v>1406</v>
      </c>
      <c r="E278" s="5"/>
      <c r="F278" s="5"/>
      <c r="G278" s="5"/>
      <c r="H278" s="5"/>
      <c r="I278" s="5"/>
      <c r="J278" s="5"/>
      <c r="K278" s="139" t="s">
        <v>946</v>
      </c>
      <c r="L278" s="5"/>
      <c r="M278" s="139" t="s">
        <v>947</v>
      </c>
      <c r="N278" s="5"/>
      <c r="O278" s="139" t="s">
        <v>948</v>
      </c>
      <c r="P278" s="139"/>
      <c r="Q278" s="5" t="s">
        <v>1478</v>
      </c>
      <c r="R278" s="139"/>
      <c r="S278" s="6"/>
    </row>
    <row r="279" spans="2:19" ht="15.75" x14ac:dyDescent="0.25">
      <c r="B279" s="4"/>
      <c r="C279" s="20"/>
      <c r="D279" s="66" t="s">
        <v>1407</v>
      </c>
      <c r="E279" s="5"/>
      <c r="F279" s="5"/>
      <c r="G279" s="5"/>
      <c r="H279" s="5"/>
      <c r="I279" s="5"/>
      <c r="J279" s="5"/>
      <c r="K279" s="330"/>
      <c r="L279" s="5"/>
      <c r="M279" s="330"/>
      <c r="N279" s="139"/>
      <c r="O279" s="330"/>
      <c r="P279" s="139"/>
      <c r="Q279" s="330"/>
      <c r="R279" s="5"/>
      <c r="S279" s="6"/>
    </row>
    <row r="280" spans="2:19" ht="15" thickBot="1" x14ac:dyDescent="0.25">
      <c r="B280" s="27"/>
      <c r="C280" s="16"/>
      <c r="D280" s="16"/>
      <c r="E280" s="16"/>
      <c r="F280" s="16"/>
      <c r="G280" s="16"/>
      <c r="H280" s="16"/>
      <c r="I280" s="16"/>
      <c r="J280" s="16"/>
      <c r="K280" s="16"/>
      <c r="L280" s="16"/>
      <c r="M280" s="16"/>
      <c r="N280" s="16"/>
      <c r="O280" s="16"/>
      <c r="P280" s="16"/>
      <c r="Q280" s="16"/>
      <c r="R280" s="16"/>
      <c r="S280" s="17"/>
    </row>
    <row r="281" spans="2:19" ht="15.75" thickTop="1" thickBot="1" x14ac:dyDescent="0.25">
      <c r="B281" s="18"/>
      <c r="C281" s="18"/>
      <c r="D281" s="18"/>
      <c r="E281" s="18"/>
      <c r="F281" s="18"/>
      <c r="G281" s="18"/>
      <c r="H281" s="18"/>
      <c r="I281" s="18"/>
      <c r="J281" s="18"/>
      <c r="K281" s="18"/>
      <c r="L281" s="18"/>
      <c r="M281" s="18"/>
      <c r="N281" s="18"/>
      <c r="O281" s="18"/>
      <c r="P281" s="18"/>
      <c r="Q281" s="18"/>
      <c r="R281" s="18"/>
      <c r="S281" s="18"/>
    </row>
    <row r="282" spans="2:19" ht="15" thickTop="1" x14ac:dyDescent="0.2">
      <c r="B282" s="2"/>
      <c r="C282" s="3"/>
      <c r="D282" s="3"/>
      <c r="E282" s="3"/>
      <c r="F282" s="3"/>
      <c r="G282" s="3"/>
      <c r="H282" s="3"/>
      <c r="I282" s="3"/>
      <c r="J282" s="3"/>
      <c r="K282" s="3"/>
      <c r="L282" s="3"/>
      <c r="M282" s="3"/>
      <c r="N282" s="3"/>
      <c r="O282" s="3"/>
      <c r="P282" s="3"/>
      <c r="Q282" s="3"/>
      <c r="R282" s="3"/>
      <c r="S282" s="19"/>
    </row>
    <row r="283" spans="2:19" ht="15.75" x14ac:dyDescent="0.25">
      <c r="B283" s="4"/>
      <c r="C283" s="20" t="s">
        <v>1465</v>
      </c>
      <c r="D283" s="66"/>
      <c r="E283" s="5"/>
      <c r="F283" s="5"/>
      <c r="G283" s="5"/>
      <c r="H283" s="5"/>
      <c r="I283" s="5"/>
      <c r="J283" s="5"/>
      <c r="K283" s="139"/>
      <c r="L283" s="5"/>
      <c r="M283" s="139"/>
      <c r="N283" s="5"/>
      <c r="O283" s="139"/>
      <c r="P283" s="139"/>
      <c r="Q283" s="5"/>
      <c r="R283" s="139"/>
      <c r="S283" s="6"/>
    </row>
    <row r="284" spans="2:19" ht="15.75" thickBot="1" x14ac:dyDescent="0.3">
      <c r="B284" s="4"/>
      <c r="C284" s="13"/>
      <c r="D284" s="66"/>
      <c r="E284" s="5"/>
      <c r="F284" s="5"/>
      <c r="G284" s="5"/>
      <c r="H284" s="5"/>
      <c r="I284" s="5"/>
      <c r="J284" s="5"/>
      <c r="K284" s="552" t="s">
        <v>1530</v>
      </c>
      <c r="L284" s="552"/>
      <c r="M284" s="552"/>
      <c r="N284" s="95"/>
      <c r="O284" s="552" t="s">
        <v>1531</v>
      </c>
      <c r="P284" s="552"/>
      <c r="Q284" s="552"/>
      <c r="R284" s="139"/>
      <c r="S284" s="6"/>
    </row>
    <row r="285" spans="2:19" s="110" customFormat="1" ht="15.75" thickBot="1" x14ac:dyDescent="0.3">
      <c r="B285" s="105"/>
      <c r="C285" s="106">
        <v>11.1</v>
      </c>
      <c r="D285" s="58" t="s">
        <v>1408</v>
      </c>
      <c r="E285" s="108"/>
      <c r="F285" s="108"/>
      <c r="G285" s="108"/>
      <c r="H285" s="108"/>
      <c r="I285" s="557" t="str">
        <f>IF(SUM(K287:K291,K293)=0, "", SUM(K287:K291,K293))</f>
        <v/>
      </c>
      <c r="J285" s="558"/>
      <c r="K285" s="435">
        <f>K199</f>
        <v>0</v>
      </c>
      <c r="L285" s="436"/>
      <c r="M285" s="437"/>
      <c r="N285" s="109"/>
      <c r="O285" s="435">
        <f>O199</f>
        <v>0</v>
      </c>
      <c r="P285" s="436"/>
      <c r="Q285" s="437"/>
      <c r="R285" s="557" t="str">
        <f>IF(SUM(O287:O291,O293)=0, "", SUM(O287:O291,O293))</f>
        <v/>
      </c>
      <c r="S285" s="558"/>
    </row>
    <row r="286" spans="2:19" ht="15" x14ac:dyDescent="0.25">
      <c r="B286" s="4"/>
      <c r="C286" s="84"/>
      <c r="D286" s="66"/>
      <c r="E286" s="5"/>
      <c r="F286" s="5"/>
      <c r="G286" s="5"/>
      <c r="H286" s="5"/>
      <c r="I286" s="5"/>
      <c r="J286" s="5"/>
      <c r="K286" s="564"/>
      <c r="L286" s="565"/>
      <c r="M286" s="565"/>
      <c r="N286" s="139"/>
      <c r="O286" s="564"/>
      <c r="P286" s="565"/>
      <c r="Q286" s="565"/>
      <c r="R286" s="139"/>
      <c r="S286" s="6"/>
    </row>
    <row r="287" spans="2:19" ht="15" x14ac:dyDescent="0.25">
      <c r="B287" s="4"/>
      <c r="C287" s="93" t="s">
        <v>825</v>
      </c>
      <c r="D287" s="66" t="s">
        <v>1409</v>
      </c>
      <c r="E287" s="5"/>
      <c r="F287" s="5"/>
      <c r="G287" s="5"/>
      <c r="H287" s="5"/>
      <c r="I287" s="5"/>
      <c r="J287" s="5"/>
      <c r="K287" s="372"/>
      <c r="L287" s="373"/>
      <c r="M287" s="374"/>
      <c r="N287" s="134"/>
      <c r="O287" s="372"/>
      <c r="P287" s="373"/>
      <c r="Q287" s="374"/>
      <c r="R287" s="139"/>
      <c r="S287" s="6"/>
    </row>
    <row r="288" spans="2:19" ht="15" x14ac:dyDescent="0.25">
      <c r="B288" s="4"/>
      <c r="C288" s="93" t="s">
        <v>826</v>
      </c>
      <c r="D288" s="66" t="s">
        <v>1412</v>
      </c>
      <c r="E288" s="5"/>
      <c r="F288" s="5"/>
      <c r="G288" s="5"/>
      <c r="H288" s="5"/>
      <c r="I288" s="5"/>
      <c r="J288" s="5"/>
      <c r="K288" s="372"/>
      <c r="L288" s="373"/>
      <c r="M288" s="374"/>
      <c r="N288" s="134"/>
      <c r="O288" s="372"/>
      <c r="P288" s="373"/>
      <c r="Q288" s="374"/>
      <c r="R288" s="139"/>
      <c r="S288" s="6"/>
    </row>
    <row r="289" spans="2:19" ht="15" x14ac:dyDescent="0.25">
      <c r="B289" s="4"/>
      <c r="C289" s="93" t="s">
        <v>827</v>
      </c>
      <c r="D289" s="66" t="s">
        <v>1413</v>
      </c>
      <c r="E289" s="5"/>
      <c r="F289" s="5"/>
      <c r="G289" s="5"/>
      <c r="H289" s="5"/>
      <c r="I289" s="5"/>
      <c r="J289" s="5"/>
      <c r="K289" s="372"/>
      <c r="L289" s="373"/>
      <c r="M289" s="374"/>
      <c r="N289" s="134"/>
      <c r="O289" s="372"/>
      <c r="P289" s="373"/>
      <c r="Q289" s="374"/>
      <c r="R289" s="139"/>
      <c r="S289" s="6"/>
    </row>
    <row r="290" spans="2:19" ht="15" x14ac:dyDescent="0.25">
      <c r="B290" s="4"/>
      <c r="C290" s="93" t="s">
        <v>1038</v>
      </c>
      <c r="D290" s="66" t="s">
        <v>1410</v>
      </c>
      <c r="E290" s="5"/>
      <c r="F290" s="5"/>
      <c r="G290" s="5"/>
      <c r="H290" s="5"/>
      <c r="I290" s="5"/>
      <c r="J290" s="5"/>
      <c r="K290" s="372"/>
      <c r="L290" s="373"/>
      <c r="M290" s="374"/>
      <c r="N290" s="134"/>
      <c r="O290" s="372"/>
      <c r="P290" s="373"/>
      <c r="Q290" s="374"/>
      <c r="R290" s="139"/>
      <c r="S290" s="6"/>
    </row>
    <row r="291" spans="2:19" x14ac:dyDescent="0.2">
      <c r="B291" s="4"/>
      <c r="C291" s="93" t="s">
        <v>1039</v>
      </c>
      <c r="D291" s="66" t="s">
        <v>1411</v>
      </c>
      <c r="E291" s="5"/>
      <c r="F291" s="5"/>
      <c r="G291" s="5"/>
      <c r="H291" s="5"/>
      <c r="I291" s="5"/>
      <c r="J291" s="5"/>
      <c r="K291" s="372"/>
      <c r="L291" s="373"/>
      <c r="M291" s="374"/>
      <c r="N291" s="5"/>
      <c r="O291" s="372"/>
      <c r="P291" s="373"/>
      <c r="Q291" s="374"/>
      <c r="R291" s="139"/>
      <c r="S291" s="6"/>
    </row>
    <row r="292" spans="2:19" ht="15" x14ac:dyDescent="0.25">
      <c r="B292" s="4"/>
      <c r="C292" s="93" t="s">
        <v>1040</v>
      </c>
      <c r="D292" s="66" t="s">
        <v>1414</v>
      </c>
      <c r="E292" s="5"/>
      <c r="F292" s="5"/>
      <c r="G292" s="5"/>
      <c r="H292" s="5"/>
      <c r="I292" s="5"/>
      <c r="J292" s="5"/>
      <c r="K292" s="559"/>
      <c r="L292" s="560"/>
      <c r="M292" s="560"/>
      <c r="N292" s="5"/>
      <c r="O292" s="559"/>
      <c r="P292" s="560"/>
      <c r="Q292" s="560"/>
      <c r="R292" s="139"/>
      <c r="S292" s="6"/>
    </row>
    <row r="293" spans="2:19" ht="15" x14ac:dyDescent="0.25">
      <c r="B293" s="4"/>
      <c r="C293" s="13"/>
      <c r="D293" s="561"/>
      <c r="E293" s="562"/>
      <c r="F293" s="562"/>
      <c r="G293" s="562"/>
      <c r="H293" s="562"/>
      <c r="I293" s="563"/>
      <c r="J293" s="5"/>
      <c r="K293" s="372"/>
      <c r="L293" s="373"/>
      <c r="M293" s="374"/>
      <c r="N293" s="5"/>
      <c r="O293" s="372"/>
      <c r="P293" s="373"/>
      <c r="Q293" s="374"/>
      <c r="R293" s="139"/>
      <c r="S293" s="6"/>
    </row>
    <row r="294" spans="2:19" ht="15.75" thickBot="1" x14ac:dyDescent="0.3">
      <c r="B294" s="27"/>
      <c r="C294" s="16"/>
      <c r="D294" s="16"/>
      <c r="E294" s="16"/>
      <c r="F294" s="16"/>
      <c r="G294" s="16"/>
      <c r="H294" s="16"/>
      <c r="I294" s="16"/>
      <c r="J294" s="16"/>
      <c r="K294" s="555"/>
      <c r="L294" s="556"/>
      <c r="M294" s="556"/>
      <c r="N294" s="16"/>
      <c r="O294" s="555"/>
      <c r="P294" s="556"/>
      <c r="Q294" s="556"/>
      <c r="R294" s="16"/>
      <c r="S294" s="17"/>
    </row>
    <row r="295" spans="2:19" ht="15.75" thickTop="1" thickBot="1" x14ac:dyDescent="0.25">
      <c r="B295" s="18"/>
      <c r="C295" s="18"/>
      <c r="D295" s="18"/>
      <c r="E295" s="18"/>
      <c r="F295" s="18"/>
      <c r="G295" s="18"/>
      <c r="H295" s="18"/>
      <c r="I295" s="18"/>
      <c r="J295" s="18"/>
      <c r="K295" s="18"/>
      <c r="L295" s="18"/>
      <c r="M295" s="18"/>
      <c r="N295" s="18"/>
      <c r="O295" s="18"/>
      <c r="P295" s="18"/>
      <c r="Q295" s="18"/>
      <c r="R295" s="18"/>
      <c r="S295" s="18"/>
    </row>
    <row r="296" spans="2:19" ht="15" thickTop="1" x14ac:dyDescent="0.2">
      <c r="B296" s="2"/>
      <c r="C296" s="3"/>
      <c r="D296" s="3"/>
      <c r="E296" s="3"/>
      <c r="F296" s="3"/>
      <c r="G296" s="3"/>
      <c r="H296" s="3"/>
      <c r="I296" s="3"/>
      <c r="J296" s="3"/>
      <c r="K296" s="3"/>
      <c r="L296" s="3"/>
      <c r="M296" s="3"/>
      <c r="N296" s="3"/>
      <c r="O296" s="3"/>
      <c r="P296" s="3"/>
      <c r="Q296" s="3"/>
      <c r="R296" s="3"/>
      <c r="S296" s="19"/>
    </row>
    <row r="297" spans="2:19" ht="15.75" x14ac:dyDescent="0.25">
      <c r="B297" s="4"/>
      <c r="C297" s="20" t="s">
        <v>1466</v>
      </c>
      <c r="D297" s="61"/>
      <c r="E297" s="5"/>
      <c r="F297" s="5"/>
      <c r="G297" s="5"/>
      <c r="H297" s="5"/>
      <c r="I297" s="5"/>
      <c r="J297" s="5"/>
      <c r="K297" s="5"/>
      <c r="L297" s="5"/>
      <c r="M297" s="5"/>
      <c r="N297" s="5"/>
      <c r="O297" s="5"/>
      <c r="P297" s="5"/>
      <c r="Q297" s="5"/>
      <c r="R297" s="5"/>
      <c r="S297" s="6"/>
    </row>
    <row r="298" spans="2:19" ht="15.75" x14ac:dyDescent="0.25">
      <c r="B298" s="4"/>
      <c r="C298" s="20"/>
      <c r="D298" s="61"/>
      <c r="E298" s="5"/>
      <c r="F298" s="5"/>
      <c r="G298" s="5"/>
      <c r="H298" s="5"/>
      <c r="I298" s="5"/>
      <c r="J298" s="5"/>
      <c r="K298" s="552" t="s">
        <v>1530</v>
      </c>
      <c r="L298" s="552"/>
      <c r="M298" s="552"/>
      <c r="N298" s="95"/>
      <c r="O298" s="552" t="s">
        <v>1531</v>
      </c>
      <c r="P298" s="552"/>
      <c r="Q298" s="552"/>
      <c r="R298" s="5"/>
      <c r="S298" s="6"/>
    </row>
    <row r="299" spans="2:19" x14ac:dyDescent="0.2">
      <c r="B299" s="4"/>
      <c r="C299" s="84">
        <v>12.1</v>
      </c>
      <c r="D299" s="66" t="s">
        <v>1415</v>
      </c>
      <c r="E299" s="67"/>
      <c r="F299" s="5"/>
      <c r="G299" s="5"/>
      <c r="H299" s="5"/>
      <c r="I299" s="5"/>
      <c r="J299" s="139"/>
      <c r="K299" s="372"/>
      <c r="L299" s="373"/>
      <c r="M299" s="374"/>
      <c r="N299" s="139"/>
      <c r="O299" s="372"/>
      <c r="P299" s="373"/>
      <c r="Q299" s="374"/>
      <c r="R299" s="5"/>
      <c r="S299" s="6"/>
    </row>
    <row r="300" spans="2:19" x14ac:dyDescent="0.2">
      <c r="B300" s="4"/>
      <c r="C300" s="84">
        <v>12.2</v>
      </c>
      <c r="D300" s="66" t="s">
        <v>1416</v>
      </c>
      <c r="E300" s="67"/>
      <c r="F300" s="5"/>
      <c r="G300" s="5"/>
      <c r="H300" s="5"/>
      <c r="I300" s="5"/>
      <c r="J300" s="139"/>
      <c r="K300" s="372"/>
      <c r="L300" s="373"/>
      <c r="M300" s="374"/>
      <c r="N300" s="139"/>
      <c r="O300" s="492"/>
      <c r="P300" s="493"/>
      <c r="Q300" s="529"/>
      <c r="R300" s="5"/>
      <c r="S300" s="6"/>
    </row>
    <row r="301" spans="2:19" ht="15.75" thickBot="1" x14ac:dyDescent="0.3">
      <c r="B301" s="27"/>
      <c r="C301" s="16"/>
      <c r="D301" s="16"/>
      <c r="E301" s="16"/>
      <c r="F301" s="16"/>
      <c r="G301" s="16"/>
      <c r="H301" s="16"/>
      <c r="I301" s="16"/>
      <c r="J301" s="16"/>
      <c r="K301" s="555"/>
      <c r="L301" s="556"/>
      <c r="M301" s="556"/>
      <c r="N301" s="16"/>
      <c r="O301" s="555"/>
      <c r="P301" s="556"/>
      <c r="Q301" s="556"/>
      <c r="R301" s="16"/>
      <c r="S301" s="17"/>
    </row>
    <row r="302" spans="2:19" ht="15.75" thickTop="1" thickBot="1" x14ac:dyDescent="0.25">
      <c r="B302" s="18"/>
      <c r="C302" s="18"/>
      <c r="D302" s="18"/>
      <c r="E302" s="18"/>
      <c r="F302" s="18"/>
      <c r="G302" s="18"/>
      <c r="H302" s="18"/>
      <c r="I302" s="18"/>
      <c r="J302" s="18"/>
      <c r="K302" s="18"/>
      <c r="L302" s="18"/>
      <c r="M302" s="18"/>
      <c r="N302" s="18"/>
      <c r="O302" s="18"/>
      <c r="P302" s="18"/>
      <c r="Q302" s="18"/>
      <c r="R302" s="18"/>
      <c r="S302" s="18"/>
    </row>
    <row r="303" spans="2:19" ht="15" thickTop="1" x14ac:dyDescent="0.2">
      <c r="B303" s="2"/>
      <c r="C303" s="3"/>
      <c r="D303" s="3"/>
      <c r="E303" s="3"/>
      <c r="F303" s="3"/>
      <c r="G303" s="3"/>
      <c r="H303" s="3"/>
      <c r="I303" s="3"/>
      <c r="J303" s="3"/>
      <c r="K303" s="3"/>
      <c r="L303" s="3"/>
      <c r="M303" s="3"/>
      <c r="N303" s="3"/>
      <c r="O303" s="3"/>
      <c r="P303" s="3"/>
      <c r="Q303" s="3"/>
      <c r="R303" s="3"/>
      <c r="S303" s="19"/>
    </row>
    <row r="304" spans="2:19" ht="15.75" x14ac:dyDescent="0.25">
      <c r="B304" s="4"/>
      <c r="C304" s="20" t="s">
        <v>1467</v>
      </c>
      <c r="D304" s="61"/>
      <c r="E304" s="5"/>
      <c r="F304" s="5"/>
      <c r="G304" s="5"/>
      <c r="H304" s="5"/>
      <c r="I304" s="5"/>
      <c r="J304" s="5"/>
      <c r="K304" s="5"/>
      <c r="L304" s="5"/>
      <c r="M304" s="5"/>
      <c r="N304" s="5"/>
      <c r="O304" s="5"/>
      <c r="P304" s="5"/>
      <c r="Q304" s="5"/>
      <c r="R304" s="5"/>
      <c r="S304" s="6"/>
    </row>
    <row r="305" spans="2:19" ht="16.5" thickBot="1" x14ac:dyDescent="0.3">
      <c r="B305" s="4"/>
      <c r="C305" s="20"/>
      <c r="D305" s="61"/>
      <c r="E305" s="5"/>
      <c r="F305" s="5"/>
      <c r="G305" s="5"/>
      <c r="H305" s="5"/>
      <c r="I305" s="5"/>
      <c r="J305" s="5"/>
      <c r="K305" s="552" t="s">
        <v>1530</v>
      </c>
      <c r="L305" s="552"/>
      <c r="M305" s="552"/>
      <c r="N305" s="95"/>
      <c r="O305" s="552" t="s">
        <v>1531</v>
      </c>
      <c r="P305" s="552"/>
      <c r="Q305" s="552"/>
      <c r="R305" s="5"/>
      <c r="S305" s="6"/>
    </row>
    <row r="306" spans="2:19" s="110" customFormat="1" ht="15.75" thickBot="1" x14ac:dyDescent="0.3">
      <c r="B306" s="105"/>
      <c r="C306" s="106">
        <v>13.1</v>
      </c>
      <c r="D306" s="58" t="s">
        <v>1417</v>
      </c>
      <c r="E306" s="111"/>
      <c r="F306" s="108"/>
      <c r="G306" s="108"/>
      <c r="H306" s="108"/>
      <c r="I306" s="557" t="str">
        <f>IF((SUM(K308:K310,K312))&lt;&gt;K306,(SUM(K308:K310,K312)),"")</f>
        <v/>
      </c>
      <c r="J306" s="558"/>
      <c r="K306" s="435">
        <f>SUM(K308:M310,K312)</f>
        <v>0</v>
      </c>
      <c r="L306" s="436"/>
      <c r="M306" s="437"/>
      <c r="N306" s="109"/>
      <c r="O306" s="435">
        <f>SUM(O308:Q310,O312)</f>
        <v>0</v>
      </c>
      <c r="P306" s="436"/>
      <c r="Q306" s="437"/>
      <c r="R306" s="553" t="str">
        <f>IF((SUM(O308:O310,O312))&lt;&gt;O306,(SUM(O308:O310,O312)),"")</f>
        <v/>
      </c>
      <c r="S306" s="554"/>
    </row>
    <row r="307" spans="2:19" x14ac:dyDescent="0.2">
      <c r="B307" s="4"/>
      <c r="C307" s="87"/>
      <c r="D307" s="74" t="s">
        <v>1328</v>
      </c>
      <c r="E307" s="61"/>
      <c r="F307" s="5"/>
      <c r="G307" s="5"/>
      <c r="H307" s="5"/>
      <c r="I307" s="5"/>
      <c r="J307" s="139"/>
      <c r="K307" s="139"/>
      <c r="L307" s="139"/>
      <c r="M307" s="139"/>
      <c r="N307" s="5"/>
      <c r="O307" s="139"/>
      <c r="P307" s="139"/>
      <c r="Q307" s="139"/>
      <c r="R307" s="5"/>
      <c r="S307" s="6"/>
    </row>
    <row r="308" spans="2:19" x14ac:dyDescent="0.2">
      <c r="B308" s="4"/>
      <c r="C308" s="93" t="s">
        <v>1046</v>
      </c>
      <c r="D308" s="66" t="s">
        <v>1418</v>
      </c>
      <c r="E308" s="5"/>
      <c r="F308" s="5"/>
      <c r="G308" s="5"/>
      <c r="H308" s="5"/>
      <c r="I308" s="5"/>
      <c r="J308" s="5"/>
      <c r="K308" s="372"/>
      <c r="L308" s="373"/>
      <c r="M308" s="374"/>
      <c r="N308" s="5"/>
      <c r="O308" s="372"/>
      <c r="P308" s="373"/>
      <c r="Q308" s="374"/>
      <c r="R308" s="5"/>
      <c r="S308" s="6"/>
    </row>
    <row r="309" spans="2:19" x14ac:dyDescent="0.2">
      <c r="B309" s="4"/>
      <c r="C309" s="93" t="s">
        <v>1047</v>
      </c>
      <c r="D309" s="66" t="s">
        <v>1419</v>
      </c>
      <c r="E309" s="5"/>
      <c r="F309" s="5"/>
      <c r="G309" s="5"/>
      <c r="H309" s="5"/>
      <c r="I309" s="5"/>
      <c r="J309" s="5"/>
      <c r="K309" s="372"/>
      <c r="L309" s="373"/>
      <c r="M309" s="374"/>
      <c r="N309" s="5"/>
      <c r="O309" s="372"/>
      <c r="P309" s="373"/>
      <c r="Q309" s="374"/>
      <c r="R309" s="5"/>
      <c r="S309" s="6"/>
    </row>
    <row r="310" spans="2:19" x14ac:dyDescent="0.2">
      <c r="B310" s="4"/>
      <c r="C310" s="93" t="s">
        <v>1048</v>
      </c>
      <c r="D310" s="66" t="s">
        <v>1420</v>
      </c>
      <c r="E310" s="5"/>
      <c r="F310" s="5"/>
      <c r="G310" s="5"/>
      <c r="H310" s="5"/>
      <c r="I310" s="5"/>
      <c r="J310" s="5"/>
      <c r="K310" s="372"/>
      <c r="L310" s="373"/>
      <c r="M310" s="374"/>
      <c r="N310" s="5"/>
      <c r="O310" s="372"/>
      <c r="P310" s="373"/>
      <c r="Q310" s="374"/>
      <c r="R310" s="5"/>
      <c r="S310" s="6"/>
    </row>
    <row r="311" spans="2:19" x14ac:dyDescent="0.2">
      <c r="B311" s="4"/>
      <c r="C311" s="93" t="s">
        <v>1049</v>
      </c>
      <c r="D311" s="66" t="s">
        <v>1421</v>
      </c>
      <c r="E311" s="5"/>
      <c r="F311" s="5"/>
      <c r="G311" s="5"/>
      <c r="H311" s="5"/>
      <c r="I311" s="5"/>
      <c r="J311" s="5"/>
      <c r="K311" s="5"/>
      <c r="L311" s="5"/>
      <c r="M311" s="5"/>
      <c r="N311" s="5"/>
      <c r="O311" s="139"/>
      <c r="P311" s="139"/>
      <c r="Q311" s="139"/>
      <c r="R311" s="5"/>
      <c r="S311" s="6"/>
    </row>
    <row r="312" spans="2:19" ht="15.75" x14ac:dyDescent="0.25">
      <c r="B312" s="4"/>
      <c r="C312" s="88"/>
      <c r="D312" s="549"/>
      <c r="E312" s="550"/>
      <c r="F312" s="550"/>
      <c r="G312" s="550"/>
      <c r="H312" s="551"/>
      <c r="I312" s="5"/>
      <c r="J312" s="5"/>
      <c r="K312" s="372"/>
      <c r="L312" s="373"/>
      <c r="M312" s="374"/>
      <c r="N312" s="5"/>
      <c r="O312" s="372"/>
      <c r="P312" s="373"/>
      <c r="Q312" s="374"/>
      <c r="R312" s="5"/>
      <c r="S312" s="6"/>
    </row>
    <row r="313" spans="2:19" ht="15.75" x14ac:dyDescent="0.25">
      <c r="B313" s="4"/>
      <c r="C313" s="88"/>
      <c r="D313" s="61"/>
      <c r="E313" s="5"/>
      <c r="F313" s="5"/>
      <c r="G313" s="5"/>
      <c r="H313" s="5"/>
      <c r="I313" s="5"/>
      <c r="J313" s="5"/>
      <c r="K313" s="5"/>
      <c r="L313" s="5"/>
      <c r="M313" s="5"/>
      <c r="N313" s="5"/>
      <c r="O313" s="139"/>
      <c r="P313" s="139"/>
      <c r="Q313" s="139"/>
      <c r="R313" s="5"/>
      <c r="S313" s="6"/>
    </row>
    <row r="314" spans="2:19" x14ac:dyDescent="0.2">
      <c r="B314" s="4"/>
      <c r="C314" s="84">
        <v>13.2</v>
      </c>
      <c r="D314" s="75" t="s">
        <v>1370</v>
      </c>
      <c r="E314" s="5"/>
      <c r="F314" s="5"/>
      <c r="G314" s="5"/>
      <c r="H314" s="5"/>
      <c r="I314" s="5"/>
      <c r="J314" s="5"/>
      <c r="K314" s="5"/>
      <c r="L314" s="5"/>
      <c r="M314" s="5"/>
      <c r="N314" s="5"/>
      <c r="O314" s="139"/>
      <c r="P314" s="139"/>
      <c r="Q314" s="139"/>
      <c r="R314" s="5"/>
      <c r="S314" s="6"/>
    </row>
    <row r="315" spans="2:19" ht="15.75" x14ac:dyDescent="0.25">
      <c r="B315" s="4"/>
      <c r="C315" s="20"/>
      <c r="D315" s="61"/>
      <c r="E315" s="5"/>
      <c r="F315" s="5"/>
      <c r="G315" s="5"/>
      <c r="H315" s="5"/>
      <c r="I315" s="5"/>
      <c r="J315" s="5"/>
      <c r="K315" s="5"/>
      <c r="L315" s="5"/>
      <c r="M315" s="5"/>
      <c r="N315" s="5"/>
      <c r="O315" s="139"/>
      <c r="P315" s="139"/>
      <c r="Q315" s="139"/>
      <c r="R315" s="5"/>
      <c r="S315" s="6"/>
    </row>
    <row r="316" spans="2:19" ht="15.75" x14ac:dyDescent="0.25">
      <c r="B316" s="4"/>
      <c r="C316" s="20"/>
      <c r="D316" s="484"/>
      <c r="E316" s="485"/>
      <c r="F316" s="485"/>
      <c r="G316" s="485"/>
      <c r="H316" s="485"/>
      <c r="I316" s="485"/>
      <c r="J316" s="485"/>
      <c r="K316" s="485"/>
      <c r="L316" s="485"/>
      <c r="M316" s="485"/>
      <c r="N316" s="486"/>
      <c r="O316" s="486"/>
      <c r="P316" s="486"/>
      <c r="Q316" s="487"/>
      <c r="R316" s="5"/>
      <c r="S316" s="6"/>
    </row>
    <row r="317" spans="2:19" ht="15.75" x14ac:dyDescent="0.25">
      <c r="B317" s="4"/>
      <c r="C317" s="20"/>
      <c r="D317" s="488"/>
      <c r="E317" s="489"/>
      <c r="F317" s="489"/>
      <c r="G317" s="489"/>
      <c r="H317" s="489"/>
      <c r="I317" s="489"/>
      <c r="J317" s="489"/>
      <c r="K317" s="489"/>
      <c r="L317" s="489"/>
      <c r="M317" s="489"/>
      <c r="N317" s="490"/>
      <c r="O317" s="490"/>
      <c r="P317" s="490"/>
      <c r="Q317" s="491"/>
      <c r="R317" s="5"/>
      <c r="S317" s="6"/>
    </row>
    <row r="318" spans="2:19" ht="15.75" x14ac:dyDescent="0.25">
      <c r="B318" s="4"/>
      <c r="C318" s="20"/>
      <c r="D318" s="492"/>
      <c r="E318" s="493"/>
      <c r="F318" s="493"/>
      <c r="G318" s="493"/>
      <c r="H318" s="493"/>
      <c r="I318" s="493"/>
      <c r="J318" s="493"/>
      <c r="K318" s="493"/>
      <c r="L318" s="493"/>
      <c r="M318" s="493"/>
      <c r="N318" s="494"/>
      <c r="O318" s="494"/>
      <c r="P318" s="494"/>
      <c r="Q318" s="495"/>
      <c r="R318" s="5"/>
      <c r="S318" s="6"/>
    </row>
    <row r="319" spans="2:19" ht="15" thickBot="1" x14ac:dyDescent="0.25">
      <c r="B319" s="27"/>
      <c r="C319" s="16"/>
      <c r="D319" s="16"/>
      <c r="E319" s="16"/>
      <c r="F319" s="16"/>
      <c r="G319" s="16"/>
      <c r="H319" s="16"/>
      <c r="I319" s="16"/>
      <c r="J319" s="16"/>
      <c r="K319" s="16"/>
      <c r="L319" s="16"/>
      <c r="M319" s="16"/>
      <c r="N319" s="16"/>
      <c r="O319" s="16"/>
      <c r="P319" s="16"/>
      <c r="Q319" s="16"/>
      <c r="R319" s="16"/>
      <c r="S319" s="17"/>
    </row>
    <row r="320" spans="2:19" ht="15.75" thickTop="1" thickBot="1" x14ac:dyDescent="0.25"/>
    <row r="321" spans="2:19" ht="15" thickTop="1" x14ac:dyDescent="0.2">
      <c r="B321" s="2"/>
      <c r="C321" s="3"/>
      <c r="D321" s="3"/>
      <c r="E321" s="3"/>
      <c r="F321" s="3"/>
      <c r="G321" s="3"/>
      <c r="H321" s="3"/>
      <c r="I321" s="3"/>
      <c r="J321" s="3"/>
      <c r="K321" s="3"/>
      <c r="L321" s="3"/>
      <c r="M321" s="3"/>
      <c r="N321" s="3"/>
      <c r="O321" s="3"/>
      <c r="P321" s="3"/>
      <c r="Q321" s="3"/>
      <c r="R321" s="3"/>
      <c r="S321" s="19"/>
    </row>
    <row r="322" spans="2:19" ht="15.75" x14ac:dyDescent="0.25">
      <c r="B322" s="4"/>
      <c r="C322" s="20" t="s">
        <v>1468</v>
      </c>
      <c r="D322" s="61"/>
      <c r="E322" s="5"/>
      <c r="F322" s="5"/>
      <c r="G322" s="5"/>
      <c r="H322" s="5"/>
      <c r="I322" s="5"/>
      <c r="J322" s="5"/>
      <c r="K322" s="5"/>
      <c r="L322" s="5"/>
      <c r="M322" s="5"/>
      <c r="N322" s="5"/>
      <c r="O322" s="5"/>
      <c r="P322" s="5"/>
      <c r="Q322" s="5"/>
      <c r="R322" s="5"/>
      <c r="S322" s="6"/>
    </row>
    <row r="323" spans="2:19" ht="15.75" x14ac:dyDescent="0.25">
      <c r="B323" s="4"/>
      <c r="C323" s="20"/>
      <c r="D323" s="61"/>
      <c r="E323" s="5"/>
      <c r="F323" s="5"/>
      <c r="G323" s="5"/>
      <c r="H323" s="5"/>
      <c r="I323" s="5"/>
      <c r="J323" s="5"/>
      <c r="K323" s="552" t="s">
        <v>1530</v>
      </c>
      <c r="L323" s="552"/>
      <c r="M323" s="552"/>
      <c r="N323" s="95"/>
      <c r="O323" s="552" t="s">
        <v>1531</v>
      </c>
      <c r="P323" s="552"/>
      <c r="Q323" s="552"/>
      <c r="R323" s="5"/>
      <c r="S323" s="6"/>
    </row>
    <row r="324" spans="2:19" s="78" customFormat="1" x14ac:dyDescent="0.2">
      <c r="B324" s="4"/>
      <c r="C324" s="84">
        <v>14.1</v>
      </c>
      <c r="D324" s="66" t="s">
        <v>1422</v>
      </c>
      <c r="E324" s="5"/>
      <c r="F324" s="5"/>
      <c r="G324" s="5"/>
      <c r="H324" s="5"/>
      <c r="I324" s="5"/>
      <c r="J324" s="5"/>
      <c r="K324" s="535"/>
      <c r="L324" s="536"/>
      <c r="M324" s="537"/>
      <c r="N324" s="5"/>
      <c r="O324" s="535"/>
      <c r="P324" s="536"/>
      <c r="Q324" s="537"/>
      <c r="R324" s="5"/>
      <c r="S324" s="6"/>
    </row>
    <row r="325" spans="2:19" s="78" customFormat="1" x14ac:dyDescent="0.2">
      <c r="B325" s="4"/>
      <c r="C325" s="84">
        <v>14.2</v>
      </c>
      <c r="D325" s="66" t="s">
        <v>1423</v>
      </c>
      <c r="E325" s="5"/>
      <c r="F325" s="5"/>
      <c r="G325" s="5"/>
      <c r="H325" s="5"/>
      <c r="I325" s="5"/>
      <c r="J325" s="5"/>
      <c r="K325" s="535"/>
      <c r="L325" s="536"/>
      <c r="M325" s="537"/>
      <c r="N325" s="5"/>
      <c r="O325" s="535"/>
      <c r="P325" s="536"/>
      <c r="Q325" s="537"/>
      <c r="R325" s="5"/>
      <c r="S325" s="6"/>
    </row>
    <row r="326" spans="2:19" ht="15" thickBot="1" x14ac:dyDescent="0.25">
      <c r="B326" s="27"/>
      <c r="C326" s="16"/>
      <c r="D326" s="16"/>
      <c r="E326" s="16"/>
      <c r="F326" s="16"/>
      <c r="G326" s="16"/>
      <c r="H326" s="16"/>
      <c r="I326" s="16"/>
      <c r="J326" s="16"/>
      <c r="K326" s="16"/>
      <c r="L326" s="16"/>
      <c r="M326" s="16"/>
      <c r="N326" s="16"/>
      <c r="O326" s="16"/>
      <c r="P326" s="16"/>
      <c r="Q326" s="16"/>
      <c r="R326" s="16"/>
      <c r="S326" s="17"/>
    </row>
    <row r="327" spans="2:19" s="78" customFormat="1" ht="15" thickTop="1" x14ac:dyDescent="0.2">
      <c r="B327" s="80"/>
      <c r="C327" s="80"/>
      <c r="D327" s="80"/>
      <c r="E327" s="80"/>
      <c r="F327" s="80"/>
      <c r="G327" s="80"/>
      <c r="H327" s="80"/>
      <c r="I327" s="80"/>
      <c r="J327" s="80"/>
      <c r="K327" s="80"/>
    </row>
    <row r="328" spans="2:19" s="78" customFormat="1" x14ac:dyDescent="0.2">
      <c r="B328" s="80"/>
      <c r="C328" s="80"/>
      <c r="D328" s="80"/>
      <c r="E328" s="80"/>
      <c r="F328" s="80"/>
      <c r="G328" s="80"/>
      <c r="H328" s="80"/>
      <c r="I328" s="80"/>
      <c r="J328" s="80"/>
      <c r="K328" s="80"/>
    </row>
    <row r="329" spans="2:19" s="78" customFormat="1" x14ac:dyDescent="0.2">
      <c r="B329" s="80"/>
      <c r="C329" s="80"/>
      <c r="D329" s="151"/>
      <c r="E329" s="80"/>
      <c r="F329" s="80"/>
      <c r="G329" s="80"/>
      <c r="H329" s="80"/>
      <c r="I329" s="80"/>
      <c r="J329" s="80"/>
      <c r="K329" s="80"/>
    </row>
    <row r="330" spans="2:19" s="78" customFormat="1" x14ac:dyDescent="0.2">
      <c r="B330" s="80"/>
      <c r="C330" s="80"/>
      <c r="D330" s="151"/>
      <c r="E330" s="80"/>
      <c r="F330" s="80"/>
      <c r="G330" s="80"/>
      <c r="H330" s="80"/>
      <c r="I330" s="80"/>
      <c r="J330" s="80"/>
      <c r="K330" s="80"/>
    </row>
    <row r="331" spans="2:19" s="78" customFormat="1" x14ac:dyDescent="0.2">
      <c r="B331" s="80"/>
      <c r="C331" s="80"/>
      <c r="D331" s="80"/>
      <c r="E331" s="80"/>
      <c r="F331" s="80"/>
      <c r="G331" s="80"/>
      <c r="H331" s="80"/>
      <c r="I331" s="80"/>
      <c r="J331" s="80"/>
      <c r="K331" s="80"/>
    </row>
    <row r="332" spans="2:19" s="78" customFormat="1" x14ac:dyDescent="0.2">
      <c r="B332" s="80"/>
      <c r="C332" s="80"/>
      <c r="D332" s="80"/>
      <c r="E332" s="80"/>
      <c r="F332" s="80"/>
      <c r="G332" s="80"/>
      <c r="H332" s="80"/>
      <c r="I332" s="80"/>
      <c r="J332" s="80"/>
      <c r="K332" s="80"/>
    </row>
    <row r="333" spans="2:19" s="78" customFormat="1" x14ac:dyDescent="0.2">
      <c r="B333" s="80"/>
      <c r="C333" s="80"/>
      <c r="D333" s="80"/>
      <c r="E333" s="80"/>
      <c r="F333" s="80"/>
      <c r="G333" s="80"/>
      <c r="H333" s="80"/>
      <c r="I333" s="80"/>
      <c r="J333" s="80"/>
      <c r="K333" s="80"/>
    </row>
    <row r="334" spans="2:19" s="78" customFormat="1" x14ac:dyDescent="0.2">
      <c r="B334" s="80"/>
      <c r="C334" s="80"/>
      <c r="D334" s="80"/>
      <c r="E334" s="80"/>
      <c r="F334" s="80"/>
      <c r="G334" s="80"/>
      <c r="H334" s="80"/>
      <c r="I334" s="80"/>
      <c r="J334" s="80"/>
      <c r="K334" s="80"/>
    </row>
    <row r="335" spans="2:19" s="78" customFormat="1" x14ac:dyDescent="0.2"/>
    <row r="336" spans="2:19" s="78" customFormat="1" x14ac:dyDescent="0.2"/>
    <row r="337" s="78" customFormat="1" x14ac:dyDescent="0.2"/>
    <row r="338" s="78" customFormat="1" x14ac:dyDescent="0.2"/>
    <row r="339" s="78" customFormat="1" x14ac:dyDescent="0.2"/>
    <row r="340" s="78" customFormat="1" x14ac:dyDescent="0.2"/>
    <row r="341" s="78" customFormat="1" x14ac:dyDescent="0.2"/>
    <row r="342" s="78" customFormat="1" x14ac:dyDescent="0.2"/>
    <row r="343" s="78" customFormat="1" x14ac:dyDescent="0.2"/>
    <row r="344" s="78" customFormat="1" x14ac:dyDescent="0.2"/>
    <row r="345" s="78" customFormat="1" x14ac:dyDescent="0.2"/>
    <row r="346" s="78" customFormat="1" x14ac:dyDescent="0.2"/>
    <row r="347" s="78" customFormat="1" x14ac:dyDescent="0.2"/>
    <row r="348" s="78" customFormat="1" x14ac:dyDescent="0.2"/>
    <row r="349" s="78" customFormat="1" x14ac:dyDescent="0.2"/>
    <row r="350" s="78" customFormat="1" x14ac:dyDescent="0.2"/>
    <row r="351" s="78" customFormat="1" x14ac:dyDescent="0.2"/>
    <row r="352" s="78" customFormat="1" x14ac:dyDescent="0.2"/>
    <row r="353" spans="1:3" s="78" customFormat="1" x14ac:dyDescent="0.2"/>
    <row r="354" spans="1:3" s="78" customFormat="1" x14ac:dyDescent="0.2"/>
    <row r="355" spans="1:3" s="78" customFormat="1" x14ac:dyDescent="0.2"/>
    <row r="356" spans="1:3" s="78" customFormat="1" x14ac:dyDescent="0.2"/>
    <row r="357" spans="1:3" s="78" customFormat="1" x14ac:dyDescent="0.2"/>
    <row r="358" spans="1:3" s="78" customFormat="1" x14ac:dyDescent="0.2"/>
    <row r="359" spans="1:3" s="78" customFormat="1" x14ac:dyDescent="0.2"/>
    <row r="360" spans="1:3" s="78" customFormat="1" x14ac:dyDescent="0.2"/>
    <row r="361" spans="1:3" s="78" customFormat="1" x14ac:dyDescent="0.2"/>
    <row r="362" spans="1:3" s="78" customFormat="1" x14ac:dyDescent="0.2"/>
    <row r="363" spans="1:3" s="78" customFormat="1" x14ac:dyDescent="0.2"/>
    <row r="364" spans="1:3" s="78" customFormat="1" x14ac:dyDescent="0.2"/>
    <row r="365" spans="1:3" s="78" customFormat="1" x14ac:dyDescent="0.2"/>
    <row r="366" spans="1:3" s="78" customFormat="1" x14ac:dyDescent="0.2"/>
    <row r="367" spans="1:3" s="78" customFormat="1" x14ac:dyDescent="0.2">
      <c r="C367" s="80"/>
    </row>
    <row r="368" spans="1:3" s="78" customFormat="1" x14ac:dyDescent="0.2">
      <c r="A368" s="78" t="s">
        <v>1508</v>
      </c>
      <c r="C368" s="80"/>
    </row>
    <row r="369" spans="1:3" s="78" customFormat="1" x14ac:dyDescent="0.2">
      <c r="A369" s="78" t="s">
        <v>1509</v>
      </c>
      <c r="C369" s="80"/>
    </row>
    <row r="370" spans="1:3" s="78" customFormat="1" x14ac:dyDescent="0.2">
      <c r="A370" s="78" t="s">
        <v>1510</v>
      </c>
      <c r="C370" s="80"/>
    </row>
    <row r="371" spans="1:3" s="78" customFormat="1" x14ac:dyDescent="0.2">
      <c r="A371" s="78" t="s">
        <v>1511</v>
      </c>
      <c r="C371" s="80"/>
    </row>
    <row r="372" spans="1:3" s="78" customFormat="1" x14ac:dyDescent="0.2">
      <c r="A372" s="78" t="s">
        <v>1512</v>
      </c>
      <c r="C372" s="80"/>
    </row>
    <row r="373" spans="1:3" s="78" customFormat="1" x14ac:dyDescent="0.2">
      <c r="C373" s="80"/>
    </row>
    <row r="374" spans="1:3" s="78" customFormat="1" x14ac:dyDescent="0.2">
      <c r="A374" s="80"/>
      <c r="B374" s="80"/>
      <c r="C374" s="80"/>
    </row>
    <row r="375" spans="1:3" s="78" customFormat="1" x14ac:dyDescent="0.2"/>
    <row r="376" spans="1:3" s="78" customFormat="1" x14ac:dyDescent="0.2"/>
    <row r="377" spans="1:3" s="78" customFormat="1" x14ac:dyDescent="0.2"/>
    <row r="378" spans="1:3" s="78" customFormat="1" x14ac:dyDescent="0.2"/>
    <row r="379" spans="1:3" s="78" customFormat="1" x14ac:dyDescent="0.2"/>
    <row r="380" spans="1:3" s="78" customFormat="1" x14ac:dyDescent="0.2"/>
    <row r="381" spans="1:3" s="78" customFormat="1" x14ac:dyDescent="0.2"/>
    <row r="382" spans="1:3" s="78" customFormat="1" x14ac:dyDescent="0.2"/>
    <row r="383" spans="1:3" s="78" customFormat="1" x14ac:dyDescent="0.2"/>
    <row r="384" spans="1:3" s="78" customFormat="1" x14ac:dyDescent="0.2"/>
    <row r="385" s="78" customFormat="1" x14ac:dyDescent="0.2"/>
    <row r="386" s="78" customFormat="1" x14ac:dyDescent="0.2"/>
    <row r="387" s="78" customFormat="1" x14ac:dyDescent="0.2"/>
    <row r="388" s="78" customFormat="1" x14ac:dyDescent="0.2"/>
    <row r="389" s="78" customFormat="1" x14ac:dyDescent="0.2"/>
    <row r="390" s="78" customFormat="1" x14ac:dyDescent="0.2"/>
    <row r="391" s="78" customFormat="1" x14ac:dyDescent="0.2"/>
    <row r="392" s="78" customFormat="1" x14ac:dyDescent="0.2"/>
    <row r="393" s="78" customFormat="1" x14ac:dyDescent="0.2"/>
    <row r="394" s="78" customFormat="1" x14ac:dyDescent="0.2"/>
    <row r="395" s="78" customFormat="1" x14ac:dyDescent="0.2"/>
    <row r="396" s="78" customFormat="1" x14ac:dyDescent="0.2"/>
    <row r="397" s="78" customFormat="1" x14ac:dyDescent="0.2"/>
    <row r="398" s="78" customFormat="1" x14ac:dyDescent="0.2"/>
    <row r="399" s="78" customFormat="1" x14ac:dyDescent="0.2"/>
    <row r="400" s="78" customFormat="1" x14ac:dyDescent="0.2"/>
    <row r="401" s="78" customFormat="1" x14ac:dyDescent="0.2"/>
    <row r="402" s="78" customFormat="1" x14ac:dyDescent="0.2"/>
    <row r="403" s="78" customFormat="1" x14ac:dyDescent="0.2"/>
    <row r="404" s="78" customFormat="1" x14ac:dyDescent="0.2"/>
    <row r="405" s="78" customFormat="1" x14ac:dyDescent="0.2"/>
    <row r="406" s="78" customFormat="1" x14ac:dyDescent="0.2"/>
    <row r="407" s="78" customFormat="1" x14ac:dyDescent="0.2"/>
    <row r="408" s="78" customFormat="1" x14ac:dyDescent="0.2"/>
    <row r="409" s="78" customFormat="1" x14ac:dyDescent="0.2"/>
    <row r="410" s="78" customFormat="1" x14ac:dyDescent="0.2"/>
    <row r="411" s="78" customFormat="1" x14ac:dyDescent="0.2"/>
    <row r="412" s="78" customFormat="1" x14ac:dyDescent="0.2"/>
    <row r="413" s="78" customFormat="1" x14ac:dyDescent="0.2"/>
    <row r="414" s="78" customFormat="1" x14ac:dyDescent="0.2"/>
    <row r="415" s="78" customFormat="1" x14ac:dyDescent="0.2"/>
    <row r="416" s="78" customFormat="1" x14ac:dyDescent="0.2"/>
    <row r="417" s="78" customFormat="1" x14ac:dyDescent="0.2"/>
    <row r="418" s="78" customFormat="1" x14ac:dyDescent="0.2"/>
    <row r="419" s="78" customFormat="1" x14ac:dyDescent="0.2"/>
    <row r="420" s="78" customFormat="1" x14ac:dyDescent="0.2"/>
    <row r="421" s="78" customFormat="1" x14ac:dyDescent="0.2"/>
    <row r="422" s="78" customFormat="1" x14ac:dyDescent="0.2"/>
    <row r="423" s="78" customFormat="1" x14ac:dyDescent="0.2"/>
    <row r="424" s="78" customFormat="1" x14ac:dyDescent="0.2"/>
    <row r="425" s="78" customFormat="1" x14ac:dyDescent="0.2"/>
    <row r="426" s="78" customFormat="1" x14ac:dyDescent="0.2"/>
    <row r="427" s="78" customFormat="1" x14ac:dyDescent="0.2"/>
    <row r="428" s="78" customFormat="1" x14ac:dyDescent="0.2"/>
    <row r="429" s="78" customFormat="1" x14ac:dyDescent="0.2"/>
    <row r="430" s="78" customFormat="1" x14ac:dyDescent="0.2"/>
    <row r="431" s="78" customFormat="1" x14ac:dyDescent="0.2"/>
    <row r="432" s="78" customFormat="1" x14ac:dyDescent="0.2"/>
    <row r="433" s="78" customFormat="1" x14ac:dyDescent="0.2"/>
    <row r="434" s="78" customFormat="1" x14ac:dyDescent="0.2"/>
    <row r="435" s="78" customFormat="1" x14ac:dyDescent="0.2"/>
    <row r="436" s="78" customFormat="1" x14ac:dyDescent="0.2"/>
    <row r="437" s="78" customFormat="1" x14ac:dyDescent="0.2"/>
    <row r="438" s="78" customFormat="1" x14ac:dyDescent="0.2"/>
    <row r="439" s="78" customFormat="1" x14ac:dyDescent="0.2"/>
    <row r="440" s="78" customFormat="1" x14ac:dyDescent="0.2"/>
    <row r="441" s="78" customFormat="1" x14ac:dyDescent="0.2"/>
    <row r="442" s="78" customFormat="1" x14ac:dyDescent="0.2"/>
    <row r="443" s="78" customFormat="1" x14ac:dyDescent="0.2"/>
    <row r="444" s="78" customFormat="1" x14ac:dyDescent="0.2"/>
    <row r="445" s="78" customFormat="1" x14ac:dyDescent="0.2"/>
    <row r="446" s="78" customFormat="1" x14ac:dyDescent="0.2"/>
    <row r="447" s="78" customFormat="1" x14ac:dyDescent="0.2"/>
    <row r="448" s="78" customFormat="1" x14ac:dyDescent="0.2"/>
    <row r="449" s="78" customFormat="1" x14ac:dyDescent="0.2"/>
    <row r="450" s="78" customFormat="1" x14ac:dyDescent="0.2"/>
    <row r="451" s="78" customFormat="1" x14ac:dyDescent="0.2"/>
    <row r="452" s="78" customFormat="1" x14ac:dyDescent="0.2"/>
    <row r="453" s="78" customFormat="1" x14ac:dyDescent="0.2"/>
    <row r="454" s="78" customFormat="1" x14ac:dyDescent="0.2"/>
    <row r="455" s="78" customFormat="1" x14ac:dyDescent="0.2"/>
    <row r="456" s="78" customFormat="1" x14ac:dyDescent="0.2"/>
    <row r="457" s="78" customFormat="1" x14ac:dyDescent="0.2"/>
    <row r="458" s="78" customFormat="1" x14ac:dyDescent="0.2"/>
    <row r="459" s="78" customFormat="1" x14ac:dyDescent="0.2"/>
    <row r="460" s="78" customFormat="1" x14ac:dyDescent="0.2"/>
    <row r="461" s="78" customFormat="1" x14ac:dyDescent="0.2"/>
    <row r="462" s="78" customFormat="1" x14ac:dyDescent="0.2"/>
    <row r="463" s="78" customFormat="1" x14ac:dyDescent="0.2"/>
    <row r="464" s="78" customFormat="1" x14ac:dyDescent="0.2"/>
    <row r="465" s="78" customFormat="1" x14ac:dyDescent="0.2"/>
    <row r="466" s="78" customFormat="1" x14ac:dyDescent="0.2"/>
    <row r="467" s="78" customFormat="1" x14ac:dyDescent="0.2"/>
    <row r="468" s="78" customFormat="1" x14ac:dyDescent="0.2"/>
    <row r="469" s="78" customFormat="1" x14ac:dyDescent="0.2"/>
    <row r="470" s="78" customFormat="1" x14ac:dyDescent="0.2"/>
    <row r="471" s="78" customFormat="1" x14ac:dyDescent="0.2"/>
    <row r="472" s="78" customFormat="1" x14ac:dyDescent="0.2"/>
    <row r="473" s="78" customFormat="1" x14ac:dyDescent="0.2"/>
    <row r="474" s="78" customFormat="1" x14ac:dyDescent="0.2"/>
    <row r="475" s="78" customFormat="1" x14ac:dyDescent="0.2"/>
    <row r="476" s="78" customFormat="1" x14ac:dyDescent="0.2"/>
    <row r="477" s="78" customFormat="1" x14ac:dyDescent="0.2"/>
    <row r="478" s="78" customFormat="1" x14ac:dyDescent="0.2"/>
    <row r="479" s="78" customFormat="1" x14ac:dyDescent="0.2"/>
    <row r="480" s="78" customFormat="1" x14ac:dyDescent="0.2"/>
    <row r="481" spans="1:4" s="78" customFormat="1" x14ac:dyDescent="0.2"/>
    <row r="482" spans="1:4" s="78" customFormat="1" x14ac:dyDescent="0.2"/>
    <row r="483" spans="1:4" s="78" customFormat="1" x14ac:dyDescent="0.2"/>
    <row r="484" spans="1:4" s="78" customFormat="1" x14ac:dyDescent="0.2"/>
    <row r="485" spans="1:4" s="78" customFormat="1" x14ac:dyDescent="0.2"/>
    <row r="486" spans="1:4" s="80" customFormat="1" x14ac:dyDescent="0.2">
      <c r="A486" s="78"/>
      <c r="B486" s="78"/>
      <c r="C486" s="78"/>
      <c r="D486" s="78"/>
    </row>
    <row r="487" spans="1:4" s="80" customFormat="1" x14ac:dyDescent="0.2">
      <c r="A487" s="78"/>
      <c r="B487" s="78"/>
      <c r="C487" s="78"/>
      <c r="D487" s="78"/>
    </row>
    <row r="488" spans="1:4" s="80" customFormat="1" x14ac:dyDescent="0.2">
      <c r="A488" s="78"/>
      <c r="B488" s="78"/>
      <c r="C488" s="78"/>
      <c r="D488" s="78"/>
    </row>
    <row r="489" spans="1:4" s="80" customFormat="1" x14ac:dyDescent="0.2">
      <c r="D489" s="78"/>
    </row>
    <row r="490" spans="1:4" s="80" customFormat="1" x14ac:dyDescent="0.2">
      <c r="A490" s="80" t="s">
        <v>1480</v>
      </c>
      <c r="D490" s="78"/>
    </row>
    <row r="491" spans="1:4" s="80" customFormat="1" x14ac:dyDescent="0.2">
      <c r="A491" s="80" t="s">
        <v>78</v>
      </c>
      <c r="D491" s="78"/>
    </row>
    <row r="492" spans="1:4" s="80" customFormat="1" x14ac:dyDescent="0.2">
      <c r="A492" s="80" t="s">
        <v>79</v>
      </c>
      <c r="D492" s="78"/>
    </row>
    <row r="493" spans="1:4" s="80" customFormat="1" x14ac:dyDescent="0.2">
      <c r="A493" s="80" t="s">
        <v>80</v>
      </c>
      <c r="D493" s="78"/>
    </row>
    <row r="494" spans="1:4" s="80" customFormat="1" x14ac:dyDescent="0.2">
      <c r="A494" s="80" t="s">
        <v>1750</v>
      </c>
      <c r="D494" s="78"/>
    </row>
    <row r="495" spans="1:4" s="80" customFormat="1" x14ac:dyDescent="0.2">
      <c r="A495" s="80" t="s">
        <v>1751</v>
      </c>
      <c r="D495" s="78"/>
    </row>
    <row r="496" spans="1:4" s="80" customFormat="1" x14ac:dyDescent="0.2">
      <c r="D496" s="78"/>
    </row>
    <row r="497" spans="1:4" s="80" customFormat="1" x14ac:dyDescent="0.2">
      <c r="D497" s="78"/>
    </row>
    <row r="498" spans="1:4" s="80" customFormat="1" x14ac:dyDescent="0.2">
      <c r="D498" s="78"/>
    </row>
    <row r="499" spans="1:4" s="80" customFormat="1" x14ac:dyDescent="0.2">
      <c r="A499" s="78"/>
      <c r="B499" s="78"/>
      <c r="C499" s="78"/>
      <c r="D499" s="78"/>
    </row>
    <row r="500" spans="1:4" s="80" customFormat="1" x14ac:dyDescent="0.2">
      <c r="A500" s="78"/>
      <c r="B500" s="78"/>
      <c r="C500" s="78"/>
      <c r="D500" s="78"/>
    </row>
    <row r="501" spans="1:4" s="80" customFormat="1" ht="15" x14ac:dyDescent="0.25">
      <c r="A501" s="79" t="s">
        <v>84</v>
      </c>
      <c r="B501" s="79" t="s">
        <v>85</v>
      </c>
      <c r="C501" s="79" t="s">
        <v>86</v>
      </c>
      <c r="D501" s="79" t="s">
        <v>86</v>
      </c>
    </row>
    <row r="502" spans="1:4" s="80" customFormat="1" x14ac:dyDescent="0.2">
      <c r="A502" s="78" t="s">
        <v>87</v>
      </c>
      <c r="B502" s="78" t="s">
        <v>88</v>
      </c>
      <c r="C502" s="78" t="s">
        <v>89</v>
      </c>
      <c r="D502" s="78" t="s">
        <v>614</v>
      </c>
    </row>
    <row r="503" spans="1:4" s="80" customFormat="1" x14ac:dyDescent="0.2">
      <c r="A503" s="78" t="s">
        <v>90</v>
      </c>
      <c r="B503" s="78" t="s">
        <v>91</v>
      </c>
      <c r="C503" s="78" t="s">
        <v>92</v>
      </c>
      <c r="D503" s="78" t="s">
        <v>615</v>
      </c>
    </row>
    <row r="504" spans="1:4" s="80" customFormat="1" x14ac:dyDescent="0.2">
      <c r="A504" s="78" t="s">
        <v>93</v>
      </c>
      <c r="B504" s="78" t="s">
        <v>94</v>
      </c>
      <c r="C504" s="78" t="s">
        <v>95</v>
      </c>
      <c r="D504" s="78" t="s">
        <v>616</v>
      </c>
    </row>
    <row r="505" spans="1:4" s="80" customFormat="1" x14ac:dyDescent="0.2">
      <c r="A505" s="78" t="s">
        <v>96</v>
      </c>
      <c r="B505" s="78" t="s">
        <v>97</v>
      </c>
      <c r="C505" s="78" t="s">
        <v>98</v>
      </c>
      <c r="D505" s="78" t="s">
        <v>617</v>
      </c>
    </row>
    <row r="506" spans="1:4" s="80" customFormat="1" x14ac:dyDescent="0.2">
      <c r="A506" s="78" t="s">
        <v>99</v>
      </c>
      <c r="B506" s="78" t="s">
        <v>100</v>
      </c>
      <c r="C506" s="78" t="s">
        <v>101</v>
      </c>
      <c r="D506" s="78" t="s">
        <v>618</v>
      </c>
    </row>
    <row r="507" spans="1:4" s="80" customFormat="1" x14ac:dyDescent="0.2">
      <c r="A507" s="78" t="s">
        <v>102</v>
      </c>
      <c r="B507" s="78" t="s">
        <v>103</v>
      </c>
      <c r="C507" s="78" t="s">
        <v>104</v>
      </c>
      <c r="D507" s="78" t="s">
        <v>619</v>
      </c>
    </row>
    <row r="508" spans="1:4" s="80" customFormat="1" x14ac:dyDescent="0.2">
      <c r="A508" s="78" t="s">
        <v>105</v>
      </c>
      <c r="B508" s="78" t="s">
        <v>106</v>
      </c>
      <c r="C508" s="78" t="s">
        <v>107</v>
      </c>
      <c r="D508" s="78" t="s">
        <v>620</v>
      </c>
    </row>
    <row r="509" spans="1:4" s="80" customFormat="1" x14ac:dyDescent="0.2">
      <c r="A509" s="78" t="s">
        <v>108</v>
      </c>
      <c r="B509" s="78" t="s">
        <v>106</v>
      </c>
      <c r="C509" s="78" t="s">
        <v>107</v>
      </c>
      <c r="D509" s="78" t="s">
        <v>620</v>
      </c>
    </row>
    <row r="510" spans="1:4" s="80" customFormat="1" x14ac:dyDescent="0.2">
      <c r="A510" s="78" t="s">
        <v>109</v>
      </c>
      <c r="B510" s="78" t="s">
        <v>110</v>
      </c>
      <c r="C510" s="78" t="s">
        <v>111</v>
      </c>
      <c r="D510" s="78" t="s">
        <v>621</v>
      </c>
    </row>
    <row r="511" spans="1:4" s="80" customFormat="1" x14ac:dyDescent="0.2">
      <c r="A511" s="78" t="s">
        <v>112</v>
      </c>
      <c r="B511" s="78" t="s">
        <v>113</v>
      </c>
      <c r="C511" s="78" t="s">
        <v>114</v>
      </c>
      <c r="D511" s="78" t="s">
        <v>622</v>
      </c>
    </row>
    <row r="512" spans="1:4" s="80" customFormat="1" x14ac:dyDescent="0.2">
      <c r="A512" s="78" t="s">
        <v>115</v>
      </c>
      <c r="B512" s="78" t="s">
        <v>116</v>
      </c>
      <c r="C512" s="78" t="s">
        <v>117</v>
      </c>
      <c r="D512" s="78" t="s">
        <v>623</v>
      </c>
    </row>
    <row r="513" spans="1:4" s="80" customFormat="1" x14ac:dyDescent="0.2">
      <c r="A513" s="78" t="s">
        <v>118</v>
      </c>
      <c r="B513" s="78" t="s">
        <v>119</v>
      </c>
      <c r="C513" s="78" t="s">
        <v>120</v>
      </c>
      <c r="D513" s="78" t="s">
        <v>624</v>
      </c>
    </row>
    <row r="514" spans="1:4" s="80" customFormat="1" x14ac:dyDescent="0.2">
      <c r="A514" s="78" t="s">
        <v>121</v>
      </c>
      <c r="B514" s="78" t="s">
        <v>100</v>
      </c>
      <c r="C514" s="78" t="s">
        <v>101</v>
      </c>
      <c r="D514" s="78" t="s">
        <v>618</v>
      </c>
    </row>
    <row r="515" spans="1:4" s="80" customFormat="1" x14ac:dyDescent="0.2">
      <c r="A515" s="78" t="s">
        <v>122</v>
      </c>
      <c r="B515" s="78" t="s">
        <v>123</v>
      </c>
      <c r="C515" s="78" t="s">
        <v>124</v>
      </c>
      <c r="D515" s="78" t="s">
        <v>625</v>
      </c>
    </row>
    <row r="516" spans="1:4" s="80" customFormat="1" x14ac:dyDescent="0.2">
      <c r="A516" s="78" t="s">
        <v>125</v>
      </c>
      <c r="B516" s="78" t="s">
        <v>126</v>
      </c>
      <c r="C516" s="78" t="s">
        <v>127</v>
      </c>
      <c r="D516" s="78" t="s">
        <v>626</v>
      </c>
    </row>
    <row r="517" spans="1:4" s="80" customFormat="1" x14ac:dyDescent="0.2">
      <c r="A517" s="78" t="s">
        <v>128</v>
      </c>
      <c r="B517" s="78" t="s">
        <v>129</v>
      </c>
      <c r="C517" s="78" t="s">
        <v>130</v>
      </c>
      <c r="D517" s="78" t="s">
        <v>627</v>
      </c>
    </row>
    <row r="518" spans="1:4" s="80" customFormat="1" x14ac:dyDescent="0.2">
      <c r="A518" s="78" t="s">
        <v>131</v>
      </c>
      <c r="B518" s="78" t="s">
        <v>132</v>
      </c>
      <c r="C518" s="78" t="s">
        <v>133</v>
      </c>
      <c r="D518" s="78" t="s">
        <v>628</v>
      </c>
    </row>
    <row r="519" spans="1:4" s="80" customFormat="1" x14ac:dyDescent="0.2">
      <c r="A519" s="78" t="s">
        <v>134</v>
      </c>
      <c r="B519" s="78" t="s">
        <v>135</v>
      </c>
      <c r="C519" s="78" t="s">
        <v>136</v>
      </c>
      <c r="D519" s="78" t="s">
        <v>629</v>
      </c>
    </row>
    <row r="520" spans="1:4" s="80" customFormat="1" x14ac:dyDescent="0.2">
      <c r="A520" s="78" t="s">
        <v>137</v>
      </c>
      <c r="B520" s="78" t="s">
        <v>138</v>
      </c>
      <c r="C520" s="78" t="s">
        <v>139</v>
      </c>
      <c r="D520" s="78" t="s">
        <v>630</v>
      </c>
    </row>
    <row r="521" spans="1:4" s="80" customFormat="1" x14ac:dyDescent="0.2">
      <c r="A521" s="78" t="s">
        <v>140</v>
      </c>
      <c r="B521" s="78" t="s">
        <v>100</v>
      </c>
      <c r="C521" s="78" t="s">
        <v>101</v>
      </c>
      <c r="D521" s="78" t="s">
        <v>618</v>
      </c>
    </row>
    <row r="522" spans="1:4" s="80" customFormat="1" x14ac:dyDescent="0.2">
      <c r="A522" s="78" t="s">
        <v>141</v>
      </c>
      <c r="B522" s="78" t="s">
        <v>142</v>
      </c>
      <c r="C522" s="78" t="s">
        <v>143</v>
      </c>
      <c r="D522" s="78" t="s">
        <v>631</v>
      </c>
    </row>
    <row r="523" spans="1:4" s="80" customFormat="1" x14ac:dyDescent="0.2">
      <c r="A523" s="78" t="s">
        <v>144</v>
      </c>
      <c r="B523" s="78" t="s">
        <v>145</v>
      </c>
      <c r="C523" s="78" t="s">
        <v>146</v>
      </c>
      <c r="D523" s="78" t="s">
        <v>632</v>
      </c>
    </row>
    <row r="524" spans="1:4" s="80" customFormat="1" x14ac:dyDescent="0.2">
      <c r="A524" s="78" t="s">
        <v>147</v>
      </c>
      <c r="B524" s="78" t="s">
        <v>148</v>
      </c>
      <c r="C524" s="78" t="s">
        <v>149</v>
      </c>
      <c r="D524" s="78" t="s">
        <v>633</v>
      </c>
    </row>
    <row r="525" spans="1:4" s="80" customFormat="1" x14ac:dyDescent="0.2">
      <c r="A525" s="78" t="s">
        <v>150</v>
      </c>
      <c r="B525" s="78" t="s">
        <v>151</v>
      </c>
      <c r="C525" s="78" t="s">
        <v>152</v>
      </c>
      <c r="D525" s="78" t="s">
        <v>634</v>
      </c>
    </row>
    <row r="526" spans="1:4" s="80" customFormat="1" x14ac:dyDescent="0.2">
      <c r="A526" s="78" t="s">
        <v>153</v>
      </c>
      <c r="B526" s="78" t="s">
        <v>154</v>
      </c>
      <c r="C526" s="78" t="s">
        <v>155</v>
      </c>
      <c r="D526" s="78" t="s">
        <v>635</v>
      </c>
    </row>
    <row r="527" spans="1:4" s="80" customFormat="1" x14ac:dyDescent="0.2">
      <c r="A527" s="78" t="s">
        <v>156</v>
      </c>
      <c r="B527" s="78" t="s">
        <v>157</v>
      </c>
      <c r="C527" s="78" t="s">
        <v>158</v>
      </c>
      <c r="D527" s="78" t="s">
        <v>636</v>
      </c>
    </row>
    <row r="528" spans="1:4" s="80" customFormat="1" x14ac:dyDescent="0.2">
      <c r="A528" s="78" t="s">
        <v>159</v>
      </c>
      <c r="B528" s="78" t="s">
        <v>160</v>
      </c>
      <c r="C528" s="78" t="s">
        <v>161</v>
      </c>
      <c r="D528" s="78" t="s">
        <v>637</v>
      </c>
    </row>
    <row r="529" spans="1:4" s="80" customFormat="1" x14ac:dyDescent="0.2">
      <c r="A529" s="78" t="s">
        <v>162</v>
      </c>
      <c r="B529" s="78" t="s">
        <v>163</v>
      </c>
      <c r="C529" s="78" t="s">
        <v>164</v>
      </c>
      <c r="D529" s="78" t="s">
        <v>638</v>
      </c>
    </row>
    <row r="530" spans="1:4" s="80" customFormat="1" x14ac:dyDescent="0.2">
      <c r="A530" s="78" t="s">
        <v>165</v>
      </c>
      <c r="B530" s="78" t="s">
        <v>166</v>
      </c>
      <c r="C530" s="78" t="s">
        <v>167</v>
      </c>
      <c r="D530" s="78" t="s">
        <v>639</v>
      </c>
    </row>
    <row r="531" spans="1:4" s="80" customFormat="1" x14ac:dyDescent="0.2">
      <c r="A531" s="78" t="s">
        <v>168</v>
      </c>
      <c r="B531" s="78" t="s">
        <v>169</v>
      </c>
      <c r="C531" s="78" t="s">
        <v>170</v>
      </c>
      <c r="D531" s="78" t="s">
        <v>640</v>
      </c>
    </row>
    <row r="532" spans="1:4" s="80" customFormat="1" x14ac:dyDescent="0.2">
      <c r="A532" s="78" t="s">
        <v>171</v>
      </c>
      <c r="B532" s="78" t="s">
        <v>145</v>
      </c>
      <c r="C532" s="78" t="s">
        <v>146</v>
      </c>
      <c r="D532" s="78" t="s">
        <v>632</v>
      </c>
    </row>
    <row r="533" spans="1:4" s="80" customFormat="1" x14ac:dyDescent="0.2">
      <c r="A533" s="78" t="s">
        <v>172</v>
      </c>
      <c r="B533" s="78" t="s">
        <v>173</v>
      </c>
      <c r="C533" s="78" t="s">
        <v>174</v>
      </c>
      <c r="D533" s="78" t="s">
        <v>641</v>
      </c>
    </row>
    <row r="534" spans="1:4" s="80" customFormat="1" x14ac:dyDescent="0.2">
      <c r="A534" s="78" t="s">
        <v>175</v>
      </c>
      <c r="B534" s="78" t="s">
        <v>176</v>
      </c>
      <c r="C534" s="78" t="s">
        <v>177</v>
      </c>
      <c r="D534" s="78" t="s">
        <v>642</v>
      </c>
    </row>
    <row r="535" spans="1:4" s="80" customFormat="1" x14ac:dyDescent="0.2">
      <c r="A535" s="78" t="s">
        <v>178</v>
      </c>
      <c r="B535" s="78" t="s">
        <v>145</v>
      </c>
      <c r="C535" s="78" t="s">
        <v>179</v>
      </c>
      <c r="D535" s="78" t="s">
        <v>643</v>
      </c>
    </row>
    <row r="536" spans="1:4" s="80" customFormat="1" x14ac:dyDescent="0.2">
      <c r="A536" s="78" t="s">
        <v>180</v>
      </c>
      <c r="B536" s="78" t="s">
        <v>181</v>
      </c>
      <c r="C536" s="78" t="s">
        <v>182</v>
      </c>
      <c r="D536" s="78" t="s">
        <v>644</v>
      </c>
    </row>
    <row r="537" spans="1:4" s="80" customFormat="1" x14ac:dyDescent="0.2">
      <c r="A537" s="78" t="s">
        <v>183</v>
      </c>
      <c r="B537" s="78" t="s">
        <v>100</v>
      </c>
      <c r="C537" s="78" t="s">
        <v>101</v>
      </c>
      <c r="D537" s="78" t="s">
        <v>618</v>
      </c>
    </row>
    <row r="538" spans="1:4" s="80" customFormat="1" x14ac:dyDescent="0.2">
      <c r="A538" s="78" t="s">
        <v>184</v>
      </c>
      <c r="B538" s="78" t="s">
        <v>185</v>
      </c>
      <c r="C538" s="78" t="s">
        <v>186</v>
      </c>
      <c r="D538" s="78" t="s">
        <v>645</v>
      </c>
    </row>
    <row r="539" spans="1:4" s="80" customFormat="1" x14ac:dyDescent="0.2">
      <c r="A539" s="78" t="s">
        <v>187</v>
      </c>
      <c r="B539" s="78" t="s">
        <v>188</v>
      </c>
      <c r="C539" s="78" t="s">
        <v>189</v>
      </c>
      <c r="D539" s="78" t="s">
        <v>646</v>
      </c>
    </row>
    <row r="540" spans="1:4" s="80" customFormat="1" x14ac:dyDescent="0.2">
      <c r="A540" s="78" t="s">
        <v>190</v>
      </c>
      <c r="B540" s="78" t="s">
        <v>145</v>
      </c>
      <c r="C540" s="78" t="s">
        <v>179</v>
      </c>
      <c r="D540" s="78" t="s">
        <v>643</v>
      </c>
    </row>
    <row r="541" spans="1:4" s="80" customFormat="1" x14ac:dyDescent="0.2">
      <c r="A541" s="78" t="s">
        <v>191</v>
      </c>
      <c r="B541" s="78" t="s">
        <v>145</v>
      </c>
      <c r="C541" s="78" t="s">
        <v>179</v>
      </c>
      <c r="D541" s="78" t="s">
        <v>643</v>
      </c>
    </row>
    <row r="542" spans="1:4" s="80" customFormat="1" x14ac:dyDescent="0.2">
      <c r="A542" s="78" t="s">
        <v>192</v>
      </c>
      <c r="B542" s="78" t="s">
        <v>193</v>
      </c>
      <c r="C542" s="78" t="s">
        <v>194</v>
      </c>
      <c r="D542" s="78" t="s">
        <v>647</v>
      </c>
    </row>
    <row r="543" spans="1:4" s="80" customFormat="1" x14ac:dyDescent="0.2">
      <c r="A543" s="78" t="s">
        <v>195</v>
      </c>
      <c r="B543" s="78" t="s">
        <v>196</v>
      </c>
      <c r="C543" s="78" t="s">
        <v>197</v>
      </c>
      <c r="D543" s="78" t="s">
        <v>648</v>
      </c>
    </row>
    <row r="544" spans="1:4" s="80" customFormat="1" x14ac:dyDescent="0.2">
      <c r="A544" s="78" t="s">
        <v>198</v>
      </c>
      <c r="B544" s="78" t="s">
        <v>199</v>
      </c>
      <c r="C544" s="78" t="s">
        <v>200</v>
      </c>
      <c r="D544" s="78" t="s">
        <v>649</v>
      </c>
    </row>
    <row r="545" spans="1:4" s="80" customFormat="1" x14ac:dyDescent="0.2">
      <c r="A545" s="78" t="s">
        <v>201</v>
      </c>
      <c r="B545" s="78" t="s">
        <v>202</v>
      </c>
      <c r="C545" s="78" t="s">
        <v>203</v>
      </c>
      <c r="D545" s="78" t="s">
        <v>650</v>
      </c>
    </row>
    <row r="546" spans="1:4" s="80" customFormat="1" x14ac:dyDescent="0.2">
      <c r="A546" s="78" t="s">
        <v>204</v>
      </c>
      <c r="B546" s="78" t="s">
        <v>145</v>
      </c>
      <c r="C546" s="78" t="s">
        <v>179</v>
      </c>
      <c r="D546" s="78" t="s">
        <v>643</v>
      </c>
    </row>
    <row r="547" spans="1:4" s="80" customFormat="1" x14ac:dyDescent="0.2">
      <c r="A547" s="78" t="s">
        <v>205</v>
      </c>
      <c r="B547" s="78" t="s">
        <v>206</v>
      </c>
      <c r="C547" s="78" t="s">
        <v>207</v>
      </c>
      <c r="D547" s="78" t="s">
        <v>651</v>
      </c>
    </row>
    <row r="548" spans="1:4" s="80" customFormat="1" x14ac:dyDescent="0.2">
      <c r="A548" s="78" t="s">
        <v>208</v>
      </c>
      <c r="B548" s="78" t="s">
        <v>209</v>
      </c>
      <c r="C548" s="78" t="s">
        <v>210</v>
      </c>
      <c r="D548" s="78" t="s">
        <v>652</v>
      </c>
    </row>
    <row r="549" spans="1:4" s="80" customFormat="1" x14ac:dyDescent="0.2">
      <c r="A549" s="78" t="s">
        <v>211</v>
      </c>
      <c r="B549" s="78" t="s">
        <v>212</v>
      </c>
      <c r="C549" s="78" t="s">
        <v>213</v>
      </c>
      <c r="D549" s="78" t="s">
        <v>653</v>
      </c>
    </row>
    <row r="550" spans="1:4" s="80" customFormat="1" x14ac:dyDescent="0.2">
      <c r="A550" s="78" t="s">
        <v>214</v>
      </c>
      <c r="B550" s="78" t="s">
        <v>145</v>
      </c>
      <c r="C550" s="78" t="s">
        <v>146</v>
      </c>
      <c r="D550" s="78" t="s">
        <v>632</v>
      </c>
    </row>
    <row r="551" spans="1:4" s="80" customFormat="1" x14ac:dyDescent="0.2">
      <c r="A551" s="78" t="s">
        <v>215</v>
      </c>
      <c r="B551" s="78" t="s">
        <v>216</v>
      </c>
      <c r="C551" s="78" t="s">
        <v>217</v>
      </c>
      <c r="D551" s="78" t="s">
        <v>654</v>
      </c>
    </row>
    <row r="552" spans="1:4" s="80" customFormat="1" x14ac:dyDescent="0.2">
      <c r="A552" s="78" t="s">
        <v>218</v>
      </c>
      <c r="B552" s="78" t="s">
        <v>219</v>
      </c>
      <c r="C552" s="78" t="s">
        <v>220</v>
      </c>
      <c r="D552" s="78" t="s">
        <v>655</v>
      </c>
    </row>
    <row r="553" spans="1:4" s="80" customFormat="1" x14ac:dyDescent="0.2">
      <c r="A553" s="78" t="s">
        <v>221</v>
      </c>
      <c r="B553" s="78" t="s">
        <v>100</v>
      </c>
      <c r="C553" s="78" t="s">
        <v>101</v>
      </c>
      <c r="D553" s="78" t="s">
        <v>618</v>
      </c>
    </row>
    <row r="554" spans="1:4" s="80" customFormat="1" x14ac:dyDescent="0.2">
      <c r="A554" s="78" t="s">
        <v>222</v>
      </c>
      <c r="B554" s="78" t="s">
        <v>223</v>
      </c>
      <c r="C554" s="78" t="s">
        <v>224</v>
      </c>
      <c r="D554" s="78" t="s">
        <v>656</v>
      </c>
    </row>
    <row r="555" spans="1:4" s="80" customFormat="1" x14ac:dyDescent="0.2">
      <c r="A555" s="78" t="s">
        <v>225</v>
      </c>
      <c r="B555" s="78" t="s">
        <v>226</v>
      </c>
      <c r="C555" s="78" t="s">
        <v>227</v>
      </c>
      <c r="D555" s="78" t="s">
        <v>657</v>
      </c>
    </row>
    <row r="556" spans="1:4" s="80" customFormat="1" x14ac:dyDescent="0.2">
      <c r="A556" s="78" t="s">
        <v>228</v>
      </c>
      <c r="B556" s="78" t="s">
        <v>229</v>
      </c>
      <c r="C556" s="78" t="s">
        <v>230</v>
      </c>
      <c r="D556" s="78" t="s">
        <v>658</v>
      </c>
    </row>
    <row r="557" spans="1:4" s="80" customFormat="1" x14ac:dyDescent="0.2">
      <c r="A557" s="78" t="s">
        <v>231</v>
      </c>
      <c r="B557" s="78" t="s">
        <v>232</v>
      </c>
      <c r="C557" s="78" t="s">
        <v>233</v>
      </c>
      <c r="D557" s="78" t="s">
        <v>659</v>
      </c>
    </row>
    <row r="558" spans="1:4" s="80" customFormat="1" x14ac:dyDescent="0.2">
      <c r="A558" s="78" t="s">
        <v>234</v>
      </c>
      <c r="B558" s="78" t="s">
        <v>106</v>
      </c>
      <c r="C558" s="78" t="s">
        <v>107</v>
      </c>
      <c r="D558" s="78" t="s">
        <v>620</v>
      </c>
    </row>
    <row r="559" spans="1:4" s="80" customFormat="1" x14ac:dyDescent="0.2">
      <c r="A559" s="78" t="s">
        <v>235</v>
      </c>
      <c r="B559" s="78" t="s">
        <v>236</v>
      </c>
      <c r="C559" s="78" t="s">
        <v>237</v>
      </c>
      <c r="D559" s="78" t="s">
        <v>660</v>
      </c>
    </row>
    <row r="560" spans="1:4" s="80" customFormat="1" x14ac:dyDescent="0.2">
      <c r="A560" s="78" t="s">
        <v>238</v>
      </c>
      <c r="B560" s="78" t="s">
        <v>97</v>
      </c>
      <c r="C560" s="78" t="s">
        <v>98</v>
      </c>
      <c r="D560" s="78" t="s">
        <v>617</v>
      </c>
    </row>
    <row r="561" spans="1:4" s="80" customFormat="1" x14ac:dyDescent="0.2">
      <c r="A561" s="78" t="s">
        <v>239</v>
      </c>
      <c r="B561" s="78" t="s">
        <v>97</v>
      </c>
      <c r="C561" s="78" t="s">
        <v>98</v>
      </c>
      <c r="D561" s="78" t="s">
        <v>617</v>
      </c>
    </row>
    <row r="562" spans="1:4" s="80" customFormat="1" x14ac:dyDescent="0.2">
      <c r="A562" s="78" t="s">
        <v>240</v>
      </c>
      <c r="B562" s="78" t="s">
        <v>241</v>
      </c>
      <c r="C562" s="78" t="s">
        <v>242</v>
      </c>
      <c r="D562" s="78" t="s">
        <v>661</v>
      </c>
    </row>
    <row r="563" spans="1:4" s="80" customFormat="1" x14ac:dyDescent="0.2">
      <c r="A563" s="78" t="s">
        <v>243</v>
      </c>
      <c r="B563" s="78" t="s">
        <v>244</v>
      </c>
      <c r="C563" s="78" t="s">
        <v>245</v>
      </c>
      <c r="D563" s="78" t="s">
        <v>662</v>
      </c>
    </row>
    <row r="564" spans="1:4" s="80" customFormat="1" x14ac:dyDescent="0.2">
      <c r="A564" s="78" t="s">
        <v>246</v>
      </c>
      <c r="B564" s="78" t="s">
        <v>145</v>
      </c>
      <c r="C564" s="78" t="s">
        <v>179</v>
      </c>
      <c r="D564" s="78" t="s">
        <v>643</v>
      </c>
    </row>
    <row r="565" spans="1:4" s="80" customFormat="1" x14ac:dyDescent="0.2">
      <c r="A565" s="78" t="s">
        <v>247</v>
      </c>
      <c r="B565" s="78" t="s">
        <v>248</v>
      </c>
      <c r="C565" s="78" t="s">
        <v>249</v>
      </c>
      <c r="D565" s="78" t="s">
        <v>663</v>
      </c>
    </row>
    <row r="566" spans="1:4" s="80" customFormat="1" x14ac:dyDescent="0.2">
      <c r="A566" s="78" t="s">
        <v>250</v>
      </c>
      <c r="B566" s="78" t="s">
        <v>100</v>
      </c>
      <c r="C566" s="78" t="s">
        <v>101</v>
      </c>
      <c r="D566" s="78" t="s">
        <v>618</v>
      </c>
    </row>
    <row r="567" spans="1:4" s="80" customFormat="1" x14ac:dyDescent="0.2">
      <c r="A567" s="78" t="s">
        <v>251</v>
      </c>
      <c r="B567" s="78" t="s">
        <v>252</v>
      </c>
      <c r="C567" s="78" t="s">
        <v>253</v>
      </c>
      <c r="D567" s="78" t="s">
        <v>664</v>
      </c>
    </row>
    <row r="568" spans="1:4" s="80" customFormat="1" x14ac:dyDescent="0.2">
      <c r="A568" s="78" t="s">
        <v>254</v>
      </c>
      <c r="B568" s="78" t="s">
        <v>255</v>
      </c>
      <c r="C568" s="78" t="s">
        <v>256</v>
      </c>
      <c r="D568" s="78" t="s">
        <v>665</v>
      </c>
    </row>
    <row r="569" spans="1:4" s="80" customFormat="1" x14ac:dyDescent="0.2">
      <c r="A569" s="78" t="s">
        <v>257</v>
      </c>
      <c r="B569" s="78" t="s">
        <v>100</v>
      </c>
      <c r="C569" s="78" t="s">
        <v>101</v>
      </c>
      <c r="D569" s="78" t="s">
        <v>618</v>
      </c>
    </row>
    <row r="570" spans="1:4" s="80" customFormat="1" x14ac:dyDescent="0.2">
      <c r="A570" s="78" t="s">
        <v>258</v>
      </c>
      <c r="B570" s="78" t="s">
        <v>100</v>
      </c>
      <c r="C570" s="78" t="s">
        <v>101</v>
      </c>
      <c r="D570" s="78" t="s">
        <v>618</v>
      </c>
    </row>
    <row r="571" spans="1:4" s="80" customFormat="1" x14ac:dyDescent="0.2">
      <c r="A571" s="78" t="s">
        <v>259</v>
      </c>
      <c r="B571" s="78" t="s">
        <v>100</v>
      </c>
      <c r="C571" s="78" t="s">
        <v>101</v>
      </c>
      <c r="D571" s="78" t="s">
        <v>618</v>
      </c>
    </row>
    <row r="572" spans="1:4" s="80" customFormat="1" x14ac:dyDescent="0.2">
      <c r="A572" s="78" t="s">
        <v>260</v>
      </c>
      <c r="B572" s="78" t="s">
        <v>261</v>
      </c>
      <c r="C572" s="78" t="s">
        <v>262</v>
      </c>
      <c r="D572" s="78" t="s">
        <v>666</v>
      </c>
    </row>
    <row r="573" spans="1:4" s="80" customFormat="1" x14ac:dyDescent="0.2">
      <c r="A573" s="78" t="s">
        <v>263</v>
      </c>
      <c r="B573" s="78" t="s">
        <v>145</v>
      </c>
      <c r="C573" s="78" t="s">
        <v>179</v>
      </c>
      <c r="D573" s="78" t="s">
        <v>643</v>
      </c>
    </row>
    <row r="574" spans="1:4" s="80" customFormat="1" x14ac:dyDescent="0.2">
      <c r="A574" s="78" t="s">
        <v>264</v>
      </c>
      <c r="B574" s="78" t="s">
        <v>265</v>
      </c>
      <c r="C574" s="78" t="s">
        <v>266</v>
      </c>
      <c r="D574" s="78" t="s">
        <v>667</v>
      </c>
    </row>
    <row r="575" spans="1:4" s="80" customFormat="1" x14ac:dyDescent="0.2">
      <c r="A575" s="78" t="s">
        <v>267</v>
      </c>
      <c r="B575" s="78" t="s">
        <v>268</v>
      </c>
      <c r="C575" s="78" t="s">
        <v>269</v>
      </c>
      <c r="D575" s="78" t="s">
        <v>668</v>
      </c>
    </row>
    <row r="576" spans="1:4" s="80" customFormat="1" x14ac:dyDescent="0.2">
      <c r="A576" s="78" t="s">
        <v>270</v>
      </c>
      <c r="B576" s="78" t="s">
        <v>100</v>
      </c>
      <c r="C576" s="78" t="s">
        <v>101</v>
      </c>
      <c r="D576" s="78" t="s">
        <v>618</v>
      </c>
    </row>
    <row r="577" spans="1:4" s="80" customFormat="1" x14ac:dyDescent="0.2">
      <c r="A577" s="78" t="s">
        <v>271</v>
      </c>
      <c r="B577" s="78" t="s">
        <v>272</v>
      </c>
      <c r="C577" s="78" t="s">
        <v>273</v>
      </c>
      <c r="D577" s="78" t="s">
        <v>669</v>
      </c>
    </row>
    <row r="578" spans="1:4" s="80" customFormat="1" x14ac:dyDescent="0.2">
      <c r="A578" s="78" t="s">
        <v>274</v>
      </c>
      <c r="B578" s="78" t="s">
        <v>100</v>
      </c>
      <c r="C578" s="78" t="s">
        <v>101</v>
      </c>
      <c r="D578" s="78" t="s">
        <v>618</v>
      </c>
    </row>
    <row r="579" spans="1:4" s="80" customFormat="1" x14ac:dyDescent="0.2">
      <c r="A579" s="78" t="s">
        <v>275</v>
      </c>
      <c r="B579" s="78" t="s">
        <v>229</v>
      </c>
      <c r="C579" s="78" t="s">
        <v>230</v>
      </c>
      <c r="D579" s="78" t="s">
        <v>658</v>
      </c>
    </row>
    <row r="580" spans="1:4" s="80" customFormat="1" x14ac:dyDescent="0.2">
      <c r="A580" s="78" t="s">
        <v>276</v>
      </c>
      <c r="B580" s="78" t="s">
        <v>106</v>
      </c>
      <c r="C580" s="78" t="s">
        <v>107</v>
      </c>
      <c r="D580" s="78" t="s">
        <v>620</v>
      </c>
    </row>
    <row r="581" spans="1:4" s="80" customFormat="1" x14ac:dyDescent="0.2">
      <c r="A581" s="78" t="s">
        <v>277</v>
      </c>
      <c r="B581" s="78" t="s">
        <v>100</v>
      </c>
      <c r="C581" s="78" t="s">
        <v>101</v>
      </c>
      <c r="D581" s="78" t="s">
        <v>618</v>
      </c>
    </row>
    <row r="582" spans="1:4" s="80" customFormat="1" x14ac:dyDescent="0.2">
      <c r="A582" s="78" t="s">
        <v>278</v>
      </c>
      <c r="B582" s="78" t="s">
        <v>97</v>
      </c>
      <c r="C582" s="78" t="s">
        <v>98</v>
      </c>
      <c r="D582" s="78" t="s">
        <v>617</v>
      </c>
    </row>
    <row r="583" spans="1:4" s="80" customFormat="1" x14ac:dyDescent="0.2">
      <c r="A583" s="78" t="s">
        <v>279</v>
      </c>
      <c r="B583" s="78" t="s">
        <v>280</v>
      </c>
      <c r="C583" s="78" t="s">
        <v>281</v>
      </c>
      <c r="D583" s="78" t="s">
        <v>670</v>
      </c>
    </row>
    <row r="584" spans="1:4" s="80" customFormat="1" x14ac:dyDescent="0.2">
      <c r="A584" s="78" t="s">
        <v>282</v>
      </c>
      <c r="B584" s="78" t="s">
        <v>283</v>
      </c>
      <c r="C584" s="78" t="s">
        <v>284</v>
      </c>
      <c r="D584" s="78" t="s">
        <v>671</v>
      </c>
    </row>
    <row r="585" spans="1:4" s="80" customFormat="1" x14ac:dyDescent="0.2">
      <c r="A585" s="78" t="s">
        <v>285</v>
      </c>
      <c r="B585" s="78" t="s">
        <v>145</v>
      </c>
      <c r="C585" s="78" t="s">
        <v>146</v>
      </c>
      <c r="D585" s="78" t="s">
        <v>632</v>
      </c>
    </row>
    <row r="586" spans="1:4" s="80" customFormat="1" x14ac:dyDescent="0.2">
      <c r="A586" s="78" t="s">
        <v>286</v>
      </c>
      <c r="B586" s="78" t="s">
        <v>287</v>
      </c>
      <c r="C586" s="78" t="s">
        <v>288</v>
      </c>
      <c r="D586" s="78" t="s">
        <v>672</v>
      </c>
    </row>
    <row r="587" spans="1:4" s="80" customFormat="1" x14ac:dyDescent="0.2">
      <c r="A587" s="78" t="s">
        <v>289</v>
      </c>
      <c r="B587" s="78" t="s">
        <v>290</v>
      </c>
      <c r="C587" s="78" t="s">
        <v>291</v>
      </c>
      <c r="D587" s="78" t="s">
        <v>673</v>
      </c>
    </row>
    <row r="588" spans="1:4" s="80" customFormat="1" x14ac:dyDescent="0.2">
      <c r="A588" s="78" t="s">
        <v>292</v>
      </c>
      <c r="B588" s="78" t="s">
        <v>293</v>
      </c>
      <c r="C588" s="78" t="s">
        <v>294</v>
      </c>
      <c r="D588" s="78" t="s">
        <v>674</v>
      </c>
    </row>
    <row r="589" spans="1:4" s="80" customFormat="1" x14ac:dyDescent="0.2">
      <c r="A589" s="78" t="s">
        <v>295</v>
      </c>
      <c r="B589" s="78" t="s">
        <v>296</v>
      </c>
      <c r="C589" s="78" t="s">
        <v>297</v>
      </c>
      <c r="D589" s="78" t="s">
        <v>675</v>
      </c>
    </row>
    <row r="590" spans="1:4" s="80" customFormat="1" x14ac:dyDescent="0.2">
      <c r="A590" s="78" t="s">
        <v>298</v>
      </c>
      <c r="B590" s="78" t="s">
        <v>299</v>
      </c>
      <c r="C590" s="78" t="s">
        <v>300</v>
      </c>
      <c r="D590" s="78" t="s">
        <v>676</v>
      </c>
    </row>
    <row r="591" spans="1:4" s="80" customFormat="1" x14ac:dyDescent="0.2">
      <c r="A591" s="78" t="s">
        <v>301</v>
      </c>
      <c r="B591" s="78" t="s">
        <v>302</v>
      </c>
      <c r="C591" s="78" t="s">
        <v>303</v>
      </c>
      <c r="D591" s="78" t="s">
        <v>677</v>
      </c>
    </row>
    <row r="592" spans="1:4" s="80" customFormat="1" x14ac:dyDescent="0.2">
      <c r="A592" s="78" t="s">
        <v>304</v>
      </c>
      <c r="B592" s="78" t="s">
        <v>305</v>
      </c>
      <c r="C592" s="78" t="s">
        <v>306</v>
      </c>
      <c r="D592" s="78" t="s">
        <v>678</v>
      </c>
    </row>
    <row r="593" spans="1:4" s="80" customFormat="1" x14ac:dyDescent="0.2">
      <c r="A593" s="78" t="s">
        <v>307</v>
      </c>
      <c r="B593" s="78" t="s">
        <v>308</v>
      </c>
      <c r="C593" s="78" t="s">
        <v>309</v>
      </c>
      <c r="D593" s="78" t="s">
        <v>679</v>
      </c>
    </row>
    <row r="594" spans="1:4" s="80" customFormat="1" x14ac:dyDescent="0.2">
      <c r="A594" s="78" t="s">
        <v>310</v>
      </c>
      <c r="B594" s="78" t="s">
        <v>311</v>
      </c>
      <c r="C594" s="78" t="s">
        <v>312</v>
      </c>
      <c r="D594" s="78" t="s">
        <v>680</v>
      </c>
    </row>
    <row r="595" spans="1:4" s="80" customFormat="1" x14ac:dyDescent="0.2">
      <c r="A595" s="78" t="s">
        <v>313</v>
      </c>
      <c r="B595" s="78" t="s">
        <v>314</v>
      </c>
      <c r="C595" s="78" t="s">
        <v>315</v>
      </c>
      <c r="D595" s="78" t="s">
        <v>681</v>
      </c>
    </row>
    <row r="596" spans="1:4" s="80" customFormat="1" x14ac:dyDescent="0.2">
      <c r="A596" s="78" t="s">
        <v>316</v>
      </c>
      <c r="B596" s="78" t="s">
        <v>100</v>
      </c>
      <c r="C596" s="78" t="s">
        <v>101</v>
      </c>
      <c r="D596" s="78" t="s">
        <v>618</v>
      </c>
    </row>
    <row r="597" spans="1:4" s="80" customFormat="1" x14ac:dyDescent="0.2">
      <c r="A597" s="78" t="s">
        <v>317</v>
      </c>
      <c r="B597" s="78" t="s">
        <v>318</v>
      </c>
      <c r="C597" s="78" t="s">
        <v>319</v>
      </c>
      <c r="D597" s="78" t="s">
        <v>682</v>
      </c>
    </row>
    <row r="598" spans="1:4" s="80" customFormat="1" x14ac:dyDescent="0.2">
      <c r="A598" s="78" t="s">
        <v>320</v>
      </c>
      <c r="B598" s="78" t="s">
        <v>100</v>
      </c>
      <c r="C598" s="78" t="s">
        <v>101</v>
      </c>
      <c r="D598" s="78" t="s">
        <v>618</v>
      </c>
    </row>
    <row r="599" spans="1:4" s="80" customFormat="1" x14ac:dyDescent="0.2">
      <c r="A599" s="78" t="s">
        <v>321</v>
      </c>
      <c r="B599" s="78" t="s">
        <v>322</v>
      </c>
      <c r="C599" s="78" t="s">
        <v>323</v>
      </c>
      <c r="D599" s="78" t="s">
        <v>683</v>
      </c>
    </row>
    <row r="600" spans="1:4" s="80" customFormat="1" x14ac:dyDescent="0.2">
      <c r="A600" s="78" t="s">
        <v>324</v>
      </c>
      <c r="B600" s="78" t="s">
        <v>325</v>
      </c>
      <c r="C600" s="78" t="s">
        <v>326</v>
      </c>
      <c r="D600" s="78" t="s">
        <v>684</v>
      </c>
    </row>
    <row r="601" spans="1:4" s="80" customFormat="1" x14ac:dyDescent="0.2">
      <c r="A601" s="78" t="s">
        <v>327</v>
      </c>
      <c r="B601" s="78" t="s">
        <v>328</v>
      </c>
      <c r="C601" s="78" t="s">
        <v>329</v>
      </c>
      <c r="D601" s="78" t="s">
        <v>685</v>
      </c>
    </row>
    <row r="602" spans="1:4" s="80" customFormat="1" x14ac:dyDescent="0.2">
      <c r="A602" s="78" t="s">
        <v>330</v>
      </c>
      <c r="B602" s="78" t="s">
        <v>331</v>
      </c>
      <c r="C602" s="78" t="s">
        <v>332</v>
      </c>
      <c r="D602" s="78" t="s">
        <v>686</v>
      </c>
    </row>
    <row r="603" spans="1:4" s="80" customFormat="1" x14ac:dyDescent="0.2">
      <c r="A603" s="78" t="s">
        <v>333</v>
      </c>
      <c r="B603" s="78" t="s">
        <v>334</v>
      </c>
      <c r="C603" s="78" t="s">
        <v>335</v>
      </c>
      <c r="D603" s="78" t="s">
        <v>687</v>
      </c>
    </row>
    <row r="604" spans="1:4" s="80" customFormat="1" x14ac:dyDescent="0.2">
      <c r="A604" s="78" t="s">
        <v>336</v>
      </c>
      <c r="B604" s="78" t="s">
        <v>119</v>
      </c>
      <c r="C604" s="78" t="s">
        <v>120</v>
      </c>
      <c r="D604" s="78" t="s">
        <v>624</v>
      </c>
    </row>
    <row r="605" spans="1:4" s="80" customFormat="1" x14ac:dyDescent="0.2">
      <c r="A605" s="78" t="s">
        <v>337</v>
      </c>
      <c r="B605" s="78" t="s">
        <v>338</v>
      </c>
      <c r="C605" s="78" t="s">
        <v>339</v>
      </c>
      <c r="D605" s="78" t="s">
        <v>688</v>
      </c>
    </row>
    <row r="606" spans="1:4" s="80" customFormat="1" x14ac:dyDescent="0.2">
      <c r="A606" s="78" t="s">
        <v>340</v>
      </c>
      <c r="B606" s="78" t="s">
        <v>341</v>
      </c>
      <c r="C606" s="78" t="s">
        <v>342</v>
      </c>
      <c r="D606" s="78" t="s">
        <v>689</v>
      </c>
    </row>
    <row r="607" spans="1:4" s="80" customFormat="1" x14ac:dyDescent="0.2">
      <c r="A607" s="78" t="s">
        <v>343</v>
      </c>
      <c r="B607" s="78" t="s">
        <v>344</v>
      </c>
      <c r="C607" s="78" t="s">
        <v>345</v>
      </c>
      <c r="D607" s="78" t="s">
        <v>690</v>
      </c>
    </row>
    <row r="608" spans="1:4" s="80" customFormat="1" x14ac:dyDescent="0.2">
      <c r="A608" s="78" t="s">
        <v>346</v>
      </c>
      <c r="B608" s="78" t="s">
        <v>347</v>
      </c>
      <c r="C608" s="78" t="s">
        <v>348</v>
      </c>
      <c r="D608" s="78" t="s">
        <v>691</v>
      </c>
    </row>
    <row r="609" spans="1:4" s="80" customFormat="1" x14ac:dyDescent="0.2">
      <c r="A609" s="78" t="s">
        <v>349</v>
      </c>
      <c r="B609" s="78" t="s">
        <v>350</v>
      </c>
      <c r="C609" s="78" t="s">
        <v>351</v>
      </c>
      <c r="D609" s="78" t="s">
        <v>692</v>
      </c>
    </row>
    <row r="610" spans="1:4" s="80" customFormat="1" x14ac:dyDescent="0.2">
      <c r="A610" s="78" t="s">
        <v>352</v>
      </c>
      <c r="B610" s="78" t="s">
        <v>353</v>
      </c>
      <c r="C610" s="78" t="s">
        <v>354</v>
      </c>
      <c r="D610" s="78" t="s">
        <v>693</v>
      </c>
    </row>
    <row r="611" spans="1:4" s="80" customFormat="1" x14ac:dyDescent="0.2">
      <c r="A611" s="78" t="s">
        <v>355</v>
      </c>
      <c r="B611" s="78" t="s">
        <v>356</v>
      </c>
      <c r="C611" s="78" t="s">
        <v>357</v>
      </c>
      <c r="D611" s="78" t="s">
        <v>694</v>
      </c>
    </row>
    <row r="612" spans="1:4" s="80" customFormat="1" x14ac:dyDescent="0.2">
      <c r="A612" s="78" t="s">
        <v>358</v>
      </c>
      <c r="B612" s="78" t="s">
        <v>359</v>
      </c>
      <c r="C612" s="78" t="s">
        <v>360</v>
      </c>
      <c r="D612" s="78" t="s">
        <v>695</v>
      </c>
    </row>
    <row r="613" spans="1:4" s="80" customFormat="1" x14ac:dyDescent="0.2">
      <c r="A613" s="78" t="s">
        <v>361</v>
      </c>
      <c r="B613" s="78" t="s">
        <v>362</v>
      </c>
      <c r="C613" s="78" t="s">
        <v>363</v>
      </c>
      <c r="D613" s="78" t="s">
        <v>696</v>
      </c>
    </row>
    <row r="614" spans="1:4" s="80" customFormat="1" x14ac:dyDescent="0.2">
      <c r="A614" s="78" t="s">
        <v>364</v>
      </c>
      <c r="B614" s="78" t="s">
        <v>365</v>
      </c>
      <c r="C614" s="78" t="s">
        <v>366</v>
      </c>
      <c r="D614" s="78" t="s">
        <v>697</v>
      </c>
    </row>
    <row r="615" spans="1:4" s="80" customFormat="1" x14ac:dyDescent="0.2">
      <c r="A615" s="78" t="s">
        <v>367</v>
      </c>
      <c r="B615" s="78" t="s">
        <v>100</v>
      </c>
      <c r="C615" s="78" t="s">
        <v>101</v>
      </c>
      <c r="D615" s="78" t="s">
        <v>618</v>
      </c>
    </row>
    <row r="616" spans="1:4" s="80" customFormat="1" x14ac:dyDescent="0.2">
      <c r="A616" s="78" t="s">
        <v>368</v>
      </c>
      <c r="B616" s="78" t="s">
        <v>369</v>
      </c>
      <c r="C616" s="78" t="s">
        <v>370</v>
      </c>
      <c r="D616" s="78" t="s">
        <v>698</v>
      </c>
    </row>
    <row r="617" spans="1:4" s="80" customFormat="1" x14ac:dyDescent="0.2">
      <c r="A617" s="78" t="s">
        <v>371</v>
      </c>
      <c r="B617" s="78" t="s">
        <v>372</v>
      </c>
      <c r="C617" s="78" t="s">
        <v>373</v>
      </c>
      <c r="D617" s="78" t="s">
        <v>699</v>
      </c>
    </row>
    <row r="618" spans="1:4" s="80" customFormat="1" x14ac:dyDescent="0.2">
      <c r="A618" s="78" t="s">
        <v>374</v>
      </c>
      <c r="B618" s="78" t="s">
        <v>375</v>
      </c>
      <c r="C618" s="78" t="s">
        <v>376</v>
      </c>
      <c r="D618" s="78" t="s">
        <v>700</v>
      </c>
    </row>
    <row r="619" spans="1:4" s="80" customFormat="1" x14ac:dyDescent="0.2">
      <c r="A619" s="78" t="s">
        <v>377</v>
      </c>
      <c r="B619" s="78" t="s">
        <v>378</v>
      </c>
      <c r="C619" s="78" t="s">
        <v>379</v>
      </c>
      <c r="D619" s="78" t="s">
        <v>701</v>
      </c>
    </row>
    <row r="620" spans="1:4" s="80" customFormat="1" x14ac:dyDescent="0.2">
      <c r="A620" s="78" t="s">
        <v>380</v>
      </c>
      <c r="B620" s="78" t="s">
        <v>381</v>
      </c>
      <c r="C620" s="78" t="s">
        <v>382</v>
      </c>
      <c r="D620" s="78" t="s">
        <v>702</v>
      </c>
    </row>
    <row r="621" spans="1:4" s="80" customFormat="1" x14ac:dyDescent="0.2">
      <c r="A621" s="78" t="s">
        <v>383</v>
      </c>
      <c r="B621" s="78" t="s">
        <v>145</v>
      </c>
      <c r="C621" s="78" t="s">
        <v>146</v>
      </c>
      <c r="D621" s="78" t="s">
        <v>632</v>
      </c>
    </row>
    <row r="622" spans="1:4" s="80" customFormat="1" x14ac:dyDescent="0.2">
      <c r="A622" s="78" t="s">
        <v>384</v>
      </c>
      <c r="B622" s="78" t="s">
        <v>100</v>
      </c>
      <c r="C622" s="78" t="s">
        <v>101</v>
      </c>
      <c r="D622" s="78" t="s">
        <v>618</v>
      </c>
    </row>
    <row r="623" spans="1:4" s="80" customFormat="1" x14ac:dyDescent="0.2">
      <c r="A623" s="78" t="s">
        <v>385</v>
      </c>
      <c r="B623" s="78" t="s">
        <v>97</v>
      </c>
      <c r="C623" s="78" t="s">
        <v>98</v>
      </c>
      <c r="D623" s="78" t="s">
        <v>617</v>
      </c>
    </row>
    <row r="624" spans="1:4" s="80" customFormat="1" x14ac:dyDescent="0.2">
      <c r="A624" s="78" t="s">
        <v>386</v>
      </c>
      <c r="B624" s="78" t="s">
        <v>100</v>
      </c>
      <c r="C624" s="78" t="s">
        <v>101</v>
      </c>
      <c r="D624" s="78" t="s">
        <v>618</v>
      </c>
    </row>
    <row r="625" spans="1:4" s="80" customFormat="1" x14ac:dyDescent="0.2">
      <c r="A625" s="78" t="s">
        <v>387</v>
      </c>
      <c r="B625" s="78" t="s">
        <v>388</v>
      </c>
      <c r="C625" s="78" t="s">
        <v>389</v>
      </c>
      <c r="D625" s="78" t="s">
        <v>703</v>
      </c>
    </row>
    <row r="626" spans="1:4" s="80" customFormat="1" x14ac:dyDescent="0.2">
      <c r="A626" s="78" t="s">
        <v>390</v>
      </c>
      <c r="B626" s="78" t="s">
        <v>391</v>
      </c>
      <c r="C626" s="78" t="s">
        <v>392</v>
      </c>
      <c r="D626" s="78" t="s">
        <v>704</v>
      </c>
    </row>
    <row r="627" spans="1:4" s="80" customFormat="1" x14ac:dyDescent="0.2">
      <c r="A627" s="78" t="s">
        <v>393</v>
      </c>
      <c r="B627" s="78" t="s">
        <v>394</v>
      </c>
      <c r="C627" s="78" t="s">
        <v>395</v>
      </c>
      <c r="D627" s="78" t="s">
        <v>705</v>
      </c>
    </row>
    <row r="628" spans="1:4" s="80" customFormat="1" x14ac:dyDescent="0.2">
      <c r="A628" s="78" t="s">
        <v>396</v>
      </c>
      <c r="B628" s="78" t="s">
        <v>97</v>
      </c>
      <c r="C628" s="78" t="s">
        <v>98</v>
      </c>
      <c r="D628" s="78" t="s">
        <v>617</v>
      </c>
    </row>
    <row r="629" spans="1:4" s="80" customFormat="1" x14ac:dyDescent="0.2">
      <c r="A629" s="78" t="s">
        <v>397</v>
      </c>
      <c r="B629" s="78" t="s">
        <v>100</v>
      </c>
      <c r="C629" s="78" t="s">
        <v>101</v>
      </c>
      <c r="D629" s="78" t="s">
        <v>618</v>
      </c>
    </row>
    <row r="630" spans="1:4" s="80" customFormat="1" x14ac:dyDescent="0.2">
      <c r="A630" s="78" t="s">
        <v>398</v>
      </c>
      <c r="B630" s="78" t="s">
        <v>399</v>
      </c>
      <c r="C630" s="78" t="s">
        <v>400</v>
      </c>
      <c r="D630" s="78" t="s">
        <v>706</v>
      </c>
    </row>
    <row r="631" spans="1:4" s="80" customFormat="1" x14ac:dyDescent="0.2">
      <c r="A631" s="78" t="s">
        <v>401</v>
      </c>
      <c r="B631" s="78" t="s">
        <v>100</v>
      </c>
      <c r="C631" s="78" t="s">
        <v>101</v>
      </c>
      <c r="D631" s="78" t="s">
        <v>618</v>
      </c>
    </row>
    <row r="632" spans="1:4" s="80" customFormat="1" x14ac:dyDescent="0.2">
      <c r="A632" s="78" t="s">
        <v>402</v>
      </c>
      <c r="B632" s="78" t="s">
        <v>106</v>
      </c>
      <c r="C632" s="78" t="s">
        <v>107</v>
      </c>
      <c r="D632" s="78" t="s">
        <v>620</v>
      </c>
    </row>
    <row r="633" spans="1:4" s="80" customFormat="1" x14ac:dyDescent="0.2">
      <c r="A633" s="78" t="s">
        <v>403</v>
      </c>
      <c r="B633" s="78" t="s">
        <v>404</v>
      </c>
      <c r="C633" s="78" t="s">
        <v>405</v>
      </c>
      <c r="D633" s="78" t="s">
        <v>707</v>
      </c>
    </row>
    <row r="634" spans="1:4" s="80" customFormat="1" x14ac:dyDescent="0.2">
      <c r="A634" s="78" t="s">
        <v>406</v>
      </c>
      <c r="B634" s="78" t="s">
        <v>407</v>
      </c>
      <c r="C634" s="78" t="s">
        <v>408</v>
      </c>
      <c r="D634" s="78" t="s">
        <v>708</v>
      </c>
    </row>
    <row r="635" spans="1:4" s="80" customFormat="1" x14ac:dyDescent="0.2">
      <c r="A635" s="78" t="s">
        <v>409</v>
      </c>
      <c r="B635" s="78" t="s">
        <v>410</v>
      </c>
      <c r="C635" s="78" t="s">
        <v>411</v>
      </c>
      <c r="D635" s="78" t="s">
        <v>709</v>
      </c>
    </row>
    <row r="636" spans="1:4" s="80" customFormat="1" x14ac:dyDescent="0.2">
      <c r="A636" s="78" t="s">
        <v>412</v>
      </c>
      <c r="B636" s="78" t="s">
        <v>413</v>
      </c>
      <c r="C636" s="78" t="s">
        <v>414</v>
      </c>
      <c r="D636" s="78" t="s">
        <v>710</v>
      </c>
    </row>
    <row r="637" spans="1:4" s="80" customFormat="1" x14ac:dyDescent="0.2">
      <c r="A637" s="78" t="s">
        <v>415</v>
      </c>
      <c r="B637" s="78" t="s">
        <v>119</v>
      </c>
      <c r="C637" s="78" t="s">
        <v>120</v>
      </c>
      <c r="D637" s="78" t="s">
        <v>624</v>
      </c>
    </row>
    <row r="638" spans="1:4" s="80" customFormat="1" x14ac:dyDescent="0.2">
      <c r="A638" s="78" t="s">
        <v>416</v>
      </c>
      <c r="B638" s="78" t="s">
        <v>417</v>
      </c>
      <c r="C638" s="78" t="s">
        <v>418</v>
      </c>
      <c r="D638" s="78" t="s">
        <v>711</v>
      </c>
    </row>
    <row r="639" spans="1:4" s="80" customFormat="1" x14ac:dyDescent="0.2">
      <c r="A639" s="78" t="s">
        <v>419</v>
      </c>
      <c r="B639" s="78" t="s">
        <v>100</v>
      </c>
      <c r="C639" s="78" t="s">
        <v>101</v>
      </c>
      <c r="D639" s="78" t="s">
        <v>618</v>
      </c>
    </row>
    <row r="640" spans="1:4" s="80" customFormat="1" x14ac:dyDescent="0.2">
      <c r="A640" s="78" t="s">
        <v>420</v>
      </c>
      <c r="B640" s="78" t="s">
        <v>421</v>
      </c>
      <c r="C640" s="78" t="s">
        <v>422</v>
      </c>
      <c r="D640" s="78" t="s">
        <v>712</v>
      </c>
    </row>
    <row r="641" spans="1:4" s="80" customFormat="1" x14ac:dyDescent="0.2">
      <c r="A641" s="78" t="s">
        <v>423</v>
      </c>
      <c r="B641" s="78" t="s">
        <v>261</v>
      </c>
      <c r="C641" s="78" t="s">
        <v>262</v>
      </c>
      <c r="D641" s="78" t="s">
        <v>666</v>
      </c>
    </row>
    <row r="642" spans="1:4" s="80" customFormat="1" x14ac:dyDescent="0.2">
      <c r="A642" s="78" t="s">
        <v>424</v>
      </c>
      <c r="B642" s="78" t="s">
        <v>209</v>
      </c>
      <c r="C642" s="78" t="s">
        <v>210</v>
      </c>
      <c r="D642" s="78" t="s">
        <v>652</v>
      </c>
    </row>
    <row r="643" spans="1:4" s="80" customFormat="1" x14ac:dyDescent="0.2">
      <c r="A643" s="78" t="s">
        <v>425</v>
      </c>
      <c r="B643" s="78" t="s">
        <v>426</v>
      </c>
      <c r="C643" s="78" t="s">
        <v>427</v>
      </c>
      <c r="D643" s="78" t="s">
        <v>713</v>
      </c>
    </row>
    <row r="644" spans="1:4" s="80" customFormat="1" x14ac:dyDescent="0.2">
      <c r="A644" s="78" t="s">
        <v>428</v>
      </c>
      <c r="B644" s="78" t="s">
        <v>145</v>
      </c>
      <c r="C644" s="78" t="s">
        <v>146</v>
      </c>
      <c r="D644" s="78" t="s">
        <v>632</v>
      </c>
    </row>
    <row r="645" spans="1:4" s="80" customFormat="1" x14ac:dyDescent="0.2">
      <c r="A645" s="78" t="s">
        <v>429</v>
      </c>
      <c r="B645" s="78" t="s">
        <v>430</v>
      </c>
      <c r="C645" s="78" t="s">
        <v>431</v>
      </c>
      <c r="D645" s="78" t="s">
        <v>714</v>
      </c>
    </row>
    <row r="646" spans="1:4" s="80" customFormat="1" x14ac:dyDescent="0.2">
      <c r="A646" s="78" t="s">
        <v>432</v>
      </c>
      <c r="B646" s="78" t="s">
        <v>209</v>
      </c>
      <c r="C646" s="78" t="s">
        <v>210</v>
      </c>
      <c r="D646" s="78" t="s">
        <v>652</v>
      </c>
    </row>
    <row r="647" spans="1:4" s="80" customFormat="1" x14ac:dyDescent="0.2">
      <c r="A647" s="78" t="s">
        <v>433</v>
      </c>
      <c r="B647" s="78" t="s">
        <v>97</v>
      </c>
      <c r="C647" s="78" t="s">
        <v>98</v>
      </c>
      <c r="D647" s="78" t="s">
        <v>617</v>
      </c>
    </row>
    <row r="648" spans="1:4" s="80" customFormat="1" x14ac:dyDescent="0.2">
      <c r="A648" s="78" t="s">
        <v>434</v>
      </c>
      <c r="B648" s="78" t="s">
        <v>435</v>
      </c>
      <c r="C648" s="78" t="s">
        <v>436</v>
      </c>
      <c r="D648" s="78" t="s">
        <v>715</v>
      </c>
    </row>
    <row r="649" spans="1:4" s="80" customFormat="1" x14ac:dyDescent="0.2">
      <c r="A649" s="78" t="s">
        <v>437</v>
      </c>
      <c r="B649" s="78" t="s">
        <v>438</v>
      </c>
      <c r="C649" s="78" t="s">
        <v>439</v>
      </c>
      <c r="D649" s="78" t="s">
        <v>716</v>
      </c>
    </row>
    <row r="650" spans="1:4" s="80" customFormat="1" x14ac:dyDescent="0.2">
      <c r="A650" s="78" t="s">
        <v>440</v>
      </c>
      <c r="B650" s="78" t="s">
        <v>441</v>
      </c>
      <c r="C650" s="78" t="s">
        <v>442</v>
      </c>
      <c r="D650" s="78" t="s">
        <v>717</v>
      </c>
    </row>
    <row r="651" spans="1:4" s="80" customFormat="1" x14ac:dyDescent="0.2">
      <c r="A651" s="78" t="s">
        <v>443</v>
      </c>
      <c r="B651" s="78" t="s">
        <v>97</v>
      </c>
      <c r="C651" s="78" t="s">
        <v>98</v>
      </c>
      <c r="D651" s="78" t="s">
        <v>617</v>
      </c>
    </row>
    <row r="652" spans="1:4" s="80" customFormat="1" x14ac:dyDescent="0.2">
      <c r="A652" s="78" t="s">
        <v>444</v>
      </c>
      <c r="B652" s="78" t="s">
        <v>445</v>
      </c>
      <c r="C652" s="78" t="s">
        <v>446</v>
      </c>
      <c r="D652" s="78" t="s">
        <v>718</v>
      </c>
    </row>
    <row r="653" spans="1:4" s="80" customFormat="1" x14ac:dyDescent="0.2">
      <c r="A653" s="78" t="s">
        <v>447</v>
      </c>
      <c r="B653" s="78" t="s">
        <v>448</v>
      </c>
      <c r="C653" s="78" t="s">
        <v>449</v>
      </c>
      <c r="D653" s="78" t="s">
        <v>719</v>
      </c>
    </row>
    <row r="654" spans="1:4" s="80" customFormat="1" x14ac:dyDescent="0.2">
      <c r="A654" s="78" t="s">
        <v>450</v>
      </c>
      <c r="B654" s="78" t="s">
        <v>451</v>
      </c>
      <c r="C654" s="78" t="s">
        <v>452</v>
      </c>
      <c r="D654" s="78" t="s">
        <v>720</v>
      </c>
    </row>
    <row r="655" spans="1:4" s="80" customFormat="1" x14ac:dyDescent="0.2">
      <c r="A655" s="78" t="s">
        <v>453</v>
      </c>
      <c r="B655" s="78" t="s">
        <v>454</v>
      </c>
      <c r="C655" s="78" t="s">
        <v>455</v>
      </c>
      <c r="D655" s="78" t="s">
        <v>721</v>
      </c>
    </row>
    <row r="656" spans="1:4" s="80" customFormat="1" x14ac:dyDescent="0.2">
      <c r="A656" s="78" t="s">
        <v>456</v>
      </c>
      <c r="B656" s="78" t="s">
        <v>457</v>
      </c>
      <c r="C656" s="78" t="s">
        <v>458</v>
      </c>
      <c r="D656" s="78" t="s">
        <v>722</v>
      </c>
    </row>
    <row r="657" spans="1:4" s="80" customFormat="1" x14ac:dyDescent="0.2">
      <c r="A657" s="78" t="s">
        <v>459</v>
      </c>
      <c r="B657" s="78" t="s">
        <v>460</v>
      </c>
      <c r="C657" s="78" t="s">
        <v>461</v>
      </c>
      <c r="D657" s="78" t="s">
        <v>723</v>
      </c>
    </row>
    <row r="658" spans="1:4" s="80" customFormat="1" x14ac:dyDescent="0.2">
      <c r="A658" s="78" t="s">
        <v>462</v>
      </c>
      <c r="B658" s="78" t="s">
        <v>100</v>
      </c>
      <c r="C658" s="78" t="s">
        <v>101</v>
      </c>
      <c r="D658" s="78" t="s">
        <v>618</v>
      </c>
    </row>
    <row r="659" spans="1:4" s="80" customFormat="1" x14ac:dyDescent="0.2">
      <c r="A659" s="78" t="s">
        <v>463</v>
      </c>
      <c r="B659" s="78" t="s">
        <v>97</v>
      </c>
      <c r="C659" s="78" t="s">
        <v>98</v>
      </c>
      <c r="D659" s="78" t="s">
        <v>617</v>
      </c>
    </row>
    <row r="660" spans="1:4" s="80" customFormat="1" x14ac:dyDescent="0.2">
      <c r="A660" s="78" t="s">
        <v>464</v>
      </c>
      <c r="B660" s="78" t="s">
        <v>465</v>
      </c>
      <c r="C660" s="78" t="s">
        <v>466</v>
      </c>
      <c r="D660" s="78" t="s">
        <v>724</v>
      </c>
    </row>
    <row r="661" spans="1:4" s="80" customFormat="1" x14ac:dyDescent="0.2">
      <c r="A661" s="78" t="s">
        <v>467</v>
      </c>
      <c r="B661" s="78" t="s">
        <v>468</v>
      </c>
      <c r="C661" s="78" t="s">
        <v>469</v>
      </c>
      <c r="D661" s="78" t="s">
        <v>725</v>
      </c>
    </row>
    <row r="662" spans="1:4" s="80" customFormat="1" x14ac:dyDescent="0.2">
      <c r="A662" s="78" t="s">
        <v>470</v>
      </c>
      <c r="B662" s="78" t="s">
        <v>471</v>
      </c>
      <c r="C662" s="78" t="s">
        <v>472</v>
      </c>
      <c r="D662" s="78" t="s">
        <v>726</v>
      </c>
    </row>
    <row r="663" spans="1:4" s="80" customFormat="1" x14ac:dyDescent="0.2">
      <c r="A663" s="78" t="s">
        <v>473</v>
      </c>
      <c r="B663" s="78" t="s">
        <v>474</v>
      </c>
      <c r="C663" s="78" t="s">
        <v>475</v>
      </c>
      <c r="D663" s="78" t="s">
        <v>727</v>
      </c>
    </row>
    <row r="664" spans="1:4" s="80" customFormat="1" x14ac:dyDescent="0.2">
      <c r="A664" s="78" t="s">
        <v>476</v>
      </c>
      <c r="B664" s="78" t="s">
        <v>100</v>
      </c>
      <c r="C664" s="78" t="s">
        <v>101</v>
      </c>
      <c r="D664" s="78" t="s">
        <v>618</v>
      </c>
    </row>
    <row r="665" spans="1:4" s="80" customFormat="1" x14ac:dyDescent="0.2">
      <c r="A665" s="78" t="s">
        <v>477</v>
      </c>
      <c r="B665" s="78" t="s">
        <v>478</v>
      </c>
      <c r="C665" s="78" t="s">
        <v>479</v>
      </c>
      <c r="D665" s="78" t="s">
        <v>728</v>
      </c>
    </row>
    <row r="666" spans="1:4" s="80" customFormat="1" x14ac:dyDescent="0.2">
      <c r="A666" s="78" t="s">
        <v>480</v>
      </c>
      <c r="B666" s="78" t="s">
        <v>481</v>
      </c>
      <c r="C666" s="78" t="s">
        <v>482</v>
      </c>
      <c r="D666" s="78" t="s">
        <v>729</v>
      </c>
    </row>
    <row r="667" spans="1:4" s="80" customFormat="1" x14ac:dyDescent="0.2">
      <c r="A667" s="78" t="s">
        <v>483</v>
      </c>
      <c r="B667" s="78" t="s">
        <v>484</v>
      </c>
      <c r="C667" s="78" t="s">
        <v>485</v>
      </c>
      <c r="D667" s="78" t="s">
        <v>730</v>
      </c>
    </row>
    <row r="668" spans="1:4" s="80" customFormat="1" x14ac:dyDescent="0.2">
      <c r="A668" s="78" t="s">
        <v>486</v>
      </c>
      <c r="B668" s="78" t="s">
        <v>487</v>
      </c>
      <c r="C668" s="78" t="s">
        <v>488</v>
      </c>
      <c r="D668" s="78" t="s">
        <v>731</v>
      </c>
    </row>
    <row r="669" spans="1:4" s="80" customFormat="1" x14ac:dyDescent="0.2">
      <c r="A669" s="78" t="s">
        <v>489</v>
      </c>
      <c r="B669" s="78" t="s">
        <v>106</v>
      </c>
      <c r="C669" s="78" t="s">
        <v>107</v>
      </c>
      <c r="D669" s="78" t="s">
        <v>620</v>
      </c>
    </row>
    <row r="670" spans="1:4" s="80" customFormat="1" x14ac:dyDescent="0.2">
      <c r="A670" s="78" t="s">
        <v>490</v>
      </c>
      <c r="B670" s="78" t="s">
        <v>106</v>
      </c>
      <c r="C670" s="78" t="s">
        <v>107</v>
      </c>
      <c r="D670" s="78" t="s">
        <v>620</v>
      </c>
    </row>
    <row r="671" spans="1:4" s="80" customFormat="1" x14ac:dyDescent="0.2">
      <c r="A671" s="78" t="s">
        <v>491</v>
      </c>
      <c r="B671" s="78" t="s">
        <v>492</v>
      </c>
      <c r="C671" s="78" t="s">
        <v>493</v>
      </c>
      <c r="D671" s="78" t="s">
        <v>732</v>
      </c>
    </row>
    <row r="672" spans="1:4" s="80" customFormat="1" x14ac:dyDescent="0.2">
      <c r="A672" s="78" t="s">
        <v>494</v>
      </c>
      <c r="B672" s="78" t="s">
        <v>100</v>
      </c>
      <c r="C672" s="78" t="s">
        <v>101</v>
      </c>
      <c r="D672" s="78" t="s">
        <v>618</v>
      </c>
    </row>
    <row r="673" spans="1:4" s="80" customFormat="1" x14ac:dyDescent="0.2">
      <c r="A673" s="78" t="s">
        <v>495</v>
      </c>
      <c r="B673" s="78" t="s">
        <v>496</v>
      </c>
      <c r="C673" s="78" t="s">
        <v>497</v>
      </c>
      <c r="D673" s="78" t="s">
        <v>733</v>
      </c>
    </row>
    <row r="674" spans="1:4" s="80" customFormat="1" x14ac:dyDescent="0.2">
      <c r="A674" s="78" t="s">
        <v>498</v>
      </c>
      <c r="B674" s="78" t="s">
        <v>499</v>
      </c>
      <c r="C674" s="78" t="s">
        <v>500</v>
      </c>
      <c r="D674" s="78" t="s">
        <v>734</v>
      </c>
    </row>
    <row r="675" spans="1:4" s="80" customFormat="1" x14ac:dyDescent="0.2">
      <c r="A675" s="78" t="s">
        <v>501</v>
      </c>
      <c r="B675" s="78" t="s">
        <v>145</v>
      </c>
      <c r="C675" s="78" t="s">
        <v>146</v>
      </c>
      <c r="D675" s="78" t="s">
        <v>632</v>
      </c>
    </row>
    <row r="676" spans="1:4" s="80" customFormat="1" x14ac:dyDescent="0.2">
      <c r="A676" s="78" t="s">
        <v>502</v>
      </c>
      <c r="B676" s="78" t="s">
        <v>503</v>
      </c>
      <c r="C676" s="78" t="s">
        <v>504</v>
      </c>
      <c r="D676" s="78" t="s">
        <v>735</v>
      </c>
    </row>
    <row r="677" spans="1:4" s="80" customFormat="1" x14ac:dyDescent="0.2">
      <c r="A677" s="78" t="s">
        <v>505</v>
      </c>
      <c r="B677" s="78" t="s">
        <v>506</v>
      </c>
      <c r="C677" s="78" t="s">
        <v>507</v>
      </c>
      <c r="D677" s="78" t="s">
        <v>736</v>
      </c>
    </row>
    <row r="678" spans="1:4" s="80" customFormat="1" x14ac:dyDescent="0.2">
      <c r="A678" s="78" t="s">
        <v>508</v>
      </c>
      <c r="B678" s="78" t="s">
        <v>509</v>
      </c>
      <c r="C678" s="78" t="s">
        <v>510</v>
      </c>
      <c r="D678" s="78" t="s">
        <v>737</v>
      </c>
    </row>
    <row r="679" spans="1:4" s="80" customFormat="1" x14ac:dyDescent="0.2">
      <c r="A679" s="78" t="s">
        <v>511</v>
      </c>
      <c r="B679" s="78" t="s">
        <v>512</v>
      </c>
      <c r="C679" s="78" t="s">
        <v>513</v>
      </c>
      <c r="D679" s="78" t="s">
        <v>738</v>
      </c>
    </row>
    <row r="680" spans="1:4" s="80" customFormat="1" x14ac:dyDescent="0.2">
      <c r="A680" s="78" t="s">
        <v>514</v>
      </c>
      <c r="B680" s="78" t="s">
        <v>100</v>
      </c>
      <c r="C680" s="78" t="s">
        <v>101</v>
      </c>
      <c r="D680" s="78" t="s">
        <v>618</v>
      </c>
    </row>
    <row r="681" spans="1:4" s="80" customFormat="1" x14ac:dyDescent="0.2">
      <c r="A681" s="78" t="s">
        <v>515</v>
      </c>
      <c r="B681" s="78" t="s">
        <v>100</v>
      </c>
      <c r="C681" s="78" t="s">
        <v>101</v>
      </c>
      <c r="D681" s="78" t="s">
        <v>618</v>
      </c>
    </row>
    <row r="682" spans="1:4" s="80" customFormat="1" x14ac:dyDescent="0.2">
      <c r="A682" s="78" t="s">
        <v>516</v>
      </c>
      <c r="B682" s="78" t="s">
        <v>517</v>
      </c>
      <c r="C682" s="78" t="s">
        <v>518</v>
      </c>
      <c r="D682" s="78" t="s">
        <v>739</v>
      </c>
    </row>
    <row r="683" spans="1:4" s="80" customFormat="1" x14ac:dyDescent="0.2">
      <c r="A683" s="78" t="s">
        <v>519</v>
      </c>
      <c r="B683" s="78" t="s">
        <v>520</v>
      </c>
      <c r="C683" s="78" t="s">
        <v>521</v>
      </c>
      <c r="D683" s="78" t="s">
        <v>740</v>
      </c>
    </row>
    <row r="684" spans="1:4" s="80" customFormat="1" x14ac:dyDescent="0.2">
      <c r="A684" s="78" t="s">
        <v>522</v>
      </c>
      <c r="B684" s="78" t="s">
        <v>523</v>
      </c>
      <c r="C684" s="78" t="s">
        <v>524</v>
      </c>
      <c r="D684" s="78" t="s">
        <v>741</v>
      </c>
    </row>
    <row r="685" spans="1:4" s="80" customFormat="1" x14ac:dyDescent="0.2">
      <c r="A685" s="78" t="s">
        <v>525</v>
      </c>
      <c r="B685" s="78" t="s">
        <v>526</v>
      </c>
      <c r="C685" s="78" t="s">
        <v>527</v>
      </c>
      <c r="D685" s="78" t="s">
        <v>742</v>
      </c>
    </row>
    <row r="686" spans="1:4" s="80" customFormat="1" x14ac:dyDescent="0.2">
      <c r="A686" s="78" t="s">
        <v>528</v>
      </c>
      <c r="B686" s="78" t="s">
        <v>100</v>
      </c>
      <c r="C686" s="78" t="s">
        <v>101</v>
      </c>
      <c r="D686" s="78" t="s">
        <v>618</v>
      </c>
    </row>
    <row r="687" spans="1:4" s="80" customFormat="1" x14ac:dyDescent="0.2">
      <c r="A687" s="78" t="s">
        <v>529</v>
      </c>
      <c r="B687" s="78" t="s">
        <v>530</v>
      </c>
      <c r="C687" s="78" t="s">
        <v>531</v>
      </c>
      <c r="D687" s="78" t="s">
        <v>743</v>
      </c>
    </row>
    <row r="688" spans="1:4" s="80" customFormat="1" x14ac:dyDescent="0.2">
      <c r="A688" s="78" t="s">
        <v>532</v>
      </c>
      <c r="B688" s="78" t="s">
        <v>106</v>
      </c>
      <c r="C688" s="78" t="s">
        <v>107</v>
      </c>
      <c r="D688" s="78" t="s">
        <v>620</v>
      </c>
    </row>
    <row r="689" spans="1:4" s="80" customFormat="1" x14ac:dyDescent="0.2">
      <c r="A689" s="78" t="s">
        <v>533</v>
      </c>
      <c r="B689" s="78" t="s">
        <v>534</v>
      </c>
      <c r="C689" s="78" t="s">
        <v>535</v>
      </c>
      <c r="D689" s="78" t="s">
        <v>744</v>
      </c>
    </row>
    <row r="690" spans="1:4" s="80" customFormat="1" x14ac:dyDescent="0.2">
      <c r="A690" s="78" t="s">
        <v>536</v>
      </c>
      <c r="B690" s="78" t="s">
        <v>537</v>
      </c>
      <c r="C690" s="78" t="s">
        <v>538</v>
      </c>
      <c r="D690" s="78" t="s">
        <v>745</v>
      </c>
    </row>
    <row r="691" spans="1:4" s="80" customFormat="1" x14ac:dyDescent="0.2">
      <c r="A691" s="78" t="s">
        <v>539</v>
      </c>
      <c r="B691" s="78" t="s">
        <v>540</v>
      </c>
      <c r="C691" s="78" t="s">
        <v>541</v>
      </c>
      <c r="D691" s="78" t="s">
        <v>746</v>
      </c>
    </row>
    <row r="692" spans="1:4" s="80" customFormat="1" x14ac:dyDescent="0.2">
      <c r="A692" s="78" t="s">
        <v>542</v>
      </c>
      <c r="B692" s="78" t="s">
        <v>543</v>
      </c>
      <c r="C692" s="78" t="s">
        <v>544</v>
      </c>
      <c r="D692" s="78" t="s">
        <v>747</v>
      </c>
    </row>
    <row r="693" spans="1:4" s="80" customFormat="1" x14ac:dyDescent="0.2">
      <c r="A693" s="78" t="s">
        <v>545</v>
      </c>
      <c r="B693" s="78" t="s">
        <v>362</v>
      </c>
      <c r="C693" s="78" t="s">
        <v>363</v>
      </c>
      <c r="D693" s="78" t="s">
        <v>696</v>
      </c>
    </row>
    <row r="694" spans="1:4" s="80" customFormat="1" x14ac:dyDescent="0.2">
      <c r="A694" s="78" t="s">
        <v>546</v>
      </c>
      <c r="B694" s="78" t="s">
        <v>547</v>
      </c>
      <c r="C694" s="78" t="s">
        <v>548</v>
      </c>
      <c r="D694" s="78" t="s">
        <v>748</v>
      </c>
    </row>
    <row r="695" spans="1:4" s="80" customFormat="1" x14ac:dyDescent="0.2">
      <c r="A695" s="78" t="s">
        <v>549</v>
      </c>
      <c r="B695" s="78" t="s">
        <v>550</v>
      </c>
      <c r="C695" s="78" t="s">
        <v>551</v>
      </c>
      <c r="D695" s="78" t="s">
        <v>749</v>
      </c>
    </row>
    <row r="696" spans="1:4" s="80" customFormat="1" x14ac:dyDescent="0.2">
      <c r="A696" s="78" t="s">
        <v>552</v>
      </c>
      <c r="B696" s="78" t="s">
        <v>553</v>
      </c>
      <c r="C696" s="78" t="s">
        <v>554</v>
      </c>
      <c r="D696" s="78" t="s">
        <v>750</v>
      </c>
    </row>
    <row r="697" spans="1:4" s="80" customFormat="1" x14ac:dyDescent="0.2">
      <c r="A697" s="78" t="s">
        <v>555</v>
      </c>
      <c r="B697" s="78" t="s">
        <v>556</v>
      </c>
      <c r="C697" s="78" t="s">
        <v>557</v>
      </c>
      <c r="D697" s="78" t="s">
        <v>751</v>
      </c>
    </row>
    <row r="698" spans="1:4" s="80" customFormat="1" x14ac:dyDescent="0.2">
      <c r="A698" s="78" t="s">
        <v>558</v>
      </c>
      <c r="B698" s="78" t="s">
        <v>559</v>
      </c>
      <c r="C698" s="78" t="s">
        <v>560</v>
      </c>
      <c r="D698" s="78" t="s">
        <v>752</v>
      </c>
    </row>
    <row r="699" spans="1:4" s="80" customFormat="1" x14ac:dyDescent="0.2">
      <c r="A699" s="78" t="s">
        <v>561</v>
      </c>
      <c r="B699" s="78" t="s">
        <v>145</v>
      </c>
      <c r="C699" s="78" t="s">
        <v>146</v>
      </c>
      <c r="D699" s="78" t="s">
        <v>632</v>
      </c>
    </row>
    <row r="700" spans="1:4" s="80" customFormat="1" x14ac:dyDescent="0.2">
      <c r="A700" s="78" t="s">
        <v>562</v>
      </c>
      <c r="B700" s="78" t="s">
        <v>209</v>
      </c>
      <c r="C700" s="78" t="s">
        <v>210</v>
      </c>
      <c r="D700" s="78" t="s">
        <v>652</v>
      </c>
    </row>
    <row r="701" spans="1:4" s="80" customFormat="1" x14ac:dyDescent="0.2">
      <c r="A701" s="78" t="s">
        <v>563</v>
      </c>
      <c r="B701" s="78" t="s">
        <v>564</v>
      </c>
      <c r="C701" s="78" t="s">
        <v>565</v>
      </c>
      <c r="D701" s="78" t="s">
        <v>753</v>
      </c>
    </row>
    <row r="702" spans="1:4" s="80" customFormat="1" x14ac:dyDescent="0.2">
      <c r="A702" s="78" t="s">
        <v>566</v>
      </c>
      <c r="B702" s="78" t="s">
        <v>567</v>
      </c>
      <c r="C702" s="78" t="s">
        <v>568</v>
      </c>
      <c r="D702" s="78" t="s">
        <v>754</v>
      </c>
    </row>
    <row r="703" spans="1:4" s="80" customFormat="1" x14ac:dyDescent="0.2">
      <c r="A703" s="78" t="s">
        <v>569</v>
      </c>
      <c r="B703" s="78" t="s">
        <v>570</v>
      </c>
      <c r="C703" s="78" t="s">
        <v>571</v>
      </c>
      <c r="D703" s="78" t="s">
        <v>755</v>
      </c>
    </row>
    <row r="704" spans="1:4" s="80" customFormat="1" x14ac:dyDescent="0.2">
      <c r="A704" s="78" t="s">
        <v>572</v>
      </c>
      <c r="B704" s="78" t="s">
        <v>573</v>
      </c>
      <c r="C704" s="78" t="s">
        <v>574</v>
      </c>
      <c r="D704" s="78" t="s">
        <v>756</v>
      </c>
    </row>
    <row r="705" spans="1:4" s="80" customFormat="1" x14ac:dyDescent="0.2">
      <c r="A705" s="78" t="s">
        <v>575</v>
      </c>
      <c r="B705" s="78" t="s">
        <v>576</v>
      </c>
      <c r="C705" s="78" t="s">
        <v>577</v>
      </c>
      <c r="D705" s="78" t="s">
        <v>757</v>
      </c>
    </row>
    <row r="706" spans="1:4" s="80" customFormat="1" x14ac:dyDescent="0.2">
      <c r="A706" s="78" t="s">
        <v>578</v>
      </c>
      <c r="B706" s="78" t="s">
        <v>97</v>
      </c>
      <c r="C706" s="78" t="s">
        <v>98</v>
      </c>
      <c r="D706" s="78" t="s">
        <v>617</v>
      </c>
    </row>
    <row r="707" spans="1:4" s="80" customFormat="1" x14ac:dyDescent="0.2">
      <c r="A707" s="78" t="s">
        <v>579</v>
      </c>
      <c r="B707" s="78" t="s">
        <v>119</v>
      </c>
      <c r="C707" s="78" t="s">
        <v>120</v>
      </c>
      <c r="D707" s="78" t="s">
        <v>624</v>
      </c>
    </row>
    <row r="708" spans="1:4" s="80" customFormat="1" x14ac:dyDescent="0.2">
      <c r="A708" s="78" t="s">
        <v>580</v>
      </c>
      <c r="B708" s="78" t="s">
        <v>581</v>
      </c>
      <c r="C708" s="78" t="s">
        <v>582</v>
      </c>
      <c r="D708" s="78" t="s">
        <v>758</v>
      </c>
    </row>
    <row r="709" spans="1:4" s="80" customFormat="1" x14ac:dyDescent="0.2">
      <c r="A709" s="78" t="s">
        <v>583</v>
      </c>
      <c r="B709" s="78" t="s">
        <v>584</v>
      </c>
      <c r="C709" s="78" t="s">
        <v>585</v>
      </c>
      <c r="D709" s="78" t="s">
        <v>759</v>
      </c>
    </row>
    <row r="710" spans="1:4" s="80" customFormat="1" x14ac:dyDescent="0.2">
      <c r="A710" s="78" t="s">
        <v>586</v>
      </c>
      <c r="B710" s="78" t="s">
        <v>587</v>
      </c>
      <c r="C710" s="78" t="s">
        <v>588</v>
      </c>
      <c r="D710" s="78" t="s">
        <v>760</v>
      </c>
    </row>
    <row r="711" spans="1:4" s="80" customFormat="1" x14ac:dyDescent="0.2">
      <c r="A711" s="78" t="s">
        <v>589</v>
      </c>
      <c r="B711" s="78" t="s">
        <v>590</v>
      </c>
      <c r="C711" s="78" t="s">
        <v>591</v>
      </c>
      <c r="D711" s="78" t="s">
        <v>761</v>
      </c>
    </row>
    <row r="712" spans="1:4" s="80" customFormat="1" x14ac:dyDescent="0.2">
      <c r="A712" s="78" t="s">
        <v>592</v>
      </c>
      <c r="B712" s="78" t="s">
        <v>97</v>
      </c>
      <c r="C712" s="78" t="s">
        <v>98</v>
      </c>
      <c r="D712" s="78" t="s">
        <v>617</v>
      </c>
    </row>
    <row r="713" spans="1:4" s="80" customFormat="1" x14ac:dyDescent="0.2">
      <c r="A713" s="78" t="s">
        <v>593</v>
      </c>
      <c r="B713" s="78" t="s">
        <v>594</v>
      </c>
      <c r="C713" s="78" t="s">
        <v>595</v>
      </c>
      <c r="D713" s="78" t="s">
        <v>762</v>
      </c>
    </row>
    <row r="714" spans="1:4" s="80" customFormat="1" x14ac:dyDescent="0.2">
      <c r="A714" s="78" t="s">
        <v>596</v>
      </c>
      <c r="B714" s="78" t="s">
        <v>597</v>
      </c>
      <c r="C714" s="78" t="s">
        <v>598</v>
      </c>
      <c r="D714" s="78" t="s">
        <v>763</v>
      </c>
    </row>
    <row r="715" spans="1:4" s="80" customFormat="1" x14ac:dyDescent="0.2">
      <c r="A715" s="78" t="s">
        <v>599</v>
      </c>
      <c r="B715" s="78" t="s">
        <v>600</v>
      </c>
      <c r="C715" s="78" t="s">
        <v>601</v>
      </c>
      <c r="D715" s="78" t="s">
        <v>764</v>
      </c>
    </row>
    <row r="716" spans="1:4" s="80" customFormat="1" x14ac:dyDescent="0.2">
      <c r="A716" s="78" t="s">
        <v>602</v>
      </c>
      <c r="B716" s="78" t="s">
        <v>603</v>
      </c>
      <c r="C716" s="78" t="s">
        <v>604</v>
      </c>
      <c r="D716" s="78" t="s">
        <v>765</v>
      </c>
    </row>
    <row r="717" spans="1:4" s="80" customFormat="1" x14ac:dyDescent="0.2">
      <c r="A717" s="78" t="s">
        <v>605</v>
      </c>
      <c r="B717" s="78" t="s">
        <v>606</v>
      </c>
      <c r="C717" s="78" t="s">
        <v>607</v>
      </c>
      <c r="D717" s="78" t="s">
        <v>766</v>
      </c>
    </row>
    <row r="718" spans="1:4" s="80" customFormat="1" x14ac:dyDescent="0.2">
      <c r="A718" s="78" t="s">
        <v>608</v>
      </c>
      <c r="B718" s="78" t="s">
        <v>97</v>
      </c>
      <c r="C718" s="78" t="s">
        <v>98</v>
      </c>
      <c r="D718" s="78" t="s">
        <v>617</v>
      </c>
    </row>
    <row r="719" spans="1:4" s="80" customFormat="1" x14ac:dyDescent="0.2">
      <c r="A719" s="78" t="s">
        <v>609</v>
      </c>
      <c r="B719" s="78" t="s">
        <v>97</v>
      </c>
      <c r="C719" s="78" t="s">
        <v>98</v>
      </c>
      <c r="D719" s="78" t="s">
        <v>617</v>
      </c>
    </row>
    <row r="720" spans="1:4" s="80" customFormat="1" x14ac:dyDescent="0.2">
      <c r="A720" s="78" t="s">
        <v>610</v>
      </c>
      <c r="B720" s="78" t="s">
        <v>261</v>
      </c>
      <c r="C720" s="78" t="s">
        <v>262</v>
      </c>
      <c r="D720" s="78" t="s">
        <v>666</v>
      </c>
    </row>
    <row r="721" spans="1:4" s="80" customFormat="1" x14ac:dyDescent="0.2">
      <c r="A721" s="78" t="s">
        <v>611</v>
      </c>
      <c r="B721" s="78" t="s">
        <v>612</v>
      </c>
      <c r="C721" s="78" t="s">
        <v>613</v>
      </c>
      <c r="D721" s="78" t="s">
        <v>767</v>
      </c>
    </row>
    <row r="722" spans="1:4" s="80" customFormat="1" x14ac:dyDescent="0.2">
      <c r="A722" s="78"/>
      <c r="B722" s="78"/>
      <c r="C722" s="78"/>
      <c r="D722" s="78"/>
    </row>
    <row r="723" spans="1:4" s="80" customFormat="1" x14ac:dyDescent="0.2">
      <c r="A723" s="78"/>
      <c r="B723" s="78"/>
      <c r="C723" s="78"/>
      <c r="D723" s="78"/>
    </row>
    <row r="724" spans="1:4" s="80" customFormat="1" x14ac:dyDescent="0.2">
      <c r="A724" s="78"/>
      <c r="B724" s="78"/>
      <c r="C724" s="78"/>
      <c r="D724" s="78"/>
    </row>
    <row r="725" spans="1:4" s="80" customFormat="1" x14ac:dyDescent="0.2">
      <c r="A725" s="78"/>
      <c r="B725" s="78"/>
      <c r="C725" s="78"/>
      <c r="D725" s="78"/>
    </row>
    <row r="726" spans="1:4" s="80" customFormat="1" x14ac:dyDescent="0.2">
      <c r="A726" s="78"/>
      <c r="B726" s="78"/>
      <c r="C726" s="78"/>
      <c r="D726" s="78"/>
    </row>
    <row r="727" spans="1:4" s="80" customFormat="1" x14ac:dyDescent="0.2">
      <c r="A727" s="78"/>
      <c r="B727" s="78"/>
      <c r="C727" s="78"/>
      <c r="D727" s="78"/>
    </row>
    <row r="728" spans="1:4" s="80" customFormat="1" x14ac:dyDescent="0.2">
      <c r="A728" s="78"/>
      <c r="B728" s="78"/>
      <c r="C728" s="78"/>
      <c r="D728" s="78"/>
    </row>
    <row r="729" spans="1:4" s="80" customFormat="1" ht="15" x14ac:dyDescent="0.25">
      <c r="A729" s="79" t="s">
        <v>86</v>
      </c>
      <c r="B729" s="78"/>
      <c r="C729" s="78"/>
      <c r="D729" s="78"/>
    </row>
    <row r="730" spans="1:4" s="80" customFormat="1" ht="15" x14ac:dyDescent="0.25">
      <c r="A730" s="79"/>
      <c r="B730" s="78"/>
      <c r="C730" s="78"/>
      <c r="D730" s="78"/>
    </row>
    <row r="731" spans="1:4" s="80" customFormat="1" x14ac:dyDescent="0.2">
      <c r="A731" s="80" t="s">
        <v>618</v>
      </c>
      <c r="B731" s="78"/>
      <c r="C731" s="78">
        <v>3463</v>
      </c>
      <c r="D731" s="78"/>
    </row>
    <row r="732" spans="1:4" s="80" customFormat="1" x14ac:dyDescent="0.2">
      <c r="A732" s="80" t="s">
        <v>617</v>
      </c>
      <c r="B732" s="78"/>
      <c r="C732" s="78"/>
      <c r="D732" s="78"/>
    </row>
    <row r="733" spans="1:4" s="80" customFormat="1" x14ac:dyDescent="0.2">
      <c r="A733" s="80" t="s">
        <v>614</v>
      </c>
      <c r="B733" s="78"/>
      <c r="C733" s="78"/>
      <c r="D733" s="78"/>
    </row>
    <row r="734" spans="1:4" s="80" customFormat="1" x14ac:dyDescent="0.2">
      <c r="A734" s="80" t="s">
        <v>615</v>
      </c>
      <c r="B734" s="78"/>
      <c r="C734" s="78"/>
      <c r="D734" s="78"/>
    </row>
    <row r="735" spans="1:4" s="80" customFormat="1" x14ac:dyDescent="0.2">
      <c r="A735" s="80" t="s">
        <v>616</v>
      </c>
      <c r="B735" s="78"/>
      <c r="C735" s="78"/>
      <c r="D735" s="78"/>
    </row>
    <row r="736" spans="1:4" s="80" customFormat="1" x14ac:dyDescent="0.2">
      <c r="A736" s="80" t="s">
        <v>619</v>
      </c>
      <c r="B736" s="78"/>
      <c r="C736" s="78"/>
      <c r="D736" s="78"/>
    </row>
    <row r="737" spans="1:4" s="80" customFormat="1" x14ac:dyDescent="0.2">
      <c r="A737" s="80" t="s">
        <v>621</v>
      </c>
      <c r="B737" s="78"/>
      <c r="C737" s="78"/>
      <c r="D737" s="78"/>
    </row>
    <row r="738" spans="1:4" s="80" customFormat="1" x14ac:dyDescent="0.2">
      <c r="A738" s="80" t="s">
        <v>622</v>
      </c>
      <c r="B738" s="78"/>
      <c r="C738" s="78"/>
      <c r="D738" s="78"/>
    </row>
    <row r="739" spans="1:4" s="80" customFormat="1" x14ac:dyDescent="0.2">
      <c r="A739" s="80" t="s">
        <v>623</v>
      </c>
      <c r="B739" s="78"/>
      <c r="C739" s="78"/>
      <c r="D739" s="78"/>
    </row>
    <row r="740" spans="1:4" s="80" customFormat="1" x14ac:dyDescent="0.2">
      <c r="A740" s="80" t="s">
        <v>624</v>
      </c>
      <c r="B740" s="78"/>
      <c r="C740" s="78"/>
      <c r="D740" s="78"/>
    </row>
    <row r="741" spans="1:4" s="80" customFormat="1" x14ac:dyDescent="0.2">
      <c r="A741" s="80" t="s">
        <v>625</v>
      </c>
      <c r="B741" s="78"/>
      <c r="C741" s="78"/>
      <c r="D741" s="78"/>
    </row>
    <row r="742" spans="1:4" s="80" customFormat="1" x14ac:dyDescent="0.2">
      <c r="A742" s="80" t="s">
        <v>626</v>
      </c>
      <c r="B742" s="78"/>
      <c r="C742" s="78"/>
      <c r="D742" s="78"/>
    </row>
    <row r="743" spans="1:4" s="80" customFormat="1" x14ac:dyDescent="0.2">
      <c r="A743" s="80" t="s">
        <v>627</v>
      </c>
      <c r="B743" s="78"/>
      <c r="C743" s="78"/>
      <c r="D743" s="78"/>
    </row>
    <row r="744" spans="1:4" s="80" customFormat="1" x14ac:dyDescent="0.2">
      <c r="A744" s="80" t="s">
        <v>628</v>
      </c>
      <c r="B744" s="78"/>
      <c r="C744" s="78"/>
      <c r="D744" s="78"/>
    </row>
    <row r="745" spans="1:4" s="80" customFormat="1" x14ac:dyDescent="0.2">
      <c r="A745" s="80" t="s">
        <v>629</v>
      </c>
      <c r="B745" s="78"/>
      <c r="C745" s="78"/>
      <c r="D745" s="78"/>
    </row>
    <row r="746" spans="1:4" s="80" customFormat="1" x14ac:dyDescent="0.2">
      <c r="A746" s="80" t="s">
        <v>630</v>
      </c>
      <c r="B746" s="78"/>
      <c r="C746" s="78"/>
      <c r="D746" s="78"/>
    </row>
    <row r="747" spans="1:4" s="80" customFormat="1" x14ac:dyDescent="0.2">
      <c r="A747" s="80" t="s">
        <v>631</v>
      </c>
      <c r="B747" s="78"/>
      <c r="C747" s="78"/>
      <c r="D747" s="78"/>
    </row>
    <row r="748" spans="1:4" s="80" customFormat="1" x14ac:dyDescent="0.2">
      <c r="A748" s="80" t="s">
        <v>633</v>
      </c>
      <c r="B748" s="78"/>
      <c r="C748" s="78"/>
      <c r="D748" s="78"/>
    </row>
    <row r="749" spans="1:4" s="80" customFormat="1" x14ac:dyDescent="0.2">
      <c r="A749" s="80" t="s">
        <v>634</v>
      </c>
      <c r="B749" s="78"/>
      <c r="C749" s="78"/>
      <c r="D749" s="78"/>
    </row>
    <row r="750" spans="1:4" s="80" customFormat="1" x14ac:dyDescent="0.2">
      <c r="A750" s="80" t="s">
        <v>635</v>
      </c>
      <c r="B750" s="78"/>
      <c r="C750" s="78"/>
      <c r="D750" s="78"/>
    </row>
    <row r="751" spans="1:4" s="80" customFormat="1" x14ac:dyDescent="0.2">
      <c r="A751" s="80" t="s">
        <v>636</v>
      </c>
      <c r="B751" s="78"/>
      <c r="C751" s="78"/>
      <c r="D751" s="78"/>
    </row>
    <row r="752" spans="1:4" s="80" customFormat="1" x14ac:dyDescent="0.2">
      <c r="A752" s="80" t="s">
        <v>637</v>
      </c>
      <c r="B752" s="78"/>
      <c r="C752" s="78"/>
      <c r="D752" s="78"/>
    </row>
    <row r="753" spans="1:4" s="80" customFormat="1" x14ac:dyDescent="0.2">
      <c r="A753" s="80" t="s">
        <v>638</v>
      </c>
      <c r="B753" s="78"/>
      <c r="C753" s="78"/>
      <c r="D753" s="78"/>
    </row>
    <row r="754" spans="1:4" s="80" customFormat="1" x14ac:dyDescent="0.2">
      <c r="A754" s="80" t="s">
        <v>639</v>
      </c>
      <c r="B754" s="78"/>
      <c r="C754" s="78"/>
      <c r="D754" s="78"/>
    </row>
    <row r="755" spans="1:4" s="80" customFormat="1" x14ac:dyDescent="0.2">
      <c r="A755" s="80" t="s">
        <v>640</v>
      </c>
      <c r="B755" s="78"/>
      <c r="C755" s="78"/>
      <c r="D755" s="78"/>
    </row>
    <row r="756" spans="1:4" s="80" customFormat="1" x14ac:dyDescent="0.2">
      <c r="A756" s="80" t="s">
        <v>641</v>
      </c>
      <c r="B756" s="78"/>
      <c r="C756" s="78"/>
      <c r="D756" s="78"/>
    </row>
    <row r="757" spans="1:4" s="80" customFormat="1" x14ac:dyDescent="0.2">
      <c r="A757" s="80" t="s">
        <v>642</v>
      </c>
      <c r="B757" s="78"/>
      <c r="C757" s="78"/>
      <c r="D757" s="78"/>
    </row>
    <row r="758" spans="1:4" s="80" customFormat="1" x14ac:dyDescent="0.2">
      <c r="A758" s="80" t="s">
        <v>644</v>
      </c>
      <c r="B758" s="78"/>
      <c r="C758" s="78"/>
      <c r="D758" s="78"/>
    </row>
    <row r="759" spans="1:4" s="80" customFormat="1" x14ac:dyDescent="0.2">
      <c r="A759" s="80" t="s">
        <v>645</v>
      </c>
      <c r="B759" s="78"/>
      <c r="C759" s="78"/>
      <c r="D759" s="78"/>
    </row>
    <row r="760" spans="1:4" s="80" customFormat="1" x14ac:dyDescent="0.2">
      <c r="A760" s="80" t="s">
        <v>646</v>
      </c>
      <c r="B760" s="78"/>
      <c r="C760" s="78"/>
      <c r="D760" s="78"/>
    </row>
    <row r="761" spans="1:4" s="80" customFormat="1" x14ac:dyDescent="0.2">
      <c r="A761" s="80" t="s">
        <v>643</v>
      </c>
      <c r="B761" s="78"/>
      <c r="C761" s="78"/>
      <c r="D761" s="78"/>
    </row>
    <row r="762" spans="1:4" s="80" customFormat="1" x14ac:dyDescent="0.2">
      <c r="A762" s="80" t="s">
        <v>632</v>
      </c>
      <c r="B762" s="78"/>
      <c r="C762" s="78"/>
      <c r="D762" s="78"/>
    </row>
    <row r="763" spans="1:4" s="80" customFormat="1" x14ac:dyDescent="0.2">
      <c r="A763" s="80" t="s">
        <v>666</v>
      </c>
      <c r="B763" s="78"/>
      <c r="C763" s="78"/>
      <c r="D763" s="78"/>
    </row>
    <row r="764" spans="1:4" s="80" customFormat="1" x14ac:dyDescent="0.2">
      <c r="A764" s="80" t="s">
        <v>647</v>
      </c>
      <c r="B764" s="78"/>
      <c r="C764" s="78"/>
      <c r="D764" s="78"/>
    </row>
    <row r="765" spans="1:4" s="80" customFormat="1" x14ac:dyDescent="0.2">
      <c r="A765" s="80" t="s">
        <v>648</v>
      </c>
      <c r="B765" s="78"/>
      <c r="C765" s="78"/>
      <c r="D765" s="78"/>
    </row>
    <row r="766" spans="1:4" s="80" customFormat="1" x14ac:dyDescent="0.2">
      <c r="A766" s="80" t="s">
        <v>649</v>
      </c>
      <c r="B766" s="78"/>
      <c r="C766" s="78"/>
      <c r="D766" s="78"/>
    </row>
    <row r="767" spans="1:4" s="80" customFormat="1" x14ac:dyDescent="0.2">
      <c r="A767" s="80" t="s">
        <v>650</v>
      </c>
      <c r="B767" s="78"/>
      <c r="C767" s="78"/>
      <c r="D767" s="78"/>
    </row>
    <row r="768" spans="1:4" s="80" customFormat="1" x14ac:dyDescent="0.2">
      <c r="A768" s="80" t="s">
        <v>651</v>
      </c>
      <c r="B768" s="78"/>
      <c r="C768" s="78"/>
      <c r="D768" s="78"/>
    </row>
    <row r="769" spans="1:4" s="80" customFormat="1" x14ac:dyDescent="0.2">
      <c r="A769" s="80" t="s">
        <v>653</v>
      </c>
      <c r="B769" s="78"/>
      <c r="C769" s="78"/>
      <c r="D769" s="78"/>
    </row>
    <row r="770" spans="1:4" s="80" customFormat="1" x14ac:dyDescent="0.2">
      <c r="A770" s="80" t="s">
        <v>654</v>
      </c>
      <c r="B770" s="78"/>
      <c r="C770" s="78"/>
      <c r="D770" s="78"/>
    </row>
    <row r="771" spans="1:4" s="80" customFormat="1" x14ac:dyDescent="0.2">
      <c r="A771" s="80" t="s">
        <v>655</v>
      </c>
      <c r="B771" s="78"/>
      <c r="C771" s="78"/>
      <c r="D771" s="78"/>
    </row>
    <row r="772" spans="1:4" s="80" customFormat="1" x14ac:dyDescent="0.2">
      <c r="A772" s="80" t="s">
        <v>656</v>
      </c>
      <c r="B772" s="78"/>
      <c r="C772" s="78"/>
      <c r="D772" s="78"/>
    </row>
    <row r="773" spans="1:4" s="80" customFormat="1" x14ac:dyDescent="0.2">
      <c r="A773" s="80" t="s">
        <v>658</v>
      </c>
      <c r="B773" s="78"/>
      <c r="C773" s="78"/>
      <c r="D773" s="78"/>
    </row>
    <row r="774" spans="1:4" s="80" customFormat="1" x14ac:dyDescent="0.2">
      <c r="A774" s="80" t="s">
        <v>659</v>
      </c>
      <c r="B774" s="78"/>
      <c r="C774" s="78"/>
      <c r="D774" s="78"/>
    </row>
    <row r="775" spans="1:4" s="80" customFormat="1" x14ac:dyDescent="0.2">
      <c r="A775" s="80" t="s">
        <v>660</v>
      </c>
      <c r="B775" s="78"/>
      <c r="C775" s="78"/>
      <c r="D775" s="78"/>
    </row>
    <row r="776" spans="1:4" s="80" customFormat="1" x14ac:dyDescent="0.2">
      <c r="A776" s="80" t="s">
        <v>620</v>
      </c>
      <c r="B776" s="78"/>
      <c r="C776" s="78"/>
      <c r="D776" s="78"/>
    </row>
    <row r="777" spans="1:4" s="80" customFormat="1" x14ac:dyDescent="0.2">
      <c r="A777" s="80" t="s">
        <v>661</v>
      </c>
      <c r="B777" s="78"/>
      <c r="C777" s="78"/>
      <c r="D777" s="78"/>
    </row>
    <row r="778" spans="1:4" s="80" customFormat="1" x14ac:dyDescent="0.2">
      <c r="A778" s="80" t="s">
        <v>662</v>
      </c>
      <c r="B778" s="78"/>
      <c r="C778" s="78"/>
      <c r="D778" s="78"/>
    </row>
    <row r="779" spans="1:4" s="80" customFormat="1" x14ac:dyDescent="0.2">
      <c r="A779" s="80" t="s">
        <v>663</v>
      </c>
      <c r="B779" s="78"/>
      <c r="C779" s="78"/>
      <c r="D779" s="78"/>
    </row>
    <row r="780" spans="1:4" s="80" customFormat="1" x14ac:dyDescent="0.2">
      <c r="A780" s="80" t="s">
        <v>664</v>
      </c>
      <c r="B780" s="78"/>
      <c r="C780" s="78"/>
      <c r="D780" s="78"/>
    </row>
    <row r="781" spans="1:4" s="80" customFormat="1" x14ac:dyDescent="0.2">
      <c r="A781" s="80" t="s">
        <v>665</v>
      </c>
      <c r="B781" s="78"/>
      <c r="C781" s="78"/>
      <c r="D781" s="78"/>
    </row>
    <row r="782" spans="1:4" s="80" customFormat="1" x14ac:dyDescent="0.2">
      <c r="A782" s="80" t="s">
        <v>667</v>
      </c>
      <c r="B782" s="78"/>
      <c r="C782" s="78"/>
      <c r="D782" s="78"/>
    </row>
    <row r="783" spans="1:4" s="80" customFormat="1" x14ac:dyDescent="0.2">
      <c r="A783" s="80" t="s">
        <v>668</v>
      </c>
      <c r="B783" s="78"/>
      <c r="C783" s="78"/>
      <c r="D783" s="78"/>
    </row>
    <row r="784" spans="1:4" s="80" customFormat="1" x14ac:dyDescent="0.2">
      <c r="A784" s="80" t="s">
        <v>669</v>
      </c>
      <c r="B784" s="78"/>
      <c r="C784" s="78"/>
      <c r="D784" s="78"/>
    </row>
    <row r="785" spans="1:4" s="80" customFormat="1" x14ac:dyDescent="0.2">
      <c r="A785" s="80" t="s">
        <v>670</v>
      </c>
      <c r="B785" s="78"/>
      <c r="C785" s="78"/>
      <c r="D785" s="78"/>
    </row>
    <row r="786" spans="1:4" s="80" customFormat="1" x14ac:dyDescent="0.2">
      <c r="A786" s="80" t="s">
        <v>671</v>
      </c>
      <c r="B786" s="78"/>
      <c r="C786" s="78"/>
      <c r="D786" s="78"/>
    </row>
    <row r="787" spans="1:4" s="80" customFormat="1" x14ac:dyDescent="0.2">
      <c r="A787" s="80" t="s">
        <v>672</v>
      </c>
      <c r="B787" s="78"/>
      <c r="C787" s="78"/>
      <c r="D787" s="78"/>
    </row>
    <row r="788" spans="1:4" s="80" customFormat="1" x14ac:dyDescent="0.2">
      <c r="A788" s="80" t="s">
        <v>673</v>
      </c>
      <c r="B788" s="78"/>
      <c r="C788" s="78"/>
      <c r="D788" s="78"/>
    </row>
    <row r="789" spans="1:4" s="80" customFormat="1" x14ac:dyDescent="0.2">
      <c r="A789" s="80" t="s">
        <v>674</v>
      </c>
      <c r="B789" s="78"/>
      <c r="C789" s="78"/>
      <c r="D789" s="78"/>
    </row>
    <row r="790" spans="1:4" s="80" customFormat="1" x14ac:dyDescent="0.2">
      <c r="A790" s="80" t="s">
        <v>675</v>
      </c>
      <c r="B790" s="78"/>
      <c r="C790" s="78"/>
      <c r="D790" s="78"/>
    </row>
    <row r="791" spans="1:4" s="80" customFormat="1" x14ac:dyDescent="0.2">
      <c r="A791" s="80" t="s">
        <v>676</v>
      </c>
      <c r="B791" s="78"/>
      <c r="C791" s="78"/>
      <c r="D791" s="78"/>
    </row>
    <row r="792" spans="1:4" s="80" customFormat="1" x14ac:dyDescent="0.2">
      <c r="A792" s="80" t="s">
        <v>677</v>
      </c>
      <c r="B792" s="78"/>
      <c r="C792" s="78"/>
      <c r="D792" s="78"/>
    </row>
    <row r="793" spans="1:4" s="80" customFormat="1" x14ac:dyDescent="0.2">
      <c r="A793" s="80" t="s">
        <v>678</v>
      </c>
      <c r="B793" s="78"/>
      <c r="C793" s="78"/>
      <c r="D793" s="78"/>
    </row>
    <row r="794" spans="1:4" s="80" customFormat="1" x14ac:dyDescent="0.2">
      <c r="A794" s="80" t="s">
        <v>679</v>
      </c>
      <c r="B794" s="78"/>
      <c r="C794" s="78"/>
      <c r="D794" s="78"/>
    </row>
    <row r="795" spans="1:4" s="80" customFormat="1" x14ac:dyDescent="0.2">
      <c r="A795" s="80" t="s">
        <v>680</v>
      </c>
      <c r="B795" s="78"/>
      <c r="C795" s="78"/>
      <c r="D795" s="78"/>
    </row>
    <row r="796" spans="1:4" s="80" customFormat="1" x14ac:dyDescent="0.2">
      <c r="A796" s="80" t="s">
        <v>681</v>
      </c>
      <c r="B796" s="78"/>
      <c r="C796" s="78"/>
      <c r="D796" s="78"/>
    </row>
    <row r="797" spans="1:4" s="80" customFormat="1" x14ac:dyDescent="0.2">
      <c r="A797" s="80" t="s">
        <v>682</v>
      </c>
      <c r="B797" s="78"/>
      <c r="C797" s="78"/>
      <c r="D797" s="78"/>
    </row>
    <row r="798" spans="1:4" s="80" customFormat="1" x14ac:dyDescent="0.2">
      <c r="A798" s="80" t="s">
        <v>683</v>
      </c>
      <c r="B798" s="78"/>
      <c r="C798" s="78"/>
      <c r="D798" s="78"/>
    </row>
    <row r="799" spans="1:4" s="80" customFormat="1" x14ac:dyDescent="0.2">
      <c r="A799" s="80" t="s">
        <v>684</v>
      </c>
      <c r="B799" s="78"/>
      <c r="C799" s="78"/>
      <c r="D799" s="78"/>
    </row>
    <row r="800" spans="1:4" s="80" customFormat="1" x14ac:dyDescent="0.2">
      <c r="A800" s="80" t="s">
        <v>685</v>
      </c>
      <c r="B800" s="78"/>
      <c r="C800" s="78"/>
      <c r="D800" s="78"/>
    </row>
    <row r="801" spans="1:4" s="80" customFormat="1" x14ac:dyDescent="0.2">
      <c r="A801" s="80" t="s">
        <v>686</v>
      </c>
      <c r="B801" s="78"/>
      <c r="C801" s="78"/>
      <c r="D801" s="78"/>
    </row>
    <row r="802" spans="1:4" s="80" customFormat="1" x14ac:dyDescent="0.2">
      <c r="A802" s="80" t="s">
        <v>687</v>
      </c>
      <c r="B802" s="78"/>
      <c r="C802" s="78"/>
      <c r="D802" s="78"/>
    </row>
    <row r="803" spans="1:4" s="80" customFormat="1" x14ac:dyDescent="0.2">
      <c r="A803" s="80" t="s">
        <v>657</v>
      </c>
      <c r="B803" s="78"/>
      <c r="C803" s="78"/>
      <c r="D803" s="78"/>
    </row>
    <row r="804" spans="1:4" s="80" customFormat="1" x14ac:dyDescent="0.2">
      <c r="A804" s="80" t="s">
        <v>725</v>
      </c>
      <c r="B804" s="78"/>
      <c r="C804" s="78"/>
      <c r="D804" s="78"/>
    </row>
    <row r="805" spans="1:4" s="80" customFormat="1" x14ac:dyDescent="0.2">
      <c r="A805" s="80" t="s">
        <v>688</v>
      </c>
      <c r="B805" s="78"/>
      <c r="C805" s="78"/>
      <c r="D805" s="78"/>
    </row>
    <row r="806" spans="1:4" s="80" customFormat="1" x14ac:dyDescent="0.2">
      <c r="A806" s="80" t="s">
        <v>689</v>
      </c>
      <c r="B806" s="78"/>
      <c r="C806" s="78"/>
      <c r="D806" s="78"/>
    </row>
    <row r="807" spans="1:4" s="80" customFormat="1" x14ac:dyDescent="0.2">
      <c r="A807" s="80" t="s">
        <v>690</v>
      </c>
      <c r="B807" s="78"/>
      <c r="C807" s="78"/>
      <c r="D807" s="78"/>
    </row>
    <row r="808" spans="1:4" s="80" customFormat="1" x14ac:dyDescent="0.2">
      <c r="A808" s="80" t="s">
        <v>691</v>
      </c>
      <c r="B808" s="78"/>
      <c r="C808" s="78"/>
      <c r="D808" s="78"/>
    </row>
    <row r="809" spans="1:4" s="80" customFormat="1" x14ac:dyDescent="0.2">
      <c r="A809" s="80" t="s">
        <v>692</v>
      </c>
      <c r="B809" s="78"/>
      <c r="C809" s="78"/>
      <c r="D809" s="78"/>
    </row>
    <row r="810" spans="1:4" s="80" customFormat="1" x14ac:dyDescent="0.2">
      <c r="A810" s="80" t="s">
        <v>693</v>
      </c>
      <c r="B810" s="78"/>
      <c r="C810" s="78"/>
      <c r="D810" s="78"/>
    </row>
    <row r="811" spans="1:4" s="80" customFormat="1" x14ac:dyDescent="0.2">
      <c r="A811" s="80" t="s">
        <v>694</v>
      </c>
      <c r="B811" s="78"/>
      <c r="C811" s="78"/>
      <c r="D811" s="78"/>
    </row>
    <row r="812" spans="1:4" s="80" customFormat="1" x14ac:dyDescent="0.2">
      <c r="A812" s="80" t="s">
        <v>695</v>
      </c>
      <c r="B812" s="78"/>
      <c r="C812" s="78"/>
      <c r="D812" s="78"/>
    </row>
    <row r="813" spans="1:4" s="80" customFormat="1" x14ac:dyDescent="0.2">
      <c r="A813" s="80" t="s">
        <v>697</v>
      </c>
      <c r="B813" s="78"/>
      <c r="C813" s="78"/>
      <c r="D813" s="78"/>
    </row>
    <row r="814" spans="1:4" s="80" customFormat="1" x14ac:dyDescent="0.2">
      <c r="A814" s="80" t="s">
        <v>698</v>
      </c>
      <c r="B814" s="78"/>
      <c r="C814" s="78"/>
      <c r="D814" s="78"/>
    </row>
    <row r="815" spans="1:4" s="80" customFormat="1" x14ac:dyDescent="0.2">
      <c r="A815" s="80" t="s">
        <v>751</v>
      </c>
      <c r="B815" s="78"/>
      <c r="C815" s="78"/>
      <c r="D815" s="78"/>
    </row>
    <row r="816" spans="1:4" s="80" customFormat="1" x14ac:dyDescent="0.2">
      <c r="A816" s="80" t="s">
        <v>699</v>
      </c>
      <c r="B816" s="78"/>
      <c r="C816" s="78"/>
      <c r="D816" s="78"/>
    </row>
    <row r="817" spans="1:4" s="80" customFormat="1" x14ac:dyDescent="0.2">
      <c r="A817" s="80" t="s">
        <v>700</v>
      </c>
      <c r="B817" s="78"/>
      <c r="C817" s="78"/>
      <c r="D817" s="78"/>
    </row>
    <row r="818" spans="1:4" s="80" customFormat="1" x14ac:dyDescent="0.2">
      <c r="A818" s="80" t="s">
        <v>701</v>
      </c>
      <c r="B818" s="78"/>
      <c r="C818" s="78"/>
      <c r="D818" s="78"/>
    </row>
    <row r="819" spans="1:4" s="80" customFormat="1" x14ac:dyDescent="0.2">
      <c r="A819" s="80" t="s">
        <v>702</v>
      </c>
      <c r="B819" s="78"/>
      <c r="C819" s="78"/>
      <c r="D819" s="78"/>
    </row>
    <row r="820" spans="1:4" s="80" customFormat="1" x14ac:dyDescent="0.2">
      <c r="A820" s="80" t="s">
        <v>703</v>
      </c>
      <c r="B820" s="78"/>
      <c r="C820" s="78"/>
      <c r="D820" s="78"/>
    </row>
    <row r="821" spans="1:4" s="80" customFormat="1" x14ac:dyDescent="0.2">
      <c r="A821" s="80" t="s">
        <v>704</v>
      </c>
      <c r="B821" s="78"/>
      <c r="C821" s="78"/>
      <c r="D821" s="78"/>
    </row>
    <row r="822" spans="1:4" s="80" customFormat="1" x14ac:dyDescent="0.2">
      <c r="A822" s="80" t="s">
        <v>705</v>
      </c>
      <c r="B822" s="78"/>
      <c r="C822" s="78"/>
      <c r="D822" s="78"/>
    </row>
    <row r="823" spans="1:4" s="80" customFormat="1" x14ac:dyDescent="0.2">
      <c r="A823" s="80" t="s">
        <v>726</v>
      </c>
      <c r="B823" s="78"/>
      <c r="C823" s="78"/>
      <c r="D823" s="78"/>
    </row>
    <row r="824" spans="1:4" s="80" customFormat="1" x14ac:dyDescent="0.2">
      <c r="A824" s="80" t="s">
        <v>706</v>
      </c>
      <c r="B824" s="78"/>
      <c r="C824" s="78"/>
      <c r="D824" s="78"/>
    </row>
    <row r="825" spans="1:4" s="80" customFormat="1" x14ac:dyDescent="0.2">
      <c r="A825" s="80" t="s">
        <v>707</v>
      </c>
      <c r="B825" s="78"/>
      <c r="C825" s="78"/>
      <c r="D825" s="78"/>
    </row>
    <row r="826" spans="1:4" s="80" customFormat="1" x14ac:dyDescent="0.2">
      <c r="A826" s="80" t="s">
        <v>708</v>
      </c>
      <c r="B826" s="78"/>
      <c r="C826" s="78"/>
      <c r="D826" s="78"/>
    </row>
    <row r="827" spans="1:4" s="80" customFormat="1" x14ac:dyDescent="0.2">
      <c r="A827" s="80" t="s">
        <v>709</v>
      </c>
      <c r="B827" s="78"/>
      <c r="C827" s="78"/>
      <c r="D827" s="78"/>
    </row>
    <row r="828" spans="1:4" s="80" customFormat="1" x14ac:dyDescent="0.2">
      <c r="A828" s="80" t="s">
        <v>710</v>
      </c>
      <c r="B828" s="78"/>
      <c r="C828" s="78"/>
      <c r="D828" s="78"/>
    </row>
    <row r="829" spans="1:4" s="80" customFormat="1" x14ac:dyDescent="0.2">
      <c r="A829" s="80" t="s">
        <v>711</v>
      </c>
      <c r="B829" s="78"/>
      <c r="C829" s="78"/>
      <c r="D829" s="78"/>
    </row>
    <row r="830" spans="1:4" s="80" customFormat="1" x14ac:dyDescent="0.2">
      <c r="A830" s="80" t="s">
        <v>712</v>
      </c>
      <c r="B830" s="78"/>
      <c r="C830" s="78"/>
      <c r="D830" s="78"/>
    </row>
    <row r="831" spans="1:4" s="80" customFormat="1" x14ac:dyDescent="0.2">
      <c r="A831" s="80" t="s">
        <v>652</v>
      </c>
      <c r="B831" s="78"/>
      <c r="C831" s="78"/>
      <c r="D831" s="78"/>
    </row>
    <row r="832" spans="1:4" s="80" customFormat="1" x14ac:dyDescent="0.2">
      <c r="A832" s="80" t="s">
        <v>713</v>
      </c>
      <c r="B832" s="78"/>
      <c r="C832" s="78"/>
      <c r="D832" s="78"/>
    </row>
    <row r="833" spans="1:4" s="80" customFormat="1" x14ac:dyDescent="0.2">
      <c r="A833" s="80" t="s">
        <v>714</v>
      </c>
      <c r="B833" s="78"/>
      <c r="C833" s="78"/>
      <c r="D833" s="78"/>
    </row>
    <row r="834" spans="1:4" s="80" customFormat="1" x14ac:dyDescent="0.2">
      <c r="A834" s="80" t="s">
        <v>715</v>
      </c>
      <c r="B834" s="78"/>
      <c r="C834" s="78"/>
      <c r="D834" s="78"/>
    </row>
    <row r="835" spans="1:4" s="80" customFormat="1" x14ac:dyDescent="0.2">
      <c r="A835" s="80" t="s">
        <v>716</v>
      </c>
      <c r="B835" s="78"/>
      <c r="C835" s="78"/>
      <c r="D835" s="78"/>
    </row>
    <row r="836" spans="1:4" s="80" customFormat="1" x14ac:dyDescent="0.2">
      <c r="A836" s="80" t="s">
        <v>717</v>
      </c>
      <c r="B836" s="78"/>
      <c r="C836" s="78"/>
      <c r="D836" s="78"/>
    </row>
    <row r="837" spans="1:4" s="80" customFormat="1" x14ac:dyDescent="0.2">
      <c r="A837" s="80" t="s">
        <v>718</v>
      </c>
      <c r="B837" s="78"/>
      <c r="C837" s="78"/>
      <c r="D837" s="78"/>
    </row>
    <row r="838" spans="1:4" s="80" customFormat="1" x14ac:dyDescent="0.2">
      <c r="A838" s="80" t="s">
        <v>719</v>
      </c>
      <c r="B838" s="78"/>
      <c r="C838" s="78"/>
      <c r="D838" s="78"/>
    </row>
    <row r="839" spans="1:4" s="80" customFormat="1" x14ac:dyDescent="0.2">
      <c r="A839" s="80" t="s">
        <v>720</v>
      </c>
      <c r="B839" s="78"/>
      <c r="C839" s="78"/>
      <c r="D839" s="78"/>
    </row>
    <row r="840" spans="1:4" s="80" customFormat="1" x14ac:dyDescent="0.2">
      <c r="A840" s="80" t="s">
        <v>721</v>
      </c>
      <c r="B840" s="78"/>
      <c r="C840" s="78"/>
      <c r="D840" s="78"/>
    </row>
    <row r="841" spans="1:4" s="80" customFormat="1" x14ac:dyDescent="0.2">
      <c r="A841" s="80" t="s">
        <v>722</v>
      </c>
      <c r="B841" s="78"/>
      <c r="C841" s="78"/>
      <c r="D841" s="78"/>
    </row>
    <row r="842" spans="1:4" s="80" customFormat="1" x14ac:dyDescent="0.2">
      <c r="A842" s="80" t="s">
        <v>723</v>
      </c>
      <c r="B842" s="78"/>
      <c r="C842" s="78"/>
      <c r="D842" s="78"/>
    </row>
    <row r="843" spans="1:4" s="80" customFormat="1" x14ac:dyDescent="0.2">
      <c r="A843" s="80" t="s">
        <v>724</v>
      </c>
      <c r="B843" s="78"/>
      <c r="C843" s="78"/>
      <c r="D843" s="78"/>
    </row>
    <row r="844" spans="1:4" s="80" customFormat="1" x14ac:dyDescent="0.2">
      <c r="A844" s="80" t="s">
        <v>728</v>
      </c>
      <c r="B844" s="78"/>
      <c r="C844" s="78"/>
      <c r="D844" s="78"/>
    </row>
    <row r="845" spans="1:4" s="80" customFormat="1" x14ac:dyDescent="0.2">
      <c r="A845" s="80" t="s">
        <v>729</v>
      </c>
      <c r="B845" s="78"/>
      <c r="C845" s="78"/>
      <c r="D845" s="78"/>
    </row>
    <row r="846" spans="1:4" s="80" customFormat="1" x14ac:dyDescent="0.2">
      <c r="A846" s="80" t="s">
        <v>730</v>
      </c>
      <c r="B846" s="78"/>
      <c r="C846" s="78"/>
      <c r="D846" s="78"/>
    </row>
    <row r="847" spans="1:4" s="80" customFormat="1" x14ac:dyDescent="0.2">
      <c r="A847" s="80" t="s">
        <v>732</v>
      </c>
      <c r="B847" s="78"/>
      <c r="C847" s="78"/>
      <c r="D847" s="78"/>
    </row>
    <row r="848" spans="1:4" s="80" customFormat="1" x14ac:dyDescent="0.2">
      <c r="A848" s="80" t="s">
        <v>733</v>
      </c>
      <c r="B848" s="78"/>
      <c r="C848" s="78"/>
      <c r="D848" s="78"/>
    </row>
    <row r="849" spans="1:4" s="80" customFormat="1" x14ac:dyDescent="0.2">
      <c r="A849" s="80" t="s">
        <v>734</v>
      </c>
      <c r="B849" s="78"/>
      <c r="C849" s="78"/>
      <c r="D849" s="78"/>
    </row>
    <row r="850" spans="1:4" s="80" customFormat="1" x14ac:dyDescent="0.2">
      <c r="A850" s="80" t="s">
        <v>735</v>
      </c>
      <c r="B850" s="78"/>
      <c r="C850" s="78"/>
      <c r="D850" s="78"/>
    </row>
    <row r="851" spans="1:4" s="80" customFormat="1" x14ac:dyDescent="0.2">
      <c r="A851" s="80" t="s">
        <v>736</v>
      </c>
      <c r="B851" s="78"/>
      <c r="C851" s="78"/>
      <c r="D851" s="78"/>
    </row>
    <row r="852" spans="1:4" s="80" customFormat="1" x14ac:dyDescent="0.2">
      <c r="A852" s="80" t="s">
        <v>737</v>
      </c>
      <c r="B852" s="78"/>
      <c r="C852" s="78"/>
      <c r="D852" s="78"/>
    </row>
    <row r="853" spans="1:4" s="80" customFormat="1" x14ac:dyDescent="0.2">
      <c r="A853" s="80" t="s">
        <v>738</v>
      </c>
      <c r="B853" s="78"/>
      <c r="C853" s="78"/>
      <c r="D853" s="78"/>
    </row>
    <row r="854" spans="1:4" s="80" customFormat="1" x14ac:dyDescent="0.2">
      <c r="A854" s="80" t="s">
        <v>739</v>
      </c>
      <c r="B854" s="78"/>
      <c r="C854" s="78"/>
      <c r="D854" s="78"/>
    </row>
    <row r="855" spans="1:4" s="80" customFormat="1" x14ac:dyDescent="0.2">
      <c r="A855" s="80" t="s">
        <v>740</v>
      </c>
      <c r="B855" s="78"/>
      <c r="C855" s="78"/>
      <c r="D855" s="78"/>
    </row>
    <row r="856" spans="1:4" s="80" customFormat="1" x14ac:dyDescent="0.2">
      <c r="A856" s="80" t="s">
        <v>741</v>
      </c>
      <c r="B856" s="78"/>
      <c r="C856" s="78"/>
      <c r="D856" s="78"/>
    </row>
    <row r="857" spans="1:4" s="80" customFormat="1" x14ac:dyDescent="0.2">
      <c r="A857" s="80" t="s">
        <v>742</v>
      </c>
      <c r="B857" s="78"/>
      <c r="C857" s="78"/>
      <c r="D857" s="78"/>
    </row>
    <row r="858" spans="1:4" s="80" customFormat="1" x14ac:dyDescent="0.2">
      <c r="A858" s="80" t="s">
        <v>743</v>
      </c>
      <c r="B858" s="78"/>
      <c r="C858" s="78"/>
      <c r="D858" s="78"/>
    </row>
    <row r="859" spans="1:4" s="80" customFormat="1" x14ac:dyDescent="0.2">
      <c r="A859" s="80" t="s">
        <v>731</v>
      </c>
      <c r="B859" s="78"/>
      <c r="C859" s="78"/>
      <c r="D859" s="78"/>
    </row>
    <row r="860" spans="1:4" s="80" customFormat="1" x14ac:dyDescent="0.2">
      <c r="A860" s="80" t="s">
        <v>744</v>
      </c>
      <c r="B860" s="78"/>
      <c r="C860" s="78"/>
      <c r="D860" s="78"/>
    </row>
    <row r="861" spans="1:4" s="80" customFormat="1" x14ac:dyDescent="0.2">
      <c r="A861" s="80" t="s">
        <v>745</v>
      </c>
      <c r="B861" s="78"/>
      <c r="C861" s="78"/>
      <c r="D861" s="78"/>
    </row>
    <row r="862" spans="1:4" s="80" customFormat="1" x14ac:dyDescent="0.2">
      <c r="A862" s="80" t="s">
        <v>746</v>
      </c>
      <c r="B862" s="78"/>
      <c r="C862" s="78"/>
      <c r="D862" s="78"/>
    </row>
    <row r="863" spans="1:4" s="80" customFormat="1" x14ac:dyDescent="0.2">
      <c r="A863" s="80" t="s">
        <v>747</v>
      </c>
      <c r="B863" s="78"/>
      <c r="C863" s="78"/>
      <c r="D863" s="78"/>
    </row>
    <row r="864" spans="1:4" s="80" customFormat="1" x14ac:dyDescent="0.2">
      <c r="A864" s="80" t="s">
        <v>696</v>
      </c>
      <c r="B864" s="78"/>
      <c r="C864" s="78"/>
      <c r="D864" s="78"/>
    </row>
    <row r="865" spans="1:4" s="80" customFormat="1" x14ac:dyDescent="0.2">
      <c r="A865" s="80" t="s">
        <v>748</v>
      </c>
      <c r="B865" s="78"/>
      <c r="C865" s="78"/>
      <c r="D865" s="78"/>
    </row>
    <row r="866" spans="1:4" s="80" customFormat="1" x14ac:dyDescent="0.2">
      <c r="A866" s="80" t="s">
        <v>749</v>
      </c>
      <c r="B866" s="78"/>
      <c r="C866" s="78"/>
      <c r="D866" s="78"/>
    </row>
    <row r="867" spans="1:4" s="80" customFormat="1" x14ac:dyDescent="0.2">
      <c r="A867" s="80" t="s">
        <v>750</v>
      </c>
      <c r="B867" s="78"/>
      <c r="C867" s="78"/>
      <c r="D867" s="78"/>
    </row>
    <row r="868" spans="1:4" s="80" customFormat="1" x14ac:dyDescent="0.2">
      <c r="A868" s="80" t="s">
        <v>752</v>
      </c>
      <c r="B868" s="78"/>
      <c r="C868" s="78"/>
      <c r="D868" s="78"/>
    </row>
    <row r="869" spans="1:4" s="80" customFormat="1" x14ac:dyDescent="0.2">
      <c r="A869" s="80" t="s">
        <v>753</v>
      </c>
      <c r="B869" s="78"/>
      <c r="C869" s="78"/>
      <c r="D869" s="78"/>
    </row>
    <row r="870" spans="1:4" s="80" customFormat="1" x14ac:dyDescent="0.2">
      <c r="A870" s="80" t="s">
        <v>754</v>
      </c>
      <c r="B870" s="78"/>
      <c r="C870" s="78"/>
      <c r="D870" s="78"/>
    </row>
    <row r="871" spans="1:4" s="80" customFormat="1" x14ac:dyDescent="0.2">
      <c r="A871" s="80" t="s">
        <v>755</v>
      </c>
      <c r="B871" s="78"/>
      <c r="C871" s="78"/>
      <c r="D871" s="78"/>
    </row>
    <row r="872" spans="1:4" s="80" customFormat="1" x14ac:dyDescent="0.2">
      <c r="A872" s="80" t="s">
        <v>756</v>
      </c>
      <c r="B872" s="78"/>
      <c r="C872" s="78"/>
      <c r="D872" s="78"/>
    </row>
    <row r="873" spans="1:4" s="80" customFormat="1" x14ac:dyDescent="0.2">
      <c r="A873" s="80" t="s">
        <v>757</v>
      </c>
      <c r="B873" s="78"/>
      <c r="C873" s="78"/>
      <c r="D873" s="78"/>
    </row>
    <row r="874" spans="1:4" s="80" customFormat="1" x14ac:dyDescent="0.2">
      <c r="A874" s="80" t="s">
        <v>761</v>
      </c>
      <c r="B874" s="78"/>
      <c r="C874" s="78"/>
      <c r="D874" s="78"/>
    </row>
    <row r="875" spans="1:4" s="80" customFormat="1" x14ac:dyDescent="0.2">
      <c r="A875" s="80" t="s">
        <v>758</v>
      </c>
      <c r="B875" s="78"/>
      <c r="C875" s="78"/>
      <c r="D875" s="78"/>
    </row>
    <row r="876" spans="1:4" s="80" customFormat="1" x14ac:dyDescent="0.2">
      <c r="A876" s="80" t="s">
        <v>759</v>
      </c>
      <c r="B876" s="78"/>
      <c r="C876" s="78"/>
      <c r="D876" s="78"/>
    </row>
    <row r="877" spans="1:4" s="80" customFormat="1" x14ac:dyDescent="0.2">
      <c r="A877" s="80" t="s">
        <v>760</v>
      </c>
      <c r="B877" s="78"/>
      <c r="C877" s="78"/>
      <c r="D877" s="78"/>
    </row>
    <row r="878" spans="1:4" s="80" customFormat="1" x14ac:dyDescent="0.2">
      <c r="A878" s="80" t="s">
        <v>762</v>
      </c>
      <c r="B878" s="78"/>
      <c r="C878" s="78"/>
      <c r="D878" s="78"/>
    </row>
    <row r="879" spans="1:4" s="80" customFormat="1" x14ac:dyDescent="0.2">
      <c r="A879" s="80" t="s">
        <v>763</v>
      </c>
      <c r="B879" s="78"/>
      <c r="C879" s="78"/>
      <c r="D879" s="78"/>
    </row>
    <row r="880" spans="1:4" s="80" customFormat="1" x14ac:dyDescent="0.2">
      <c r="A880" s="80" t="s">
        <v>764</v>
      </c>
      <c r="B880" s="78"/>
      <c r="C880" s="78"/>
      <c r="D880" s="78"/>
    </row>
    <row r="881" spans="1:4" s="80" customFormat="1" x14ac:dyDescent="0.2">
      <c r="A881" s="80" t="s">
        <v>765</v>
      </c>
      <c r="B881" s="78"/>
      <c r="C881" s="78"/>
      <c r="D881" s="78"/>
    </row>
    <row r="882" spans="1:4" s="80" customFormat="1" x14ac:dyDescent="0.2">
      <c r="A882" s="80" t="s">
        <v>766</v>
      </c>
      <c r="B882" s="78"/>
      <c r="C882" s="78"/>
      <c r="D882" s="78"/>
    </row>
    <row r="883" spans="1:4" s="80" customFormat="1" x14ac:dyDescent="0.2">
      <c r="A883" s="80" t="s">
        <v>727</v>
      </c>
      <c r="B883" s="78"/>
      <c r="C883" s="78"/>
      <c r="D883" s="78"/>
    </row>
    <row r="884" spans="1:4" s="80" customFormat="1" x14ac:dyDescent="0.2">
      <c r="A884" s="80" t="s">
        <v>767</v>
      </c>
      <c r="B884" s="78"/>
      <c r="C884" s="78"/>
      <c r="D884" s="78"/>
    </row>
    <row r="885" spans="1:4" s="80" customFormat="1" x14ac:dyDescent="0.2">
      <c r="A885" s="78"/>
      <c r="B885" s="78"/>
      <c r="C885" s="78"/>
      <c r="D885" s="78"/>
    </row>
    <row r="886" spans="1:4" s="80" customFormat="1" x14ac:dyDescent="0.2"/>
    <row r="887" spans="1:4" s="80" customFormat="1" x14ac:dyDescent="0.2">
      <c r="A887" s="78" t="s">
        <v>1502</v>
      </c>
    </row>
    <row r="888" spans="1:4" s="80" customFormat="1" x14ac:dyDescent="0.2">
      <c r="A888" s="78" t="s">
        <v>1503</v>
      </c>
    </row>
    <row r="889" spans="1:4" s="80" customFormat="1" x14ac:dyDescent="0.2">
      <c r="A889" s="78" t="s">
        <v>1504</v>
      </c>
    </row>
    <row r="890" spans="1:4" s="80" customFormat="1" x14ac:dyDescent="0.2">
      <c r="A890" s="78" t="s">
        <v>34</v>
      </c>
    </row>
    <row r="891" spans="1:4" s="80" customFormat="1" x14ac:dyDescent="0.2">
      <c r="A891" s="78" t="s">
        <v>1505</v>
      </c>
    </row>
    <row r="892" spans="1:4" s="80" customFormat="1" x14ac:dyDescent="0.2">
      <c r="A892" s="78" t="s">
        <v>1506</v>
      </c>
    </row>
    <row r="893" spans="1:4" s="80" customFormat="1" x14ac:dyDescent="0.2">
      <c r="A893" s="78" t="s">
        <v>1507</v>
      </c>
    </row>
    <row r="894" spans="1:4" s="80" customFormat="1" x14ac:dyDescent="0.2">
      <c r="A894" s="78"/>
    </row>
    <row r="895" spans="1:4" s="80" customFormat="1" x14ac:dyDescent="0.2">
      <c r="A895" s="78"/>
      <c r="B895" s="78"/>
      <c r="C895" s="78"/>
      <c r="D895" s="78"/>
    </row>
    <row r="896" spans="1:4" s="80" customFormat="1" x14ac:dyDescent="0.2">
      <c r="A896" s="78" t="s">
        <v>1486</v>
      </c>
      <c r="B896" s="78"/>
      <c r="C896" s="78"/>
      <c r="D896" s="78"/>
    </row>
    <row r="897" spans="1:4" s="80" customFormat="1" x14ac:dyDescent="0.2">
      <c r="A897" s="78" t="s">
        <v>1485</v>
      </c>
      <c r="B897" s="78"/>
      <c r="C897" s="78"/>
      <c r="D897" s="78"/>
    </row>
    <row r="898" spans="1:4" s="80" customFormat="1" x14ac:dyDescent="0.2">
      <c r="A898" s="78" t="s">
        <v>1481</v>
      </c>
      <c r="B898" s="78"/>
      <c r="C898" s="78"/>
      <c r="D898" s="78"/>
    </row>
    <row r="899" spans="1:4" s="80" customFormat="1" x14ac:dyDescent="0.2">
      <c r="A899" s="78" t="s">
        <v>1482</v>
      </c>
      <c r="B899" s="78"/>
      <c r="C899" s="78"/>
      <c r="D899" s="78"/>
    </row>
    <row r="900" spans="1:4" s="80" customFormat="1" x14ac:dyDescent="0.2">
      <c r="A900" s="78" t="s">
        <v>1483</v>
      </c>
      <c r="B900" s="78"/>
      <c r="C900" s="78"/>
      <c r="D900" s="78"/>
    </row>
    <row r="901" spans="1:4" s="80" customFormat="1" x14ac:dyDescent="0.2">
      <c r="A901" s="78" t="s">
        <v>1487</v>
      </c>
      <c r="B901" s="78"/>
      <c r="C901" s="78"/>
      <c r="D901" s="78"/>
    </row>
    <row r="902" spans="1:4" s="80" customFormat="1" x14ac:dyDescent="0.2">
      <c r="A902" s="78" t="s">
        <v>1488</v>
      </c>
      <c r="B902" s="78"/>
      <c r="C902" s="78"/>
      <c r="D902" s="78"/>
    </row>
    <row r="903" spans="1:4" s="80" customFormat="1" x14ac:dyDescent="0.2">
      <c r="A903" s="78" t="s">
        <v>1484</v>
      </c>
      <c r="B903" s="78"/>
      <c r="C903" s="78"/>
      <c r="D903" s="78"/>
    </row>
    <row r="904" spans="1:4" s="80" customFormat="1" x14ac:dyDescent="0.2">
      <c r="A904" s="78"/>
      <c r="B904" s="78"/>
      <c r="C904" s="78"/>
      <c r="D904" s="78"/>
    </row>
    <row r="905" spans="1:4" s="80" customFormat="1" x14ac:dyDescent="0.2">
      <c r="A905" s="78"/>
      <c r="B905" s="78"/>
      <c r="C905" s="78"/>
      <c r="D905" s="78"/>
    </row>
    <row r="906" spans="1:4" s="80" customFormat="1" x14ac:dyDescent="0.2">
      <c r="A906" s="78"/>
      <c r="B906" s="78"/>
      <c r="C906" s="78"/>
      <c r="D906" s="78"/>
    </row>
    <row r="907" spans="1:4" s="80" customFormat="1" x14ac:dyDescent="0.2">
      <c r="A907" s="78"/>
      <c r="B907" s="78"/>
      <c r="C907" s="78"/>
      <c r="D907" s="78"/>
    </row>
    <row r="908" spans="1:4" s="80" customFormat="1" x14ac:dyDescent="0.2">
      <c r="A908" s="78"/>
      <c r="B908" s="78"/>
      <c r="C908" s="78"/>
      <c r="D908" s="78"/>
    </row>
    <row r="909" spans="1:4" s="80" customFormat="1" x14ac:dyDescent="0.2">
      <c r="A909" s="78" t="s">
        <v>1489</v>
      </c>
      <c r="B909" s="78"/>
      <c r="C909" s="78"/>
      <c r="D909" s="78"/>
    </row>
    <row r="910" spans="1:4" s="80" customFormat="1" x14ac:dyDescent="0.2">
      <c r="A910" s="78" t="s">
        <v>1491</v>
      </c>
      <c r="B910" s="78"/>
      <c r="C910" s="78"/>
      <c r="D910" s="78"/>
    </row>
    <row r="911" spans="1:4" s="80" customFormat="1" x14ac:dyDescent="0.2">
      <c r="A911" s="78" t="s">
        <v>1490</v>
      </c>
      <c r="B911" s="78"/>
      <c r="C911" s="78"/>
      <c r="D911" s="78"/>
    </row>
    <row r="912" spans="1:4" s="80" customFormat="1" x14ac:dyDescent="0.2">
      <c r="A912" s="78"/>
      <c r="B912" s="78"/>
      <c r="C912" s="78"/>
      <c r="D912" s="78"/>
    </row>
    <row r="913" spans="1:4" s="80" customFormat="1" x14ac:dyDescent="0.2">
      <c r="A913" s="78"/>
      <c r="B913" s="78"/>
      <c r="C913" s="78"/>
      <c r="D913" s="78"/>
    </row>
    <row r="914" spans="1:4" s="80" customFormat="1" x14ac:dyDescent="0.2">
      <c r="A914" s="78"/>
      <c r="B914" s="78"/>
      <c r="C914" s="78"/>
      <c r="D914" s="78"/>
    </row>
    <row r="915" spans="1:4" s="80" customFormat="1" x14ac:dyDescent="0.2">
      <c r="A915" s="78"/>
      <c r="B915" s="78"/>
      <c r="C915" s="78"/>
      <c r="D915" s="78"/>
    </row>
    <row r="916" spans="1:4" s="80" customFormat="1" x14ac:dyDescent="0.2">
      <c r="A916" s="78" t="s">
        <v>1492</v>
      </c>
      <c r="B916" s="78"/>
      <c r="C916" s="78"/>
      <c r="D916" s="78"/>
    </row>
    <row r="917" spans="1:4" s="80" customFormat="1" x14ac:dyDescent="0.2">
      <c r="A917" s="78" t="s">
        <v>1494</v>
      </c>
      <c r="B917" s="78"/>
      <c r="C917" s="78"/>
      <c r="D917" s="78"/>
    </row>
    <row r="918" spans="1:4" s="80" customFormat="1" x14ac:dyDescent="0.2">
      <c r="A918" s="78" t="s">
        <v>1493</v>
      </c>
      <c r="B918" s="78"/>
      <c r="C918" s="78"/>
      <c r="D918" s="78"/>
    </row>
    <row r="919" spans="1:4" s="80" customFormat="1" x14ac:dyDescent="0.2">
      <c r="A919" s="78"/>
      <c r="B919" s="78"/>
      <c r="C919" s="78"/>
      <c r="D919" s="78"/>
    </row>
    <row r="920" spans="1:4" s="80" customFormat="1" x14ac:dyDescent="0.2">
      <c r="A920" s="78"/>
      <c r="B920" s="78"/>
      <c r="C920" s="78"/>
      <c r="D920" s="78"/>
    </row>
    <row r="921" spans="1:4" s="80" customFormat="1" x14ac:dyDescent="0.2">
      <c r="A921" s="78"/>
      <c r="B921" s="78"/>
      <c r="C921" s="78"/>
      <c r="D921" s="78"/>
    </row>
    <row r="922" spans="1:4" s="80" customFormat="1" x14ac:dyDescent="0.2">
      <c r="A922" s="78" t="s">
        <v>1500</v>
      </c>
      <c r="B922" s="78"/>
      <c r="C922" s="78"/>
      <c r="D922" s="78"/>
    </row>
    <row r="923" spans="1:4" s="80" customFormat="1" x14ac:dyDescent="0.2">
      <c r="A923" s="78" t="s">
        <v>1501</v>
      </c>
      <c r="B923" s="78"/>
      <c r="C923" s="78"/>
      <c r="D923" s="78"/>
    </row>
    <row r="924" spans="1:4" s="80" customFormat="1" x14ac:dyDescent="0.2">
      <c r="A924" s="78" t="s">
        <v>1495</v>
      </c>
      <c r="B924" s="78"/>
      <c r="C924" s="78"/>
      <c r="D924" s="78"/>
    </row>
    <row r="925" spans="1:4" s="80" customFormat="1" x14ac:dyDescent="0.2">
      <c r="A925" s="78" t="s">
        <v>1496</v>
      </c>
      <c r="B925" s="78"/>
      <c r="C925" s="78"/>
      <c r="D925" s="78"/>
    </row>
    <row r="926" spans="1:4" s="80" customFormat="1" x14ac:dyDescent="0.2">
      <c r="A926" s="78" t="s">
        <v>1497</v>
      </c>
      <c r="B926" s="78"/>
      <c r="C926" s="78"/>
      <c r="D926" s="78"/>
    </row>
    <row r="927" spans="1:4" s="80" customFormat="1" x14ac:dyDescent="0.2">
      <c r="A927" s="78" t="s">
        <v>1749</v>
      </c>
      <c r="B927" s="78"/>
      <c r="C927" s="78"/>
      <c r="D927" s="78"/>
    </row>
    <row r="928" spans="1:4" s="80" customFormat="1" x14ac:dyDescent="0.2">
      <c r="A928" s="78" t="s">
        <v>1498</v>
      </c>
      <c r="B928" s="78"/>
      <c r="C928" s="78"/>
      <c r="D928" s="78"/>
    </row>
    <row r="929" spans="1:4" s="80" customFormat="1" x14ac:dyDescent="0.2">
      <c r="A929" s="78" t="s">
        <v>57</v>
      </c>
      <c r="B929" s="78"/>
      <c r="C929" s="78"/>
      <c r="D929" s="78"/>
    </row>
    <row r="930" spans="1:4" s="80" customFormat="1" x14ac:dyDescent="0.2">
      <c r="A930" s="78" t="s">
        <v>1499</v>
      </c>
      <c r="B930" s="78"/>
      <c r="C930" s="78"/>
      <c r="D930" s="78"/>
    </row>
    <row r="931" spans="1:4" s="80" customFormat="1" x14ac:dyDescent="0.2">
      <c r="A931" s="78"/>
      <c r="B931" s="78"/>
      <c r="C931" s="78"/>
      <c r="D931" s="78"/>
    </row>
    <row r="932" spans="1:4" s="80" customFormat="1" x14ac:dyDescent="0.2">
      <c r="A932" s="78"/>
      <c r="B932" s="78"/>
      <c r="C932" s="78"/>
      <c r="D932" s="78"/>
    </row>
    <row r="933" spans="1:4" s="80" customFormat="1" x14ac:dyDescent="0.2">
      <c r="A933" s="78"/>
      <c r="B933" s="78"/>
      <c r="C933" s="78"/>
      <c r="D933" s="78"/>
    </row>
    <row r="934" spans="1:4" s="80" customFormat="1" x14ac:dyDescent="0.2">
      <c r="A934" s="78"/>
      <c r="B934" s="78"/>
      <c r="C934" s="78"/>
      <c r="D934" s="78"/>
    </row>
    <row r="935" spans="1:4" s="80" customFormat="1" x14ac:dyDescent="0.2">
      <c r="A935" s="78"/>
      <c r="B935" s="78"/>
      <c r="C935" s="78"/>
      <c r="D935" s="78"/>
    </row>
    <row r="936" spans="1:4" s="80" customFormat="1" x14ac:dyDescent="0.2">
      <c r="A936" s="78"/>
      <c r="B936" s="78"/>
      <c r="C936" s="78"/>
      <c r="D936" s="78"/>
    </row>
    <row r="937" spans="1:4" s="80" customFormat="1" x14ac:dyDescent="0.2">
      <c r="A937" s="78"/>
      <c r="B937" s="78"/>
      <c r="C937" s="78"/>
      <c r="D937" s="78"/>
    </row>
    <row r="938" spans="1:4" s="80" customFormat="1" x14ac:dyDescent="0.2">
      <c r="A938" s="78"/>
      <c r="B938" s="78"/>
      <c r="C938" s="78"/>
      <c r="D938" s="78"/>
    </row>
    <row r="939" spans="1:4" s="80" customFormat="1" x14ac:dyDescent="0.2">
      <c r="A939" s="78"/>
      <c r="B939" s="78"/>
      <c r="C939" s="78"/>
      <c r="D939" s="78"/>
    </row>
    <row r="940" spans="1:4" s="80" customFormat="1" x14ac:dyDescent="0.2">
      <c r="A940" s="78"/>
      <c r="B940" s="78"/>
      <c r="C940" s="78"/>
      <c r="D940" s="78"/>
    </row>
    <row r="941" spans="1:4" s="80" customFormat="1" x14ac:dyDescent="0.2">
      <c r="A941" s="78"/>
      <c r="B941" s="78"/>
      <c r="C941" s="78"/>
      <c r="D941" s="78"/>
    </row>
    <row r="942" spans="1:4" s="80" customFormat="1" x14ac:dyDescent="0.2">
      <c r="A942" s="78"/>
      <c r="B942" s="78"/>
      <c r="C942" s="78"/>
      <c r="D942" s="78"/>
    </row>
    <row r="943" spans="1:4" s="80" customFormat="1" x14ac:dyDescent="0.2">
      <c r="A943" s="78" t="s">
        <v>1742</v>
      </c>
      <c r="B943" s="78"/>
      <c r="C943" s="78"/>
      <c r="D943" s="78"/>
    </row>
    <row r="944" spans="1:4" s="80" customFormat="1" x14ac:dyDescent="0.2">
      <c r="A944" s="78" t="s">
        <v>806</v>
      </c>
      <c r="B944" s="78"/>
      <c r="C944" s="78"/>
      <c r="D944" s="78"/>
    </row>
    <row r="945" spans="1:4" s="80" customFormat="1" x14ac:dyDescent="0.2">
      <c r="A945" s="78"/>
      <c r="B945" s="78"/>
      <c r="C945" s="78"/>
      <c r="D945" s="78"/>
    </row>
    <row r="946" spans="1:4" s="80" customFormat="1" x14ac:dyDescent="0.2">
      <c r="A946" s="78"/>
      <c r="B946" s="78"/>
      <c r="C946" s="78"/>
      <c r="D946" s="78"/>
    </row>
    <row r="947" spans="1:4" s="80" customFormat="1" x14ac:dyDescent="0.2">
      <c r="A947" s="78"/>
      <c r="B947" s="78"/>
      <c r="C947" s="78"/>
      <c r="D947" s="78"/>
    </row>
    <row r="948" spans="1:4" s="80" customFormat="1" x14ac:dyDescent="0.2">
      <c r="A948" s="78"/>
      <c r="B948" s="78"/>
      <c r="C948" s="78"/>
      <c r="D948" s="78"/>
    </row>
    <row r="949" spans="1:4" s="80" customFormat="1" x14ac:dyDescent="0.2"/>
    <row r="950" spans="1:4" s="80" customFormat="1" x14ac:dyDescent="0.2">
      <c r="A950" s="152"/>
    </row>
    <row r="951" spans="1:4" s="80" customFormat="1" x14ac:dyDescent="0.2"/>
    <row r="952" spans="1:4" s="80" customFormat="1" x14ac:dyDescent="0.2"/>
    <row r="953" spans="1:4" s="80" customFormat="1" x14ac:dyDescent="0.2"/>
    <row r="954" spans="1:4" s="80" customFormat="1" x14ac:dyDescent="0.2"/>
    <row r="955" spans="1:4" s="80" customFormat="1" x14ac:dyDescent="0.2"/>
    <row r="956" spans="1:4" s="80" customFormat="1" x14ac:dyDescent="0.2"/>
    <row r="957" spans="1:4" s="80" customFormat="1" x14ac:dyDescent="0.2"/>
    <row r="958" spans="1:4" s="80" customFormat="1" x14ac:dyDescent="0.2"/>
    <row r="959" spans="1:4" s="80" customFormat="1" x14ac:dyDescent="0.2"/>
    <row r="960" spans="1:4" s="80" customFormat="1" x14ac:dyDescent="0.2"/>
    <row r="961" s="80" customFormat="1" x14ac:dyDescent="0.2"/>
    <row r="962" s="80" customFormat="1" x14ac:dyDescent="0.2"/>
    <row r="963" s="80" customFormat="1" x14ac:dyDescent="0.2"/>
    <row r="964" s="80" customFormat="1" x14ac:dyDescent="0.2"/>
    <row r="965" s="80" customFormat="1" x14ac:dyDescent="0.2"/>
    <row r="966" s="80" customFormat="1" x14ac:dyDescent="0.2"/>
    <row r="967" s="80" customFormat="1" x14ac:dyDescent="0.2"/>
    <row r="968" s="80" customFormat="1" x14ac:dyDescent="0.2"/>
    <row r="969" s="80" customFormat="1" x14ac:dyDescent="0.2"/>
    <row r="970" s="80" customFormat="1" x14ac:dyDescent="0.2"/>
    <row r="971" s="80" customFormat="1" x14ac:dyDescent="0.2"/>
    <row r="972" s="80" customFormat="1" x14ac:dyDescent="0.2"/>
    <row r="973" s="80" customFormat="1" x14ac:dyDescent="0.2"/>
    <row r="974" s="80" customFormat="1" x14ac:dyDescent="0.2"/>
    <row r="975" s="80" customFormat="1" x14ac:dyDescent="0.2"/>
    <row r="976" s="80" customFormat="1" x14ac:dyDescent="0.2"/>
    <row r="977" s="80" customFormat="1" x14ac:dyDescent="0.2"/>
    <row r="978" s="80" customFormat="1" x14ac:dyDescent="0.2"/>
    <row r="979" s="80" customFormat="1" x14ac:dyDescent="0.2"/>
    <row r="980" s="80" customFormat="1" x14ac:dyDescent="0.2"/>
    <row r="981" s="80" customFormat="1" x14ac:dyDescent="0.2"/>
    <row r="982" s="80" customFormat="1" x14ac:dyDescent="0.2"/>
    <row r="983" s="80" customFormat="1" x14ac:dyDescent="0.2"/>
    <row r="984" s="80" customFormat="1" x14ac:dyDescent="0.2"/>
    <row r="985" s="80" customFormat="1" x14ac:dyDescent="0.2"/>
    <row r="986" s="80" customFormat="1" x14ac:dyDescent="0.2"/>
    <row r="987" s="80" customFormat="1" x14ac:dyDescent="0.2"/>
    <row r="988" s="80" customFormat="1" x14ac:dyDescent="0.2"/>
    <row r="989" s="80" customFormat="1" x14ac:dyDescent="0.2"/>
    <row r="990" s="80" customFormat="1" x14ac:dyDescent="0.2"/>
    <row r="991" s="80" customFormat="1" x14ac:dyDescent="0.2"/>
    <row r="992" s="80" customFormat="1" x14ac:dyDescent="0.2"/>
    <row r="993" s="80" customFormat="1" x14ac:dyDescent="0.2"/>
    <row r="994" s="80" customFormat="1" x14ac:dyDescent="0.2"/>
    <row r="995" s="80" customFormat="1" x14ac:dyDescent="0.2"/>
    <row r="996" s="80" customFormat="1" x14ac:dyDescent="0.2"/>
    <row r="997" s="80" customFormat="1" x14ac:dyDescent="0.2"/>
    <row r="998" s="80" customFormat="1" x14ac:dyDescent="0.2"/>
    <row r="999" s="80" customFormat="1" x14ac:dyDescent="0.2"/>
    <row r="1000" s="80" customFormat="1" x14ac:dyDescent="0.2"/>
    <row r="1001" s="80" customFormat="1" x14ac:dyDescent="0.2"/>
    <row r="1002" s="80" customFormat="1" x14ac:dyDescent="0.2"/>
    <row r="1003" s="80" customFormat="1" x14ac:dyDescent="0.2"/>
    <row r="1004" s="80" customFormat="1" x14ac:dyDescent="0.2"/>
    <row r="1005" s="80" customFormat="1" x14ac:dyDescent="0.2"/>
    <row r="1006" s="80" customFormat="1" x14ac:dyDescent="0.2"/>
    <row r="1007" s="80" customFormat="1" x14ac:dyDescent="0.2"/>
    <row r="1008" s="80" customFormat="1" x14ac:dyDescent="0.2"/>
    <row r="1009" s="80" customFormat="1" x14ac:dyDescent="0.2"/>
    <row r="1010" s="80" customFormat="1" x14ac:dyDescent="0.2"/>
    <row r="1011" s="80" customFormat="1" x14ac:dyDescent="0.2"/>
    <row r="1012" s="80" customFormat="1" x14ac:dyDescent="0.2"/>
    <row r="1013" s="80" customFormat="1" x14ac:dyDescent="0.2"/>
    <row r="1014" s="80" customFormat="1" x14ac:dyDescent="0.2"/>
    <row r="1015" s="80" customFormat="1" x14ac:dyDescent="0.2"/>
    <row r="1016" s="80" customFormat="1" x14ac:dyDescent="0.2"/>
    <row r="1017" s="80" customFormat="1" x14ac:dyDescent="0.2"/>
    <row r="1018" s="80" customFormat="1" x14ac:dyDescent="0.2"/>
    <row r="1019" s="80" customFormat="1" x14ac:dyDescent="0.2"/>
    <row r="1020" s="80" customFormat="1" x14ac:dyDescent="0.2"/>
    <row r="1021" s="80" customFormat="1" x14ac:dyDescent="0.2"/>
    <row r="1022" s="80" customFormat="1" x14ac:dyDescent="0.2"/>
    <row r="1023" s="80" customFormat="1" x14ac:dyDescent="0.2"/>
    <row r="1024" s="80" customFormat="1" x14ac:dyDescent="0.2"/>
    <row r="1025" spans="1:1" s="80" customFormat="1" x14ac:dyDescent="0.2"/>
    <row r="1026" spans="1:1" s="80" customFormat="1" x14ac:dyDescent="0.2"/>
    <row r="1027" spans="1:1" s="80" customFormat="1" x14ac:dyDescent="0.2"/>
    <row r="1028" spans="1:1" s="80" customFormat="1" x14ac:dyDescent="0.2"/>
    <row r="1029" spans="1:1" s="80" customFormat="1" x14ac:dyDescent="0.2"/>
    <row r="1030" spans="1:1" s="80" customFormat="1" x14ac:dyDescent="0.2"/>
    <row r="1031" spans="1:1" s="80" customFormat="1" x14ac:dyDescent="0.2"/>
    <row r="1032" spans="1:1" s="80" customFormat="1" x14ac:dyDescent="0.2"/>
    <row r="1033" spans="1:1" s="80" customFormat="1" x14ac:dyDescent="0.2"/>
    <row r="1034" spans="1:1" s="80" customFormat="1" x14ac:dyDescent="0.2"/>
    <row r="1035" spans="1:1" s="80" customFormat="1" x14ac:dyDescent="0.2"/>
    <row r="1036" spans="1:1" s="80" customFormat="1" x14ac:dyDescent="0.2"/>
    <row r="1037" spans="1:1" s="80" customFormat="1" x14ac:dyDescent="0.2"/>
    <row r="1038" spans="1:1" s="80" customFormat="1" x14ac:dyDescent="0.2"/>
    <row r="1039" spans="1:1" s="80" customFormat="1" x14ac:dyDescent="0.2">
      <c r="A1039" s="80" t="s">
        <v>1742</v>
      </c>
    </row>
    <row r="1040" spans="1:1" s="80" customFormat="1" x14ac:dyDescent="0.2">
      <c r="A1040" s="80" t="s">
        <v>806</v>
      </c>
    </row>
    <row r="1041" s="80" customFormat="1" x14ac:dyDescent="0.2"/>
    <row r="1042" s="80" customFormat="1" x14ac:dyDescent="0.2"/>
    <row r="1043" s="80" customFormat="1" x14ac:dyDescent="0.2"/>
    <row r="1044" s="80" customFormat="1" x14ac:dyDescent="0.2"/>
    <row r="1045" s="80" customFormat="1" x14ac:dyDescent="0.2"/>
    <row r="1046" s="80" customFormat="1" x14ac:dyDescent="0.2"/>
    <row r="1047" s="80" customFormat="1" x14ac:dyDescent="0.2"/>
    <row r="1048" s="80" customFormat="1" x14ac:dyDescent="0.2"/>
    <row r="1049" s="80" customFormat="1" x14ac:dyDescent="0.2"/>
    <row r="1050" s="80" customFormat="1" x14ac:dyDescent="0.2"/>
    <row r="1051" s="80" customFormat="1" x14ac:dyDescent="0.2"/>
    <row r="1052" s="80" customFormat="1" x14ac:dyDescent="0.2"/>
    <row r="1053" s="80" customFormat="1" x14ac:dyDescent="0.2"/>
    <row r="1054" s="80" customFormat="1" x14ac:dyDescent="0.2"/>
    <row r="1055" s="80" customFormat="1" x14ac:dyDescent="0.2"/>
    <row r="1056" s="80" customFormat="1" x14ac:dyDescent="0.2"/>
    <row r="1057" s="80" customFormat="1" x14ac:dyDescent="0.2"/>
    <row r="1058" s="80" customFormat="1" x14ac:dyDescent="0.2"/>
    <row r="1059" s="80" customFormat="1" x14ac:dyDescent="0.2"/>
    <row r="1060" s="80" customFormat="1" x14ac:dyDescent="0.2"/>
    <row r="1061" s="80" customFormat="1" x14ac:dyDescent="0.2"/>
    <row r="1062" s="80" customFormat="1" x14ac:dyDescent="0.2"/>
    <row r="1063" s="80" customFormat="1" x14ac:dyDescent="0.2"/>
    <row r="1064" s="80" customFormat="1" x14ac:dyDescent="0.2"/>
    <row r="1065" s="80" customFormat="1" x14ac:dyDescent="0.2"/>
    <row r="1066" s="80" customFormat="1" x14ac:dyDescent="0.2"/>
    <row r="1067" s="80" customFormat="1" x14ac:dyDescent="0.2"/>
    <row r="1068" s="80" customFormat="1" x14ac:dyDescent="0.2"/>
    <row r="1069" s="80" customFormat="1" x14ac:dyDescent="0.2"/>
    <row r="1070" s="80" customFormat="1" x14ac:dyDescent="0.2"/>
    <row r="1071" s="80" customFormat="1" x14ac:dyDescent="0.2"/>
    <row r="1072" s="80" customFormat="1" x14ac:dyDescent="0.2"/>
    <row r="1073" s="80" customFormat="1" x14ac:dyDescent="0.2"/>
    <row r="1074" s="80" customFormat="1" x14ac:dyDescent="0.2"/>
    <row r="1075" s="80" customFormat="1" x14ac:dyDescent="0.2"/>
    <row r="1076" s="80" customFormat="1" x14ac:dyDescent="0.2"/>
    <row r="1077" s="80" customFormat="1" x14ac:dyDescent="0.2"/>
    <row r="1078" s="80" customFormat="1" x14ac:dyDescent="0.2"/>
    <row r="1079" s="80" customFormat="1" x14ac:dyDescent="0.2"/>
    <row r="1080" s="80" customFormat="1" x14ac:dyDescent="0.2"/>
    <row r="1081" s="80" customFormat="1" x14ac:dyDescent="0.2"/>
    <row r="1082" s="80" customFormat="1" x14ac:dyDescent="0.2"/>
    <row r="1083" s="80" customFormat="1" x14ac:dyDescent="0.2"/>
    <row r="1084" s="80" customFormat="1" x14ac:dyDescent="0.2"/>
    <row r="1085" s="80" customFormat="1" x14ac:dyDescent="0.2"/>
    <row r="1086" s="80" customFormat="1" x14ac:dyDescent="0.2"/>
    <row r="1087" s="80" customFormat="1" x14ac:dyDescent="0.2"/>
    <row r="1088" s="80" customFormat="1" x14ac:dyDescent="0.2"/>
    <row r="1089" s="80" customFormat="1" x14ac:dyDescent="0.2"/>
    <row r="1090" s="80" customFormat="1" x14ac:dyDescent="0.2"/>
    <row r="1091" s="80" customFormat="1" x14ac:dyDescent="0.2"/>
    <row r="1092" s="80" customFormat="1" x14ac:dyDescent="0.2"/>
    <row r="1093" s="80" customFormat="1" x14ac:dyDescent="0.2"/>
    <row r="1094" s="80" customFormat="1" x14ac:dyDescent="0.2"/>
    <row r="1095" s="80" customFormat="1" x14ac:dyDescent="0.2"/>
    <row r="1096" s="80" customFormat="1" x14ac:dyDescent="0.2"/>
    <row r="1097" s="80" customFormat="1" x14ac:dyDescent="0.2"/>
    <row r="1098" s="80" customFormat="1" x14ac:dyDescent="0.2"/>
    <row r="1099" s="80" customFormat="1" x14ac:dyDescent="0.2"/>
    <row r="1100" s="80" customFormat="1" x14ac:dyDescent="0.2"/>
    <row r="1101" s="80" customFormat="1" x14ac:dyDescent="0.2"/>
    <row r="1102" s="80" customFormat="1" x14ac:dyDescent="0.2"/>
    <row r="1103" s="80" customFormat="1" x14ac:dyDescent="0.2"/>
    <row r="1104" s="80" customFormat="1" x14ac:dyDescent="0.2"/>
    <row r="1105" s="80" customFormat="1" x14ac:dyDescent="0.2"/>
    <row r="1106" s="80" customFormat="1" x14ac:dyDescent="0.2"/>
    <row r="1107" s="80" customFormat="1" x14ac:dyDescent="0.2"/>
    <row r="1108" s="80" customFormat="1" x14ac:dyDescent="0.2"/>
    <row r="1109" s="80" customFormat="1" x14ac:dyDescent="0.2"/>
    <row r="1110" s="80" customFormat="1" x14ac:dyDescent="0.2"/>
    <row r="1111" s="80" customFormat="1" x14ac:dyDescent="0.2"/>
    <row r="1112" s="80" customFormat="1" x14ac:dyDescent="0.2"/>
    <row r="1113" s="80" customFormat="1" x14ac:dyDescent="0.2"/>
    <row r="1114" s="80" customFormat="1" x14ac:dyDescent="0.2"/>
    <row r="1115" s="80" customFormat="1" x14ac:dyDescent="0.2"/>
    <row r="1116" s="80" customFormat="1" x14ac:dyDescent="0.2"/>
    <row r="1117" s="80" customFormat="1" x14ac:dyDescent="0.2"/>
    <row r="1118" s="80" customFormat="1" x14ac:dyDescent="0.2"/>
    <row r="1119" s="80" customFormat="1" x14ac:dyDescent="0.2"/>
    <row r="1120" s="80" customFormat="1" x14ac:dyDescent="0.2"/>
    <row r="1121" s="80" customFormat="1" x14ac:dyDescent="0.2"/>
    <row r="1122" s="80" customFormat="1" x14ac:dyDescent="0.2"/>
    <row r="1123" s="80" customFormat="1" x14ac:dyDescent="0.2"/>
    <row r="1124" s="80" customFormat="1" x14ac:dyDescent="0.2"/>
    <row r="1125" s="80" customFormat="1" x14ac:dyDescent="0.2"/>
    <row r="1126" s="80" customFormat="1" x14ac:dyDescent="0.2"/>
    <row r="1127" s="80" customFormat="1" x14ac:dyDescent="0.2"/>
    <row r="1128" s="80" customFormat="1" x14ac:dyDescent="0.2"/>
    <row r="1129" s="80" customFormat="1" x14ac:dyDescent="0.2"/>
    <row r="1130" s="80" customFormat="1" x14ac:dyDescent="0.2"/>
    <row r="1131" s="80" customFormat="1" x14ac:dyDescent="0.2"/>
    <row r="1132" s="80" customFormat="1" x14ac:dyDescent="0.2"/>
    <row r="1133" s="80" customFormat="1" x14ac:dyDescent="0.2"/>
    <row r="1134" s="80" customFormat="1" x14ac:dyDescent="0.2"/>
    <row r="1135" s="80" customFormat="1" x14ac:dyDescent="0.2"/>
    <row r="1136" s="80" customFormat="1" x14ac:dyDescent="0.2"/>
    <row r="1137" s="80" customFormat="1" x14ac:dyDescent="0.2"/>
    <row r="1138" s="80" customFormat="1" x14ac:dyDescent="0.2"/>
    <row r="1139" s="80" customFormat="1" x14ac:dyDescent="0.2"/>
    <row r="1140" s="80" customFormat="1" x14ac:dyDescent="0.2"/>
    <row r="1141" s="80" customFormat="1" x14ac:dyDescent="0.2"/>
    <row r="1142" s="80" customFormat="1" x14ac:dyDescent="0.2"/>
    <row r="1143" s="80" customFormat="1" x14ac:dyDescent="0.2"/>
    <row r="1144" s="80" customFormat="1" x14ac:dyDescent="0.2"/>
    <row r="1145" s="80" customFormat="1" x14ac:dyDescent="0.2"/>
    <row r="1146" s="80" customFormat="1" x14ac:dyDescent="0.2"/>
    <row r="1147" s="80" customFormat="1" x14ac:dyDescent="0.2"/>
    <row r="1148" s="80" customFormat="1" x14ac:dyDescent="0.2"/>
    <row r="1149" s="80" customFormat="1" x14ac:dyDescent="0.2"/>
    <row r="1150" s="80" customFormat="1" x14ac:dyDescent="0.2"/>
    <row r="1151" s="80" customFormat="1" x14ac:dyDescent="0.2"/>
    <row r="1152" s="80" customFormat="1" x14ac:dyDescent="0.2"/>
    <row r="1153" s="80" customFormat="1" x14ac:dyDescent="0.2"/>
    <row r="1154" s="80" customFormat="1" x14ac:dyDescent="0.2"/>
    <row r="1155" s="80" customFormat="1" x14ac:dyDescent="0.2"/>
    <row r="1156" s="80" customFormat="1" x14ac:dyDescent="0.2"/>
    <row r="1157" s="80" customFormat="1" x14ac:dyDescent="0.2"/>
    <row r="1158" s="80" customFormat="1" x14ac:dyDescent="0.2"/>
    <row r="1159" s="80" customFormat="1" x14ac:dyDescent="0.2"/>
    <row r="1160" s="80" customFormat="1" x14ac:dyDescent="0.2"/>
    <row r="1161" s="78" customFormat="1" x14ac:dyDescent="0.2"/>
    <row r="1162" s="78" customFormat="1" x14ac:dyDescent="0.2"/>
    <row r="1163" s="78" customFormat="1" x14ac:dyDescent="0.2"/>
    <row r="1164" s="78" customFormat="1" x14ac:dyDescent="0.2"/>
    <row r="1165" s="78" customFormat="1" x14ac:dyDescent="0.2"/>
    <row r="1166" s="78" customFormat="1" x14ac:dyDescent="0.2"/>
    <row r="1167" s="78" customFormat="1" x14ac:dyDescent="0.2"/>
    <row r="1168" s="78" customFormat="1" x14ac:dyDescent="0.2"/>
    <row r="1169" s="78" customFormat="1" x14ac:dyDescent="0.2"/>
    <row r="1170" s="78" customFormat="1" x14ac:dyDescent="0.2"/>
    <row r="1171" s="78" customFormat="1" x14ac:dyDescent="0.2"/>
    <row r="1172" s="78" customFormat="1" x14ac:dyDescent="0.2"/>
    <row r="1173" s="78" customFormat="1" x14ac:dyDescent="0.2"/>
    <row r="1174" s="78" customFormat="1" x14ac:dyDescent="0.2"/>
    <row r="1175" s="78" customFormat="1" x14ac:dyDescent="0.2"/>
    <row r="1176" s="78" customFormat="1" x14ac:dyDescent="0.2"/>
    <row r="1177" s="78" customFormat="1" x14ac:dyDescent="0.2"/>
    <row r="1178" s="78" customFormat="1" x14ac:dyDescent="0.2"/>
    <row r="1179" s="78" customFormat="1" x14ac:dyDescent="0.2"/>
    <row r="1180" s="78" customFormat="1" x14ac:dyDescent="0.2"/>
    <row r="1181" s="78" customFormat="1" x14ac:dyDescent="0.2"/>
    <row r="1182" s="78" customFormat="1" x14ac:dyDescent="0.2"/>
    <row r="1183" s="78" customFormat="1" x14ac:dyDescent="0.2"/>
    <row r="1184" s="78" customFormat="1" x14ac:dyDescent="0.2"/>
    <row r="1185" spans="1:1" s="78" customFormat="1" x14ac:dyDescent="0.2"/>
    <row r="1186" spans="1:1" s="78" customFormat="1" x14ac:dyDescent="0.2">
      <c r="A1186" s="80"/>
    </row>
    <row r="1187" spans="1:1" s="78" customFormat="1" x14ac:dyDescent="0.2">
      <c r="A1187" s="80"/>
    </row>
    <row r="1188" spans="1:1" s="78" customFormat="1" x14ac:dyDescent="0.2">
      <c r="A1188" s="80" t="s">
        <v>1742</v>
      </c>
    </row>
    <row r="1189" spans="1:1" s="78" customFormat="1" x14ac:dyDescent="0.2">
      <c r="A1189" s="80" t="s">
        <v>806</v>
      </c>
    </row>
    <row r="1190" spans="1:1" s="78" customFormat="1" x14ac:dyDescent="0.2"/>
    <row r="1191" spans="1:1" s="78" customFormat="1" x14ac:dyDescent="0.2"/>
    <row r="1192" spans="1:1" s="78" customFormat="1" x14ac:dyDescent="0.2"/>
    <row r="1193" spans="1:1" s="78" customFormat="1" x14ac:dyDescent="0.2"/>
    <row r="1194" spans="1:1" s="78" customFormat="1" x14ac:dyDescent="0.2"/>
    <row r="1195" spans="1:1" s="78" customFormat="1" x14ac:dyDescent="0.2"/>
    <row r="1196" spans="1:1" s="78" customFormat="1" x14ac:dyDescent="0.2"/>
    <row r="1197" spans="1:1" s="78" customFormat="1" x14ac:dyDescent="0.2"/>
    <row r="1198" spans="1:1" s="78" customFormat="1" x14ac:dyDescent="0.2"/>
    <row r="1199" spans="1:1" s="78" customFormat="1" x14ac:dyDescent="0.2"/>
    <row r="1200" spans="1:1" s="78" customFormat="1" x14ac:dyDescent="0.2"/>
    <row r="1201" s="78" customFormat="1" x14ac:dyDescent="0.2"/>
    <row r="1202" s="78" customFormat="1" x14ac:dyDescent="0.2"/>
    <row r="1203" s="78" customFormat="1" x14ac:dyDescent="0.2"/>
    <row r="1204" s="78" customFormat="1" x14ac:dyDescent="0.2"/>
    <row r="1205" s="78" customFormat="1" x14ac:dyDescent="0.2"/>
    <row r="1206" s="78" customFormat="1" x14ac:dyDescent="0.2"/>
    <row r="1207" s="78" customFormat="1" x14ac:dyDescent="0.2"/>
    <row r="1208" s="78" customFormat="1" x14ac:dyDescent="0.2"/>
    <row r="1209" s="78" customFormat="1" x14ac:dyDescent="0.2"/>
    <row r="1210" s="78" customFormat="1" x14ac:dyDescent="0.2"/>
    <row r="1211" s="78" customFormat="1" x14ac:dyDescent="0.2"/>
    <row r="1212" s="78" customFormat="1" x14ac:dyDescent="0.2"/>
    <row r="1213" s="78" customFormat="1" x14ac:dyDescent="0.2"/>
    <row r="1214" s="78" customFormat="1" x14ac:dyDescent="0.2"/>
    <row r="1215" s="78" customFormat="1" x14ac:dyDescent="0.2"/>
    <row r="1216" s="78" customFormat="1" x14ac:dyDescent="0.2"/>
    <row r="1217" s="78" customFormat="1" x14ac:dyDescent="0.2"/>
    <row r="1218" s="78" customFormat="1" x14ac:dyDescent="0.2"/>
    <row r="1219" s="78" customFormat="1" x14ac:dyDescent="0.2"/>
    <row r="1220" s="78" customFormat="1" x14ac:dyDescent="0.2"/>
    <row r="1221" s="78" customFormat="1" x14ac:dyDescent="0.2"/>
    <row r="1222" s="78" customFormat="1" x14ac:dyDescent="0.2"/>
    <row r="1223" s="78" customFormat="1" x14ac:dyDescent="0.2"/>
    <row r="1224" s="78" customFormat="1" x14ac:dyDescent="0.2"/>
    <row r="1225" s="78" customFormat="1" x14ac:dyDescent="0.2"/>
    <row r="1226" s="78" customFormat="1" x14ac:dyDescent="0.2"/>
    <row r="1227" s="78" customFormat="1" x14ac:dyDescent="0.2"/>
    <row r="1228" s="78" customFormat="1" x14ac:dyDescent="0.2"/>
    <row r="1229" s="78" customFormat="1" x14ac:dyDescent="0.2"/>
    <row r="1230" s="78" customFormat="1" x14ac:dyDescent="0.2"/>
    <row r="1231" s="78" customFormat="1" x14ac:dyDescent="0.2"/>
    <row r="1232" s="78" customFormat="1" x14ac:dyDescent="0.2"/>
    <row r="1233" s="78" customFormat="1" x14ac:dyDescent="0.2"/>
    <row r="1234" s="78" customFormat="1" x14ac:dyDescent="0.2"/>
    <row r="1235" s="78" customFormat="1" x14ac:dyDescent="0.2"/>
    <row r="1236" s="78" customFormat="1" x14ac:dyDescent="0.2"/>
    <row r="1237" s="78" customFormat="1" x14ac:dyDescent="0.2"/>
    <row r="1238" s="78" customFormat="1" x14ac:dyDescent="0.2"/>
    <row r="1239" s="78" customFormat="1" x14ac:dyDescent="0.2"/>
    <row r="1240" s="78" customFormat="1" x14ac:dyDescent="0.2"/>
    <row r="1241" s="78" customFormat="1" x14ac:dyDescent="0.2"/>
    <row r="1242" s="78" customFormat="1" x14ac:dyDescent="0.2"/>
    <row r="1243" s="78" customFormat="1" x14ac:dyDescent="0.2"/>
    <row r="1244" s="78" customFormat="1" x14ac:dyDescent="0.2"/>
    <row r="1245" s="78" customFormat="1" x14ac:dyDescent="0.2"/>
    <row r="1246" s="78" customFormat="1" x14ac:dyDescent="0.2"/>
    <row r="1247" s="78" customFormat="1" x14ac:dyDescent="0.2"/>
    <row r="1248" s="78" customFormat="1" x14ac:dyDescent="0.2"/>
    <row r="1249" s="78" customFormat="1" x14ac:dyDescent="0.2"/>
    <row r="1250" s="78" customFormat="1" x14ac:dyDescent="0.2"/>
    <row r="1251" s="78" customFormat="1" x14ac:dyDescent="0.2"/>
    <row r="1252" s="78" customFormat="1" x14ac:dyDescent="0.2"/>
    <row r="1253" s="78" customFormat="1" x14ac:dyDescent="0.2"/>
    <row r="1254" s="78" customFormat="1" x14ac:dyDescent="0.2"/>
    <row r="1255" s="78" customFormat="1" x14ac:dyDescent="0.2"/>
    <row r="1256" s="78" customFormat="1" x14ac:dyDescent="0.2"/>
    <row r="1257" s="78" customFormat="1" x14ac:dyDescent="0.2"/>
    <row r="1258" s="78" customFormat="1" x14ac:dyDescent="0.2"/>
    <row r="1259" s="78" customFormat="1" x14ac:dyDescent="0.2"/>
    <row r="1260" s="78" customFormat="1" x14ac:dyDescent="0.2"/>
    <row r="1261" s="78" customFormat="1" x14ac:dyDescent="0.2"/>
    <row r="1262" s="78" customFormat="1" x14ac:dyDescent="0.2"/>
    <row r="1263" s="78" customFormat="1" x14ac:dyDescent="0.2"/>
    <row r="1264" s="78" customFormat="1" x14ac:dyDescent="0.2"/>
    <row r="1265" s="78" customFormat="1" x14ac:dyDescent="0.2"/>
    <row r="1266" s="78" customFormat="1" x14ac:dyDescent="0.2"/>
    <row r="1267" s="78" customFormat="1" x14ac:dyDescent="0.2"/>
    <row r="1268" s="78" customFormat="1" x14ac:dyDescent="0.2"/>
    <row r="1269" s="78" customFormat="1" x14ac:dyDescent="0.2"/>
    <row r="1270" s="78" customFormat="1" x14ac:dyDescent="0.2"/>
    <row r="1271" s="78" customFormat="1" x14ac:dyDescent="0.2"/>
    <row r="1272" s="78" customFormat="1" x14ac:dyDescent="0.2"/>
    <row r="1273" s="78" customFormat="1" x14ac:dyDescent="0.2"/>
    <row r="1274" s="78" customFormat="1" x14ac:dyDescent="0.2"/>
    <row r="1275" s="78" customFormat="1" x14ac:dyDescent="0.2"/>
    <row r="1276" s="78" customFormat="1" x14ac:dyDescent="0.2"/>
    <row r="1277" s="78" customFormat="1" x14ac:dyDescent="0.2"/>
    <row r="1278" s="78" customFormat="1" x14ac:dyDescent="0.2"/>
    <row r="1279" s="78" customFormat="1" x14ac:dyDescent="0.2"/>
    <row r="1280" s="78" customFormat="1" x14ac:dyDescent="0.2"/>
    <row r="1281" s="78" customFormat="1" x14ac:dyDescent="0.2"/>
    <row r="1282" s="78" customFormat="1" x14ac:dyDescent="0.2"/>
    <row r="1283" s="78" customFormat="1" x14ac:dyDescent="0.2"/>
    <row r="1284" s="78" customFormat="1" x14ac:dyDescent="0.2"/>
    <row r="1285" s="78" customFormat="1" x14ac:dyDescent="0.2"/>
    <row r="1286" s="78" customFormat="1" x14ac:dyDescent="0.2"/>
    <row r="1287" s="78" customFormat="1" x14ac:dyDescent="0.2"/>
    <row r="1288" s="78" customFormat="1" x14ac:dyDescent="0.2"/>
    <row r="1289" s="78" customFormat="1" x14ac:dyDescent="0.2"/>
    <row r="1290" s="78" customFormat="1" x14ac:dyDescent="0.2"/>
    <row r="1291" s="78" customFormat="1" x14ac:dyDescent="0.2"/>
    <row r="1292" s="78" customFormat="1" x14ac:dyDescent="0.2"/>
    <row r="1293" s="78" customFormat="1" x14ac:dyDescent="0.2"/>
    <row r="1294" s="78" customFormat="1" x14ac:dyDescent="0.2"/>
    <row r="1295" s="78" customFormat="1" x14ac:dyDescent="0.2"/>
    <row r="1296" s="78" customFormat="1" x14ac:dyDescent="0.2"/>
    <row r="1297" s="78" customFormat="1" x14ac:dyDescent="0.2"/>
    <row r="1298" s="78" customFormat="1" x14ac:dyDescent="0.2"/>
    <row r="1299" s="78" customFormat="1" x14ac:dyDescent="0.2"/>
    <row r="1300" s="78" customFormat="1" x14ac:dyDescent="0.2"/>
    <row r="1301" s="78" customFormat="1" x14ac:dyDescent="0.2"/>
    <row r="1302" s="78" customFormat="1" x14ac:dyDescent="0.2"/>
    <row r="1303" s="78" customFormat="1" x14ac:dyDescent="0.2"/>
    <row r="1304" s="78" customFormat="1" x14ac:dyDescent="0.2"/>
    <row r="1305" s="78" customFormat="1" x14ac:dyDescent="0.2"/>
    <row r="1306" s="78" customFormat="1" x14ac:dyDescent="0.2"/>
    <row r="1307" s="78" customFormat="1" x14ac:dyDescent="0.2"/>
    <row r="1308" s="78" customFormat="1" x14ac:dyDescent="0.2"/>
    <row r="1309" s="78" customFormat="1" x14ac:dyDescent="0.2"/>
    <row r="1310" s="78" customFormat="1" x14ac:dyDescent="0.2"/>
    <row r="1311" s="78" customFormat="1" x14ac:dyDescent="0.2"/>
    <row r="1312" s="78" customFormat="1" x14ac:dyDescent="0.2"/>
    <row r="1313" s="78" customFormat="1" x14ac:dyDescent="0.2"/>
    <row r="1314" s="78" customFormat="1" x14ac:dyDescent="0.2"/>
    <row r="1315" s="78" customFormat="1" x14ac:dyDescent="0.2"/>
    <row r="1316" s="78" customFormat="1" x14ac:dyDescent="0.2"/>
    <row r="1317" s="78" customFormat="1" x14ac:dyDescent="0.2"/>
    <row r="1318" s="78" customFormat="1" x14ac:dyDescent="0.2"/>
    <row r="1319" s="78" customFormat="1" x14ac:dyDescent="0.2"/>
    <row r="1320" s="78" customFormat="1" x14ac:dyDescent="0.2"/>
    <row r="1321" s="78" customFormat="1" x14ac:dyDescent="0.2"/>
    <row r="1322" s="78" customFormat="1" x14ac:dyDescent="0.2"/>
    <row r="1323" s="78" customFormat="1" x14ac:dyDescent="0.2"/>
    <row r="1324" s="78" customFormat="1" x14ac:dyDescent="0.2"/>
    <row r="1325" s="78" customFormat="1" x14ac:dyDescent="0.2"/>
    <row r="1326" s="78" customFormat="1" x14ac:dyDescent="0.2"/>
    <row r="1327" s="78" customFormat="1" x14ac:dyDescent="0.2"/>
    <row r="1328" s="78" customFormat="1" x14ac:dyDescent="0.2"/>
    <row r="1329" spans="1:5" s="78" customFormat="1" x14ac:dyDescent="0.2"/>
    <row r="1330" spans="1:5" s="78" customFormat="1" x14ac:dyDescent="0.2"/>
    <row r="1331" spans="1:5" s="78" customFormat="1" x14ac:dyDescent="0.2"/>
    <row r="1332" spans="1:5" s="78" customFormat="1" x14ac:dyDescent="0.2">
      <c r="A1332" s="78" t="s">
        <v>943</v>
      </c>
      <c r="C1332" s="78" t="s">
        <v>944</v>
      </c>
      <c r="D1332" s="78" t="s">
        <v>945</v>
      </c>
      <c r="E1332" s="78" t="s">
        <v>994</v>
      </c>
    </row>
    <row r="1333" spans="1:5" s="78" customFormat="1" x14ac:dyDescent="0.2"/>
    <row r="1334" spans="1:5" s="78" customFormat="1" x14ac:dyDescent="0.2">
      <c r="A1334" s="78" t="s">
        <v>950</v>
      </c>
      <c r="C1334" s="78" t="s">
        <v>949</v>
      </c>
      <c r="D1334" s="78" t="s">
        <v>949</v>
      </c>
      <c r="E1334" s="78" t="s">
        <v>1525</v>
      </c>
    </row>
    <row r="1335" spans="1:5" s="78" customFormat="1" x14ac:dyDescent="0.2">
      <c r="A1335" s="78" t="s">
        <v>951</v>
      </c>
      <c r="C1335" s="78" t="s">
        <v>973</v>
      </c>
      <c r="D1335" s="78" t="s">
        <v>973</v>
      </c>
      <c r="E1335" s="78" t="s">
        <v>1521</v>
      </c>
    </row>
    <row r="1336" spans="1:5" s="78" customFormat="1" x14ac:dyDescent="0.2">
      <c r="A1336" s="78" t="s">
        <v>953</v>
      </c>
      <c r="C1336" s="78" t="s">
        <v>974</v>
      </c>
      <c r="D1336" s="78" t="s">
        <v>974</v>
      </c>
      <c r="E1336" s="78" t="s">
        <v>1516</v>
      </c>
    </row>
    <row r="1337" spans="1:5" s="78" customFormat="1" x14ac:dyDescent="0.2">
      <c r="A1337" s="78" t="s">
        <v>954</v>
      </c>
      <c r="C1337" s="78" t="s">
        <v>975</v>
      </c>
      <c r="D1337" s="78" t="s">
        <v>975</v>
      </c>
      <c r="E1337" s="78" t="s">
        <v>1517</v>
      </c>
    </row>
    <row r="1338" spans="1:5" s="78" customFormat="1" x14ac:dyDescent="0.2">
      <c r="A1338" s="78" t="s">
        <v>955</v>
      </c>
      <c r="C1338" s="78" t="s">
        <v>976</v>
      </c>
      <c r="D1338" s="78" t="s">
        <v>976</v>
      </c>
      <c r="E1338" s="78" t="s">
        <v>1518</v>
      </c>
    </row>
    <row r="1339" spans="1:5" s="78" customFormat="1" x14ac:dyDescent="0.2">
      <c r="A1339" s="78" t="s">
        <v>956</v>
      </c>
      <c r="C1339" s="78" t="s">
        <v>952</v>
      </c>
      <c r="D1339" s="78" t="s">
        <v>952</v>
      </c>
      <c r="E1339" s="78" t="s">
        <v>1522</v>
      </c>
    </row>
    <row r="1340" spans="1:5" s="78" customFormat="1" x14ac:dyDescent="0.2">
      <c r="A1340" s="78" t="s">
        <v>957</v>
      </c>
      <c r="C1340" s="78" t="s">
        <v>977</v>
      </c>
      <c r="D1340" s="78" t="s">
        <v>977</v>
      </c>
      <c r="E1340" s="78" t="s">
        <v>1523</v>
      </c>
    </row>
    <row r="1341" spans="1:5" s="78" customFormat="1" x14ac:dyDescent="0.2">
      <c r="A1341" s="78" t="s">
        <v>958</v>
      </c>
      <c r="C1341" s="78" t="s">
        <v>978</v>
      </c>
      <c r="D1341" s="78" t="s">
        <v>978</v>
      </c>
      <c r="E1341" s="78" t="s">
        <v>1524</v>
      </c>
    </row>
    <row r="1342" spans="1:5" s="78" customFormat="1" x14ac:dyDescent="0.2">
      <c r="A1342" s="78" t="s">
        <v>959</v>
      </c>
      <c r="C1342" s="78" t="s">
        <v>979</v>
      </c>
      <c r="D1342" s="78" t="s">
        <v>979</v>
      </c>
      <c r="E1342" s="78" t="s">
        <v>1519</v>
      </c>
    </row>
    <row r="1343" spans="1:5" s="78" customFormat="1" x14ac:dyDescent="0.2">
      <c r="A1343" s="78" t="s">
        <v>960</v>
      </c>
      <c r="C1343" s="78" t="s">
        <v>980</v>
      </c>
      <c r="D1343" s="78" t="s">
        <v>980</v>
      </c>
      <c r="E1343" s="78" t="s">
        <v>1520</v>
      </c>
    </row>
    <row r="1344" spans="1:5" s="78" customFormat="1" x14ac:dyDescent="0.2">
      <c r="A1344" s="78" t="s">
        <v>961</v>
      </c>
      <c r="C1344" s="78" t="s">
        <v>981</v>
      </c>
      <c r="D1344" s="78" t="s">
        <v>981</v>
      </c>
    </row>
    <row r="1345" spans="1:4" s="78" customFormat="1" x14ac:dyDescent="0.2">
      <c r="A1345" s="78" t="s">
        <v>962</v>
      </c>
      <c r="C1345" s="78" t="s">
        <v>982</v>
      </c>
      <c r="D1345" s="78" t="s">
        <v>982</v>
      </c>
    </row>
    <row r="1346" spans="1:4" s="78" customFormat="1" x14ac:dyDescent="0.2">
      <c r="A1346" s="78" t="s">
        <v>963</v>
      </c>
      <c r="C1346" s="78" t="s">
        <v>983</v>
      </c>
      <c r="D1346" s="78" t="s">
        <v>983</v>
      </c>
    </row>
    <row r="1347" spans="1:4" s="78" customFormat="1" x14ac:dyDescent="0.2">
      <c r="A1347" s="78" t="s">
        <v>964</v>
      </c>
      <c r="C1347" s="78" t="s">
        <v>984</v>
      </c>
      <c r="D1347" s="78" t="s">
        <v>984</v>
      </c>
    </row>
    <row r="1348" spans="1:4" s="78" customFormat="1" x14ac:dyDescent="0.2">
      <c r="A1348" s="78" t="s">
        <v>965</v>
      </c>
      <c r="C1348" s="78" t="s">
        <v>985</v>
      </c>
      <c r="D1348" s="78" t="s">
        <v>985</v>
      </c>
    </row>
    <row r="1349" spans="1:4" s="78" customFormat="1" x14ac:dyDescent="0.2">
      <c r="A1349" s="78" t="s">
        <v>966</v>
      </c>
      <c r="C1349" s="78" t="s">
        <v>986</v>
      </c>
      <c r="D1349" s="78" t="s">
        <v>986</v>
      </c>
    </row>
    <row r="1350" spans="1:4" s="78" customFormat="1" x14ac:dyDescent="0.2">
      <c r="A1350" s="78" t="s">
        <v>967</v>
      </c>
      <c r="C1350" s="78" t="s">
        <v>987</v>
      </c>
      <c r="D1350" s="78" t="s">
        <v>988</v>
      </c>
    </row>
    <row r="1351" spans="1:4" s="78" customFormat="1" x14ac:dyDescent="0.2">
      <c r="A1351" s="78" t="s">
        <v>968</v>
      </c>
      <c r="C1351" s="78" t="s">
        <v>988</v>
      </c>
      <c r="D1351" s="78" t="s">
        <v>992</v>
      </c>
    </row>
    <row r="1352" spans="1:4" s="78" customFormat="1" x14ac:dyDescent="0.2">
      <c r="A1352" s="78" t="s">
        <v>969</v>
      </c>
      <c r="C1352" s="78" t="s">
        <v>989</v>
      </c>
      <c r="D1352" s="78" t="s">
        <v>993</v>
      </c>
    </row>
    <row r="1353" spans="1:4" s="78" customFormat="1" x14ac:dyDescent="0.2">
      <c r="A1353" s="78" t="s">
        <v>970</v>
      </c>
      <c r="C1353" s="78" t="s">
        <v>990</v>
      </c>
      <c r="D1353" s="78" t="s">
        <v>991</v>
      </c>
    </row>
    <row r="1354" spans="1:4" s="78" customFormat="1" x14ac:dyDescent="0.2">
      <c r="A1354" s="78" t="s">
        <v>971</v>
      </c>
      <c r="C1354" s="78" t="s">
        <v>971</v>
      </c>
    </row>
    <row r="1355" spans="1:4" s="78" customFormat="1" x14ac:dyDescent="0.2">
      <c r="A1355" s="78" t="s">
        <v>972</v>
      </c>
      <c r="C1355" s="78" t="s">
        <v>991</v>
      </c>
    </row>
    <row r="1356" spans="1:4" s="78" customFormat="1" x14ac:dyDescent="0.2"/>
    <row r="1357" spans="1:4" s="78" customFormat="1" x14ac:dyDescent="0.2"/>
    <row r="1358" spans="1:4" s="78" customFormat="1" x14ac:dyDescent="0.2"/>
    <row r="1359" spans="1:4" s="78" customFormat="1" x14ac:dyDescent="0.2"/>
    <row r="1360" spans="1:4" s="78" customFormat="1" x14ac:dyDescent="0.2"/>
    <row r="1361" s="78" customFormat="1" x14ac:dyDescent="0.2"/>
    <row r="1362" s="78" customFormat="1" x14ac:dyDescent="0.2"/>
    <row r="1363" s="78" customFormat="1" x14ac:dyDescent="0.2"/>
    <row r="1364" s="78" customFormat="1" x14ac:dyDescent="0.2"/>
    <row r="1365" s="78" customFormat="1" x14ac:dyDescent="0.2"/>
    <row r="1366" s="78" customFormat="1" x14ac:dyDescent="0.2"/>
    <row r="1367" s="78" customFormat="1" x14ac:dyDescent="0.2"/>
    <row r="1368" s="78" customFormat="1" x14ac:dyDescent="0.2"/>
    <row r="1369" s="78" customFormat="1" x14ac:dyDescent="0.2"/>
    <row r="1370" s="78" customFormat="1" x14ac:dyDescent="0.2"/>
    <row r="1371" s="78" customFormat="1" x14ac:dyDescent="0.2"/>
    <row r="1372" s="78" customFormat="1" x14ac:dyDescent="0.2"/>
    <row r="1373" s="78" customFormat="1" x14ac:dyDescent="0.2"/>
    <row r="1374" s="78" customFormat="1" x14ac:dyDescent="0.2"/>
    <row r="1375" s="78" customFormat="1" x14ac:dyDescent="0.2"/>
    <row r="1376" s="78" customFormat="1" x14ac:dyDescent="0.2"/>
    <row r="1377" s="78" customFormat="1" x14ac:dyDescent="0.2"/>
    <row r="1378" s="78" customFormat="1" x14ac:dyDescent="0.2"/>
    <row r="1379" s="78" customFormat="1" x14ac:dyDescent="0.2"/>
    <row r="1380" s="78" customFormat="1" x14ac:dyDescent="0.2"/>
    <row r="1381" s="78" customFormat="1" x14ac:dyDescent="0.2"/>
    <row r="1382" s="78" customFormat="1" x14ac:dyDescent="0.2"/>
    <row r="1383" s="78" customFormat="1" x14ac:dyDescent="0.2"/>
    <row r="1384" s="78" customFormat="1" x14ac:dyDescent="0.2"/>
    <row r="1385" s="78" customFormat="1" x14ac:dyDescent="0.2"/>
    <row r="1386" s="78" customFormat="1" x14ac:dyDescent="0.2"/>
    <row r="1387" s="78" customFormat="1" x14ac:dyDescent="0.2"/>
    <row r="1388" s="78" customFormat="1" x14ac:dyDescent="0.2"/>
    <row r="1389" s="78" customFormat="1" x14ac:dyDescent="0.2"/>
    <row r="1390" s="78" customFormat="1" x14ac:dyDescent="0.2"/>
    <row r="1391" s="78" customFormat="1" x14ac:dyDescent="0.2"/>
    <row r="1392" s="78" customFormat="1" x14ac:dyDescent="0.2"/>
    <row r="1393" s="78" customFormat="1" x14ac:dyDescent="0.2"/>
    <row r="1394" s="78" customFormat="1" x14ac:dyDescent="0.2"/>
    <row r="1395" s="78" customFormat="1" x14ac:dyDescent="0.2"/>
    <row r="1396" s="78" customFormat="1" x14ac:dyDescent="0.2"/>
    <row r="1397" s="78" customFormat="1" x14ac:dyDescent="0.2"/>
    <row r="1398" s="78" customFormat="1" x14ac:dyDescent="0.2"/>
    <row r="1399" s="78" customFormat="1" x14ac:dyDescent="0.2"/>
    <row r="1400" s="78" customFormat="1" x14ac:dyDescent="0.2"/>
    <row r="1401" s="78" customFormat="1" x14ac:dyDescent="0.2"/>
    <row r="1402" s="78" customFormat="1" x14ac:dyDescent="0.2"/>
    <row r="1403" s="78" customFormat="1" x14ac:dyDescent="0.2"/>
    <row r="1404" s="78" customFormat="1" x14ac:dyDescent="0.2"/>
    <row r="1405" s="78" customFormat="1" x14ac:dyDescent="0.2"/>
    <row r="1406" s="78" customFormat="1" x14ac:dyDescent="0.2"/>
    <row r="1407" s="78" customFormat="1" x14ac:dyDescent="0.2"/>
    <row r="1408" s="78" customFormat="1" x14ac:dyDescent="0.2"/>
    <row r="1409" s="78" customFormat="1" x14ac:dyDescent="0.2"/>
    <row r="1410" s="78" customFormat="1" x14ac:dyDescent="0.2"/>
    <row r="1411" s="78" customFormat="1" x14ac:dyDescent="0.2"/>
    <row r="1412" s="78" customFormat="1" x14ac:dyDescent="0.2"/>
    <row r="1413" s="78" customFormat="1" x14ac:dyDescent="0.2"/>
    <row r="1414" s="78" customFormat="1" x14ac:dyDescent="0.2"/>
    <row r="1415" s="78" customFormat="1" x14ac:dyDescent="0.2"/>
    <row r="1416" s="78" customFormat="1" x14ac:dyDescent="0.2"/>
    <row r="1417" s="78" customFormat="1" x14ac:dyDescent="0.2"/>
    <row r="1418" s="78" customFormat="1" x14ac:dyDescent="0.2"/>
    <row r="1419" s="78" customFormat="1" x14ac:dyDescent="0.2"/>
    <row r="1420" s="78" customFormat="1" x14ac:dyDescent="0.2"/>
    <row r="1421" s="78" customFormat="1" x14ac:dyDescent="0.2"/>
    <row r="1422" s="78" customFormat="1" x14ac:dyDescent="0.2"/>
    <row r="1423" s="78" customFormat="1" x14ac:dyDescent="0.2"/>
    <row r="1424" s="78" customFormat="1" x14ac:dyDescent="0.2"/>
    <row r="1425" s="78" customFormat="1" x14ac:dyDescent="0.2"/>
    <row r="1426" s="78" customFormat="1" x14ac:dyDescent="0.2"/>
    <row r="1427" s="78" customFormat="1" x14ac:dyDescent="0.2"/>
    <row r="1428" s="78" customFormat="1" x14ac:dyDescent="0.2"/>
    <row r="1429" s="78" customFormat="1" x14ac:dyDescent="0.2"/>
    <row r="1430" s="78" customFormat="1" x14ac:dyDescent="0.2"/>
    <row r="1431" s="78" customFormat="1" x14ac:dyDescent="0.2"/>
    <row r="1432" s="78" customFormat="1" x14ac:dyDescent="0.2"/>
    <row r="1433" s="78" customFormat="1" x14ac:dyDescent="0.2"/>
    <row r="1434" s="78" customFormat="1" x14ac:dyDescent="0.2"/>
    <row r="1435" s="78" customFormat="1" x14ac:dyDescent="0.2"/>
    <row r="1436" s="78" customFormat="1" x14ac:dyDescent="0.2"/>
    <row r="1437" s="78" customFormat="1" x14ac:dyDescent="0.2"/>
    <row r="1438" s="78" customFormat="1" x14ac:dyDescent="0.2"/>
    <row r="1439" s="78" customFormat="1" x14ac:dyDescent="0.2"/>
    <row r="1440" s="78" customFormat="1" x14ac:dyDescent="0.2"/>
    <row r="1441" s="78" customFormat="1" x14ac:dyDescent="0.2"/>
    <row r="1442" s="78" customFormat="1" x14ac:dyDescent="0.2"/>
    <row r="1443" s="78" customFormat="1" x14ac:dyDescent="0.2"/>
    <row r="1444" s="78" customFormat="1" x14ac:dyDescent="0.2"/>
    <row r="1445" s="78" customFormat="1" x14ac:dyDescent="0.2"/>
    <row r="1446" s="78" customFormat="1" x14ac:dyDescent="0.2"/>
    <row r="1447" s="78" customFormat="1" x14ac:dyDescent="0.2"/>
    <row r="1448" s="78" customFormat="1" x14ac:dyDescent="0.2"/>
    <row r="1449" s="78" customFormat="1" x14ac:dyDescent="0.2"/>
    <row r="1450" s="78" customFormat="1" x14ac:dyDescent="0.2"/>
    <row r="1451" s="78" customFormat="1" x14ac:dyDescent="0.2"/>
    <row r="1452" s="78" customFormat="1" x14ac:dyDescent="0.2"/>
    <row r="1453" s="78" customFormat="1" x14ac:dyDescent="0.2"/>
    <row r="1454" s="78" customFormat="1" x14ac:dyDescent="0.2"/>
    <row r="1455" s="78" customFormat="1" x14ac:dyDescent="0.2"/>
    <row r="1456" s="78" customFormat="1" x14ac:dyDescent="0.2"/>
    <row r="1457" s="78" customFormat="1" x14ac:dyDescent="0.2"/>
    <row r="1458" s="78" customFormat="1" x14ac:dyDescent="0.2"/>
    <row r="1459" s="78" customFormat="1" x14ac:dyDescent="0.2"/>
    <row r="1460" s="78" customFormat="1" x14ac:dyDescent="0.2"/>
    <row r="1461" s="78" customFormat="1" x14ac:dyDescent="0.2"/>
    <row r="1462" s="78" customFormat="1" x14ac:dyDescent="0.2"/>
    <row r="1463" s="78" customFormat="1" x14ac:dyDescent="0.2"/>
    <row r="1464" s="78" customFormat="1" x14ac:dyDescent="0.2"/>
    <row r="1465" s="78" customFormat="1" x14ac:dyDescent="0.2"/>
    <row r="1466" s="78" customFormat="1" x14ac:dyDescent="0.2"/>
    <row r="1467" s="78" customFormat="1" x14ac:dyDescent="0.2"/>
    <row r="1468" s="78" customFormat="1" x14ac:dyDescent="0.2"/>
    <row r="1469" s="78" customFormat="1" x14ac:dyDescent="0.2"/>
    <row r="1470" s="78" customFormat="1" x14ac:dyDescent="0.2"/>
    <row r="1471" s="78" customFormat="1" x14ac:dyDescent="0.2"/>
    <row r="1472" s="78" customFormat="1" x14ac:dyDescent="0.2"/>
    <row r="1473" s="78" customFormat="1" x14ac:dyDescent="0.2"/>
    <row r="1474" s="78" customFormat="1" x14ac:dyDescent="0.2"/>
    <row r="1475" s="78" customFormat="1" x14ac:dyDescent="0.2"/>
    <row r="1476" s="78" customFormat="1" x14ac:dyDescent="0.2"/>
    <row r="1477" s="78" customFormat="1" x14ac:dyDescent="0.2"/>
    <row r="1478" s="78" customFormat="1" x14ac:dyDescent="0.2"/>
    <row r="1479" s="78" customFormat="1" x14ac:dyDescent="0.2"/>
    <row r="1480" s="78" customFormat="1" x14ac:dyDescent="0.2"/>
    <row r="1481" s="78" customFormat="1" x14ac:dyDescent="0.2"/>
    <row r="1482" s="78" customFormat="1" x14ac:dyDescent="0.2"/>
    <row r="1483" s="78" customFormat="1" x14ac:dyDescent="0.2"/>
    <row r="1484" s="78" customFormat="1" x14ac:dyDescent="0.2"/>
    <row r="1485" s="78" customFormat="1" x14ac:dyDescent="0.2"/>
    <row r="1486" s="78" customFormat="1" x14ac:dyDescent="0.2"/>
    <row r="1487" s="78" customFormat="1" x14ac:dyDescent="0.2"/>
    <row r="1488" s="78" customFormat="1" x14ac:dyDescent="0.2"/>
    <row r="1489" s="78" customFormat="1" x14ac:dyDescent="0.2"/>
    <row r="1490" s="78" customFormat="1" x14ac:dyDescent="0.2"/>
    <row r="1491" s="78" customFormat="1" x14ac:dyDescent="0.2"/>
    <row r="1492" s="78" customFormat="1" x14ac:dyDescent="0.2"/>
    <row r="1493" s="78" customFormat="1" x14ac:dyDescent="0.2"/>
    <row r="1494" s="78" customFormat="1" x14ac:dyDescent="0.2"/>
    <row r="1495" s="78" customFormat="1" x14ac:dyDescent="0.2"/>
    <row r="1496" s="78" customFormat="1" x14ac:dyDescent="0.2"/>
    <row r="1497" s="78" customFormat="1" x14ac:dyDescent="0.2"/>
    <row r="1498" s="78" customFormat="1" x14ac:dyDescent="0.2"/>
    <row r="1499" s="78" customFormat="1" x14ac:dyDescent="0.2"/>
    <row r="1500" s="78" customFormat="1" x14ac:dyDescent="0.2"/>
    <row r="1501" s="78" customFormat="1" x14ac:dyDescent="0.2"/>
    <row r="1502" s="78" customFormat="1" x14ac:dyDescent="0.2"/>
    <row r="1503" s="78" customFormat="1" x14ac:dyDescent="0.2"/>
    <row r="1504" s="78" customFormat="1" x14ac:dyDescent="0.2"/>
    <row r="1505" s="78" customFormat="1" x14ac:dyDescent="0.2"/>
    <row r="1506" s="78" customFormat="1" x14ac:dyDescent="0.2"/>
    <row r="1507" s="78" customFormat="1" x14ac:dyDescent="0.2"/>
    <row r="1508" s="78" customFormat="1" x14ac:dyDescent="0.2"/>
    <row r="1509" s="78" customFormat="1" x14ac:dyDescent="0.2"/>
    <row r="1510" s="78" customFormat="1" x14ac:dyDescent="0.2"/>
    <row r="1511" s="78" customFormat="1" x14ac:dyDescent="0.2"/>
    <row r="1512" s="78" customFormat="1" x14ac:dyDescent="0.2"/>
    <row r="1513" s="78" customFormat="1" x14ac:dyDescent="0.2"/>
    <row r="1514" s="78" customFormat="1" x14ac:dyDescent="0.2"/>
    <row r="1515" s="78" customFormat="1" x14ac:dyDescent="0.2"/>
    <row r="1516" s="78" customFormat="1" x14ac:dyDescent="0.2"/>
    <row r="1517" s="78" customFormat="1" x14ac:dyDescent="0.2"/>
    <row r="1518" s="78" customFormat="1" x14ac:dyDescent="0.2"/>
    <row r="1519" s="78" customFormat="1" x14ac:dyDescent="0.2"/>
    <row r="1520" s="78" customFormat="1" x14ac:dyDescent="0.2"/>
    <row r="1521" s="78" customFormat="1" x14ac:dyDescent="0.2"/>
    <row r="1522" s="78" customFormat="1" x14ac:dyDescent="0.2"/>
    <row r="1523" s="78" customFormat="1" x14ac:dyDescent="0.2"/>
    <row r="1524" s="78" customFormat="1" x14ac:dyDescent="0.2"/>
    <row r="1525" s="78" customFormat="1" x14ac:dyDescent="0.2"/>
    <row r="1526" s="78" customFormat="1" x14ac:dyDescent="0.2"/>
    <row r="1527" s="78" customFormat="1" x14ac:dyDescent="0.2"/>
    <row r="1528" s="78" customFormat="1" x14ac:dyDescent="0.2"/>
    <row r="1529" s="78" customFormat="1" x14ac:dyDescent="0.2"/>
    <row r="1530" s="78" customFormat="1" x14ac:dyDescent="0.2"/>
    <row r="1531" s="78" customFormat="1" x14ac:dyDescent="0.2"/>
    <row r="1532" s="78" customFormat="1" x14ac:dyDescent="0.2"/>
    <row r="1533" s="78" customFormat="1" x14ac:dyDescent="0.2"/>
    <row r="1534" s="78" customFormat="1" x14ac:dyDescent="0.2"/>
    <row r="1535" s="78" customFormat="1" x14ac:dyDescent="0.2"/>
    <row r="1536" s="78" customFormat="1" x14ac:dyDescent="0.2"/>
    <row r="1537" s="78" customFormat="1" x14ac:dyDescent="0.2"/>
    <row r="1538" s="78" customFormat="1" x14ac:dyDescent="0.2"/>
    <row r="1539" s="78" customFormat="1" x14ac:dyDescent="0.2"/>
    <row r="1540" s="78" customFormat="1" x14ac:dyDescent="0.2"/>
    <row r="1541" s="78" customFormat="1" x14ac:dyDescent="0.2"/>
    <row r="1542" s="78" customFormat="1" x14ac:dyDescent="0.2"/>
    <row r="1543" s="78" customFormat="1" x14ac:dyDescent="0.2"/>
    <row r="1544" s="78" customFormat="1" x14ac:dyDescent="0.2"/>
    <row r="1545" s="78" customFormat="1" x14ac:dyDescent="0.2"/>
    <row r="1546" s="78" customFormat="1" x14ac:dyDescent="0.2"/>
    <row r="1547" s="78" customFormat="1" x14ac:dyDescent="0.2"/>
    <row r="1548" s="78" customFormat="1" x14ac:dyDescent="0.2"/>
    <row r="1549" s="78" customFormat="1" x14ac:dyDescent="0.2"/>
    <row r="1550" s="78" customFormat="1" x14ac:dyDescent="0.2"/>
    <row r="1551" s="78" customFormat="1" x14ac:dyDescent="0.2"/>
    <row r="1552" s="78" customFormat="1" x14ac:dyDescent="0.2"/>
    <row r="1553" s="78" customFormat="1" x14ac:dyDescent="0.2"/>
    <row r="1554" s="78" customFormat="1" x14ac:dyDescent="0.2"/>
    <row r="1555" s="78" customFormat="1" x14ac:dyDescent="0.2"/>
    <row r="1556" s="78" customFormat="1" x14ac:dyDescent="0.2"/>
    <row r="1557" s="78" customFormat="1" x14ac:dyDescent="0.2"/>
    <row r="1558" s="78" customFormat="1" x14ac:dyDescent="0.2"/>
    <row r="1559" s="78" customFormat="1" x14ac:dyDescent="0.2"/>
    <row r="1560" s="78" customFormat="1" x14ac:dyDescent="0.2"/>
    <row r="1561" s="78" customFormat="1" x14ac:dyDescent="0.2"/>
    <row r="1562" s="78" customFormat="1" x14ac:dyDescent="0.2"/>
    <row r="1563" s="78" customFormat="1" x14ac:dyDescent="0.2"/>
    <row r="1564" s="78" customFormat="1" x14ac:dyDescent="0.2"/>
    <row r="1565" s="78" customFormat="1" x14ac:dyDescent="0.2"/>
    <row r="1566" s="78" customFormat="1" x14ac:dyDescent="0.2"/>
    <row r="1567" s="78" customFormat="1" x14ac:dyDescent="0.2"/>
    <row r="1568" s="78" customFormat="1" x14ac:dyDescent="0.2"/>
    <row r="1569" s="78" customFormat="1" x14ac:dyDescent="0.2"/>
    <row r="1570" s="78" customFormat="1" x14ac:dyDescent="0.2"/>
    <row r="1571" s="78" customFormat="1" x14ac:dyDescent="0.2"/>
    <row r="1572" s="78" customFormat="1" x14ac:dyDescent="0.2"/>
    <row r="1573" s="78" customFormat="1" x14ac:dyDescent="0.2"/>
    <row r="1574" s="78" customFormat="1" x14ac:dyDescent="0.2"/>
    <row r="1575" s="78" customFormat="1" x14ac:dyDescent="0.2"/>
    <row r="1576" s="78" customFormat="1" x14ac:dyDescent="0.2"/>
    <row r="1577" s="78" customFormat="1" x14ac:dyDescent="0.2"/>
    <row r="1578" s="78" customFormat="1" x14ac:dyDescent="0.2"/>
    <row r="1579" s="78" customFormat="1" x14ac:dyDescent="0.2"/>
    <row r="1580" s="78" customFormat="1" x14ac:dyDescent="0.2"/>
    <row r="1581" s="78" customFormat="1" x14ac:dyDescent="0.2"/>
    <row r="1582" s="78" customFormat="1" x14ac:dyDescent="0.2"/>
    <row r="1583" s="78" customFormat="1" x14ac:dyDescent="0.2"/>
    <row r="1584" s="78" customFormat="1" x14ac:dyDescent="0.2"/>
    <row r="1585" spans="1:1" s="78" customFormat="1" x14ac:dyDescent="0.2"/>
    <row r="1586" spans="1:1" s="78" customFormat="1" x14ac:dyDescent="0.2"/>
    <row r="1587" spans="1:1" s="78" customFormat="1" x14ac:dyDescent="0.2"/>
    <row r="1588" spans="1:1" s="78" customFormat="1" x14ac:dyDescent="0.2"/>
    <row r="1589" spans="1:1" s="78" customFormat="1" x14ac:dyDescent="0.2"/>
    <row r="1590" spans="1:1" s="78" customFormat="1" x14ac:dyDescent="0.2"/>
    <row r="1591" spans="1:1" s="78" customFormat="1" x14ac:dyDescent="0.2"/>
    <row r="1592" spans="1:1" s="78" customFormat="1" x14ac:dyDescent="0.2"/>
    <row r="1593" spans="1:1" s="78" customFormat="1" x14ac:dyDescent="0.2">
      <c r="A1593" s="78" t="s">
        <v>1742</v>
      </c>
    </row>
    <row r="1594" spans="1:1" s="78" customFormat="1" x14ac:dyDescent="0.2">
      <c r="A1594" s="78" t="s">
        <v>806</v>
      </c>
    </row>
    <row r="1595" spans="1:1" s="78" customFormat="1" x14ac:dyDescent="0.2"/>
    <row r="1596" spans="1:1" s="78" customFormat="1" x14ac:dyDescent="0.2"/>
    <row r="1597" spans="1:1" s="78" customFormat="1" x14ac:dyDescent="0.2"/>
    <row r="1598" spans="1:1" s="78" customFormat="1" x14ac:dyDescent="0.2"/>
    <row r="1599" spans="1:1" s="78" customFormat="1" x14ac:dyDescent="0.2"/>
    <row r="1600" spans="1:1" s="78" customFormat="1" x14ac:dyDescent="0.2"/>
    <row r="1601" s="78" customFormat="1" x14ac:dyDescent="0.2"/>
    <row r="1602" s="78" customFormat="1" x14ac:dyDescent="0.2"/>
    <row r="1603" s="78" customFormat="1" x14ac:dyDescent="0.2"/>
    <row r="1604" s="78" customFormat="1" x14ac:dyDescent="0.2"/>
    <row r="1605" s="78" customFormat="1" x14ac:dyDescent="0.2"/>
    <row r="1606" s="78" customFormat="1" x14ac:dyDescent="0.2"/>
    <row r="1607" s="78" customFormat="1" x14ac:dyDescent="0.2"/>
    <row r="1608" s="78" customFormat="1" x14ac:dyDescent="0.2"/>
    <row r="1609" s="78" customFormat="1" x14ac:dyDescent="0.2"/>
    <row r="1610" s="78" customFormat="1" x14ac:dyDescent="0.2"/>
    <row r="1611" s="78" customFormat="1" x14ac:dyDescent="0.2"/>
    <row r="1612" s="78" customFormat="1" x14ac:dyDescent="0.2"/>
    <row r="1613" s="78" customFormat="1" x14ac:dyDescent="0.2"/>
    <row r="1614" s="78" customFormat="1" x14ac:dyDescent="0.2"/>
    <row r="1615" s="78" customFormat="1" x14ac:dyDescent="0.2"/>
    <row r="1616" s="78" customFormat="1" x14ac:dyDescent="0.2"/>
    <row r="1617" s="78" customFormat="1" x14ac:dyDescent="0.2"/>
    <row r="1618" s="78" customFormat="1" x14ac:dyDescent="0.2"/>
    <row r="1619" s="78" customFormat="1" x14ac:dyDescent="0.2"/>
    <row r="1620" s="78" customFormat="1" x14ac:dyDescent="0.2"/>
    <row r="1621" s="78" customFormat="1" x14ac:dyDescent="0.2"/>
    <row r="1622" s="78" customFormat="1" x14ac:dyDescent="0.2"/>
    <row r="1623" s="78" customFormat="1" x14ac:dyDescent="0.2"/>
    <row r="1624" s="78" customFormat="1" x14ac:dyDescent="0.2"/>
    <row r="1625" s="78" customFormat="1" x14ac:dyDescent="0.2"/>
    <row r="1626" s="78" customFormat="1" x14ac:dyDescent="0.2"/>
    <row r="1627" s="78" customFormat="1" x14ac:dyDescent="0.2"/>
    <row r="1628" s="78" customFormat="1" x14ac:dyDescent="0.2"/>
    <row r="1629" s="78" customFormat="1" x14ac:dyDescent="0.2"/>
    <row r="1630" s="78" customFormat="1" x14ac:dyDescent="0.2"/>
    <row r="1631" s="78" customFormat="1" x14ac:dyDescent="0.2"/>
    <row r="1632" s="78" customFormat="1" x14ac:dyDescent="0.2"/>
    <row r="1633" s="78" customFormat="1" x14ac:dyDescent="0.2"/>
    <row r="1634" s="78" customFormat="1" x14ac:dyDescent="0.2"/>
    <row r="1635" s="78" customFormat="1" x14ac:dyDescent="0.2"/>
    <row r="1636" s="78" customFormat="1" x14ac:dyDescent="0.2"/>
    <row r="1637" s="78" customFormat="1" x14ac:dyDescent="0.2"/>
    <row r="1638" s="78" customFormat="1" x14ac:dyDescent="0.2"/>
    <row r="1639" s="78" customFormat="1" x14ac:dyDescent="0.2"/>
    <row r="1640" s="78" customFormat="1" x14ac:dyDescent="0.2"/>
    <row r="1641" s="78" customFormat="1" x14ac:dyDescent="0.2"/>
    <row r="1642" s="78" customFormat="1" x14ac:dyDescent="0.2"/>
    <row r="1643" s="78" customFormat="1" x14ac:dyDescent="0.2"/>
    <row r="1644" s="78" customFormat="1" x14ac:dyDescent="0.2"/>
    <row r="1645" s="78" customFormat="1" x14ac:dyDescent="0.2"/>
    <row r="1646" s="78" customFormat="1" x14ac:dyDescent="0.2"/>
    <row r="1647" s="78" customFormat="1" x14ac:dyDescent="0.2"/>
    <row r="1648" s="78" customFormat="1" x14ac:dyDescent="0.2"/>
    <row r="1649" s="78" customFormat="1" x14ac:dyDescent="0.2"/>
    <row r="1650" s="78" customFormat="1" x14ac:dyDescent="0.2"/>
    <row r="1651" s="78" customFormat="1" x14ac:dyDescent="0.2"/>
    <row r="1652" s="78" customFormat="1" x14ac:dyDescent="0.2"/>
    <row r="1653" s="78" customFormat="1" x14ac:dyDescent="0.2"/>
    <row r="1654" s="78" customFormat="1" x14ac:dyDescent="0.2"/>
    <row r="1655" s="78" customFormat="1" x14ac:dyDescent="0.2"/>
    <row r="1656" s="78" customFormat="1" x14ac:dyDescent="0.2"/>
    <row r="1657" s="78" customFormat="1" x14ac:dyDescent="0.2"/>
    <row r="1658" s="78" customFormat="1" x14ac:dyDescent="0.2"/>
    <row r="1659" s="78" customFormat="1" x14ac:dyDescent="0.2"/>
    <row r="1660" s="78" customFormat="1" x14ac:dyDescent="0.2"/>
    <row r="1661" s="78" customFormat="1" x14ac:dyDescent="0.2"/>
    <row r="1662" s="78" customFormat="1" x14ac:dyDescent="0.2"/>
    <row r="1663" s="78" customFormat="1" x14ac:dyDescent="0.2"/>
    <row r="1664" s="78" customFormat="1" x14ac:dyDescent="0.2"/>
    <row r="1665" s="78" customFormat="1" x14ac:dyDescent="0.2"/>
    <row r="1666" s="78" customFormat="1" x14ac:dyDescent="0.2"/>
    <row r="1667" s="78" customFormat="1" x14ac:dyDescent="0.2"/>
    <row r="1668" s="78" customFormat="1" x14ac:dyDescent="0.2"/>
    <row r="1669" s="78" customFormat="1" x14ac:dyDescent="0.2"/>
    <row r="1670" s="78" customFormat="1" x14ac:dyDescent="0.2"/>
    <row r="1671" s="78" customFormat="1" x14ac:dyDescent="0.2"/>
    <row r="1672" s="78" customFormat="1" x14ac:dyDescent="0.2"/>
    <row r="1673" s="78" customFormat="1" x14ac:dyDescent="0.2"/>
    <row r="1674" s="78" customFormat="1" x14ac:dyDescent="0.2"/>
    <row r="1675" s="78" customFormat="1" x14ac:dyDescent="0.2"/>
    <row r="1676" s="78" customFormat="1" x14ac:dyDescent="0.2"/>
    <row r="1677" s="78" customFormat="1" x14ac:dyDescent="0.2"/>
    <row r="1678" s="78" customFormat="1" x14ac:dyDescent="0.2"/>
    <row r="1679" s="78" customFormat="1" x14ac:dyDescent="0.2"/>
    <row r="1680" s="78" customFormat="1" x14ac:dyDescent="0.2"/>
    <row r="1681" s="78" customFormat="1" x14ac:dyDescent="0.2"/>
    <row r="1682" s="78" customFormat="1" x14ac:dyDescent="0.2"/>
    <row r="1683" s="78" customFormat="1" x14ac:dyDescent="0.2"/>
    <row r="1684" s="78" customFormat="1" x14ac:dyDescent="0.2"/>
    <row r="1685" s="78" customFormat="1" x14ac:dyDescent="0.2"/>
    <row r="1686" s="78" customFormat="1" x14ac:dyDescent="0.2"/>
    <row r="1687" s="78" customFormat="1" x14ac:dyDescent="0.2"/>
    <row r="1688" s="78" customFormat="1" x14ac:dyDescent="0.2"/>
    <row r="1689" s="78" customFormat="1" x14ac:dyDescent="0.2"/>
    <row r="1690" s="78" customFormat="1" x14ac:dyDescent="0.2"/>
    <row r="1691" s="78" customFormat="1" x14ac:dyDescent="0.2"/>
    <row r="1692" s="78" customFormat="1" x14ac:dyDescent="0.2"/>
    <row r="1693" s="78" customFormat="1" x14ac:dyDescent="0.2"/>
    <row r="1694" s="78" customFormat="1" x14ac:dyDescent="0.2"/>
    <row r="1695" s="78" customFormat="1" x14ac:dyDescent="0.2"/>
    <row r="1696" s="78" customFormat="1" x14ac:dyDescent="0.2"/>
    <row r="1697" s="78" customFormat="1" x14ac:dyDescent="0.2"/>
    <row r="1698" s="78" customFormat="1" x14ac:dyDescent="0.2"/>
    <row r="1699" s="78" customFormat="1" x14ac:dyDescent="0.2"/>
    <row r="1700" s="78" customFormat="1" x14ac:dyDescent="0.2"/>
    <row r="1701" s="78" customFormat="1" x14ac:dyDescent="0.2"/>
    <row r="1702" s="78" customFormat="1" x14ac:dyDescent="0.2"/>
    <row r="1703" s="78" customFormat="1" x14ac:dyDescent="0.2"/>
    <row r="1704" s="78" customFormat="1" x14ac:dyDescent="0.2"/>
    <row r="1705" s="78" customFormat="1" x14ac:dyDescent="0.2"/>
    <row r="1706" s="78" customFormat="1" x14ac:dyDescent="0.2"/>
    <row r="1707" s="78" customFormat="1" x14ac:dyDescent="0.2"/>
    <row r="1708" s="78" customFormat="1" x14ac:dyDescent="0.2"/>
    <row r="1709" s="78" customFormat="1" x14ac:dyDescent="0.2"/>
    <row r="1710" s="78" customFormat="1" x14ac:dyDescent="0.2"/>
    <row r="1711" s="78" customFormat="1" x14ac:dyDescent="0.2"/>
    <row r="1712" s="78" customFormat="1" x14ac:dyDescent="0.2"/>
    <row r="1713" s="78" customFormat="1" x14ac:dyDescent="0.2"/>
    <row r="1714" s="78" customFormat="1" x14ac:dyDescent="0.2"/>
    <row r="1715" s="78" customFormat="1" x14ac:dyDescent="0.2"/>
    <row r="1716" s="78" customFormat="1" x14ac:dyDescent="0.2"/>
    <row r="1717" s="78" customFormat="1" x14ac:dyDescent="0.2"/>
    <row r="1718" s="78" customFormat="1" x14ac:dyDescent="0.2"/>
    <row r="1719" s="78" customFormat="1" x14ac:dyDescent="0.2"/>
    <row r="1720" s="78" customFormat="1" x14ac:dyDescent="0.2"/>
    <row r="1721" s="78" customFormat="1" x14ac:dyDescent="0.2"/>
    <row r="1722" s="78" customFormat="1" x14ac:dyDescent="0.2"/>
    <row r="1723" s="78" customFormat="1" x14ac:dyDescent="0.2"/>
    <row r="1724" s="78" customFormat="1" x14ac:dyDescent="0.2"/>
    <row r="1725" s="78" customFormat="1" x14ac:dyDescent="0.2"/>
    <row r="1726" s="78" customFormat="1" x14ac:dyDescent="0.2"/>
    <row r="1727" s="78" customFormat="1" x14ac:dyDescent="0.2"/>
    <row r="1728" s="78" customFormat="1" x14ac:dyDescent="0.2"/>
    <row r="1729" s="78" customFormat="1" x14ac:dyDescent="0.2"/>
    <row r="1730" s="78" customFormat="1" x14ac:dyDescent="0.2"/>
    <row r="1731" s="78" customFormat="1" x14ac:dyDescent="0.2"/>
    <row r="1732" s="78" customFormat="1" x14ac:dyDescent="0.2"/>
    <row r="1733" s="78" customFormat="1" x14ac:dyDescent="0.2"/>
    <row r="1734" s="78" customFormat="1" x14ac:dyDescent="0.2"/>
    <row r="1735" s="78" customFormat="1" x14ac:dyDescent="0.2"/>
    <row r="1736" s="78" customFormat="1" x14ac:dyDescent="0.2"/>
    <row r="1737" s="78" customFormat="1" x14ac:dyDescent="0.2"/>
    <row r="1738" s="78" customFormat="1" x14ac:dyDescent="0.2"/>
    <row r="1739" s="78" customFormat="1" x14ac:dyDescent="0.2"/>
    <row r="1740" s="78" customFormat="1" x14ac:dyDescent="0.2"/>
    <row r="1741" s="78" customFormat="1" x14ac:dyDescent="0.2"/>
    <row r="1742" s="78" customFormat="1" x14ac:dyDescent="0.2"/>
    <row r="1743" s="78" customFormat="1" x14ac:dyDescent="0.2"/>
    <row r="1744" s="78" customFormat="1" x14ac:dyDescent="0.2"/>
    <row r="1745" s="78" customFormat="1" x14ac:dyDescent="0.2"/>
    <row r="1746" s="78" customFormat="1" x14ac:dyDescent="0.2"/>
    <row r="1747" s="78" customFormat="1" x14ac:dyDescent="0.2"/>
    <row r="1748" s="78" customFormat="1" x14ac:dyDescent="0.2"/>
    <row r="1749" s="78" customFormat="1" x14ac:dyDescent="0.2"/>
    <row r="1750" s="78" customFormat="1" x14ac:dyDescent="0.2"/>
    <row r="1751" s="78" customFormat="1" x14ac:dyDescent="0.2"/>
    <row r="1752" s="78" customFormat="1" x14ac:dyDescent="0.2"/>
    <row r="1753" s="78" customFormat="1" x14ac:dyDescent="0.2"/>
    <row r="1754" s="78" customFormat="1" x14ac:dyDescent="0.2"/>
    <row r="1755" s="78" customFormat="1" x14ac:dyDescent="0.2"/>
    <row r="1756" s="78" customFormat="1" x14ac:dyDescent="0.2"/>
    <row r="1757" s="78" customFormat="1" x14ac:dyDescent="0.2"/>
    <row r="1758" s="78" customFormat="1" x14ac:dyDescent="0.2"/>
    <row r="1759" s="78" customFormat="1" x14ac:dyDescent="0.2"/>
    <row r="1760" s="78" customFormat="1" x14ac:dyDescent="0.2"/>
    <row r="1761" s="78" customFormat="1" x14ac:dyDescent="0.2"/>
    <row r="1762" s="78" customFormat="1" x14ac:dyDescent="0.2"/>
    <row r="1763" s="78" customFormat="1" x14ac:dyDescent="0.2"/>
    <row r="1764" s="78" customFormat="1" x14ac:dyDescent="0.2"/>
    <row r="1765" s="78" customFormat="1" x14ac:dyDescent="0.2"/>
    <row r="1766" s="78" customFormat="1" x14ac:dyDescent="0.2"/>
    <row r="1767" s="78" customFormat="1" x14ac:dyDescent="0.2"/>
    <row r="1768" s="78" customFormat="1" x14ac:dyDescent="0.2"/>
    <row r="1769" s="78" customFormat="1" x14ac:dyDescent="0.2"/>
    <row r="1770" s="78" customFormat="1" x14ac:dyDescent="0.2"/>
    <row r="1771" s="78" customFormat="1" x14ac:dyDescent="0.2"/>
    <row r="1772" s="78" customFormat="1" x14ac:dyDescent="0.2"/>
    <row r="1773" s="78" customFormat="1" x14ac:dyDescent="0.2"/>
    <row r="1774" s="78" customFormat="1" x14ac:dyDescent="0.2"/>
    <row r="1775" s="78" customFormat="1" x14ac:dyDescent="0.2"/>
    <row r="1776" s="78" customFormat="1" x14ac:dyDescent="0.2"/>
    <row r="1777" s="78" customFormat="1" x14ac:dyDescent="0.2"/>
    <row r="1778" s="78" customFormat="1" x14ac:dyDescent="0.2"/>
    <row r="1779" s="78" customFormat="1" x14ac:dyDescent="0.2"/>
    <row r="1780" s="78" customFormat="1" x14ac:dyDescent="0.2"/>
    <row r="1781" s="78" customFormat="1" x14ac:dyDescent="0.2"/>
    <row r="1782" s="78" customFormat="1" x14ac:dyDescent="0.2"/>
    <row r="1783" s="78" customFormat="1" x14ac:dyDescent="0.2"/>
    <row r="1784" s="78" customFormat="1" x14ac:dyDescent="0.2"/>
    <row r="1785" s="78" customFormat="1" x14ac:dyDescent="0.2"/>
    <row r="1786" s="78" customFormat="1" x14ac:dyDescent="0.2"/>
    <row r="1787" s="78" customFormat="1" x14ac:dyDescent="0.2"/>
    <row r="1788" s="78" customFormat="1" x14ac:dyDescent="0.2"/>
    <row r="1789" s="78" customFormat="1" x14ac:dyDescent="0.2"/>
    <row r="1790" s="78" customFormat="1" x14ac:dyDescent="0.2"/>
    <row r="1791" s="78" customFormat="1" x14ac:dyDescent="0.2"/>
    <row r="1792" s="78" customFormat="1" x14ac:dyDescent="0.2"/>
    <row r="1793" s="78" customFormat="1" x14ac:dyDescent="0.2"/>
    <row r="1794" s="78" customFormat="1" x14ac:dyDescent="0.2"/>
    <row r="1795" s="78" customFormat="1" x14ac:dyDescent="0.2"/>
    <row r="1796" s="78" customFormat="1" x14ac:dyDescent="0.2"/>
    <row r="1797" s="78" customFormat="1" x14ac:dyDescent="0.2"/>
    <row r="1798" s="78" customFormat="1" x14ac:dyDescent="0.2"/>
    <row r="1799" s="78" customFormat="1" x14ac:dyDescent="0.2"/>
    <row r="1800" s="78" customFormat="1" x14ac:dyDescent="0.2"/>
    <row r="1801" s="78" customFormat="1" x14ac:dyDescent="0.2"/>
    <row r="1802" s="78" customFormat="1" x14ac:dyDescent="0.2"/>
    <row r="1803" s="78" customFormat="1" x14ac:dyDescent="0.2"/>
    <row r="1804" s="78" customFormat="1" x14ac:dyDescent="0.2"/>
    <row r="1805" s="78" customFormat="1" x14ac:dyDescent="0.2"/>
    <row r="1806" s="78" customFormat="1" x14ac:dyDescent="0.2"/>
    <row r="1807" s="78" customFormat="1" x14ac:dyDescent="0.2"/>
    <row r="1808" s="78" customFormat="1" x14ac:dyDescent="0.2"/>
    <row r="1809" s="78" customFormat="1" x14ac:dyDescent="0.2"/>
    <row r="1810" s="78" customFormat="1" x14ac:dyDescent="0.2"/>
    <row r="1811" s="78" customFormat="1" x14ac:dyDescent="0.2"/>
    <row r="1812" s="78" customFormat="1" x14ac:dyDescent="0.2"/>
    <row r="1813" s="78" customFormat="1" x14ac:dyDescent="0.2"/>
    <row r="1814" s="78" customFormat="1" x14ac:dyDescent="0.2"/>
    <row r="1815" s="78" customFormat="1" x14ac:dyDescent="0.2"/>
    <row r="1816" s="78" customFormat="1" x14ac:dyDescent="0.2"/>
    <row r="1817" s="78" customFormat="1" x14ac:dyDescent="0.2"/>
    <row r="1818" s="78" customFormat="1" x14ac:dyDescent="0.2"/>
    <row r="1819" s="78" customFormat="1" x14ac:dyDescent="0.2"/>
    <row r="1820" s="78" customFormat="1" x14ac:dyDescent="0.2"/>
    <row r="1821" s="78" customFormat="1" x14ac:dyDescent="0.2"/>
    <row r="1822" s="78" customFormat="1" x14ac:dyDescent="0.2"/>
    <row r="1823" s="78" customFormat="1" x14ac:dyDescent="0.2"/>
    <row r="1824" s="78" customFormat="1" x14ac:dyDescent="0.2"/>
    <row r="1825" s="78" customFormat="1" x14ac:dyDescent="0.2"/>
    <row r="1826" s="78" customFormat="1" x14ac:dyDescent="0.2"/>
    <row r="1827" s="78" customFormat="1" x14ac:dyDescent="0.2"/>
    <row r="1828" s="78" customFormat="1" x14ac:dyDescent="0.2"/>
    <row r="1829" s="78" customFormat="1" x14ac:dyDescent="0.2"/>
    <row r="1830" s="78" customFormat="1" x14ac:dyDescent="0.2"/>
    <row r="1831" s="78" customFormat="1" x14ac:dyDescent="0.2"/>
    <row r="1832" s="78" customFormat="1" x14ac:dyDescent="0.2"/>
    <row r="1833" s="78" customFormat="1" x14ac:dyDescent="0.2"/>
    <row r="1834" s="78" customFormat="1" x14ac:dyDescent="0.2"/>
    <row r="1835" s="78" customFormat="1" x14ac:dyDescent="0.2"/>
    <row r="1836" s="78" customFormat="1" x14ac:dyDescent="0.2"/>
    <row r="1837" s="78" customFormat="1" x14ac:dyDescent="0.2"/>
    <row r="1838" s="78" customFormat="1" x14ac:dyDescent="0.2"/>
    <row r="1839" s="78" customFormat="1" x14ac:dyDescent="0.2"/>
    <row r="1840" s="78" customFormat="1" x14ac:dyDescent="0.2"/>
    <row r="1841" s="78" customFormat="1" x14ac:dyDescent="0.2"/>
    <row r="1842" s="78" customFormat="1" x14ac:dyDescent="0.2"/>
    <row r="1843" s="78" customFormat="1" x14ac:dyDescent="0.2"/>
    <row r="1844" s="78" customFormat="1" x14ac:dyDescent="0.2"/>
    <row r="1845" s="78" customFormat="1" x14ac:dyDescent="0.2"/>
    <row r="1846" s="78" customFormat="1" x14ac:dyDescent="0.2"/>
    <row r="1847" s="78" customFormat="1" x14ac:dyDescent="0.2"/>
    <row r="1848" s="78" customFormat="1" x14ac:dyDescent="0.2"/>
    <row r="1849" s="78" customFormat="1" x14ac:dyDescent="0.2"/>
    <row r="1850" s="78" customFormat="1" x14ac:dyDescent="0.2"/>
    <row r="1851" s="78" customFormat="1" x14ac:dyDescent="0.2"/>
    <row r="1852" s="78" customFormat="1" x14ac:dyDescent="0.2"/>
    <row r="1853" s="78" customFormat="1" x14ac:dyDescent="0.2"/>
    <row r="1854" s="78" customFormat="1" x14ac:dyDescent="0.2"/>
    <row r="1855" s="78" customFormat="1" x14ac:dyDescent="0.2"/>
    <row r="1856" s="78" customFormat="1" x14ac:dyDescent="0.2"/>
    <row r="1857" s="78" customFormat="1" x14ac:dyDescent="0.2"/>
    <row r="1858" s="78" customFormat="1" x14ac:dyDescent="0.2"/>
    <row r="1859" s="78" customFormat="1" x14ac:dyDescent="0.2"/>
    <row r="1860" s="78" customFormat="1" x14ac:dyDescent="0.2"/>
    <row r="1861" s="78" customFormat="1" x14ac:dyDescent="0.2"/>
    <row r="1862" s="78" customFormat="1" x14ac:dyDescent="0.2"/>
    <row r="1863" s="78" customFormat="1" x14ac:dyDescent="0.2"/>
    <row r="1864" s="78" customFormat="1" x14ac:dyDescent="0.2"/>
    <row r="1865" s="78" customFormat="1" x14ac:dyDescent="0.2"/>
    <row r="1866" s="78" customFormat="1" x14ac:dyDescent="0.2"/>
    <row r="1867" s="78" customFormat="1" x14ac:dyDescent="0.2"/>
    <row r="1868" s="78" customFormat="1" x14ac:dyDescent="0.2"/>
    <row r="1869" s="78" customFormat="1" x14ac:dyDescent="0.2"/>
    <row r="1870" s="78" customFormat="1" x14ac:dyDescent="0.2"/>
    <row r="1871" s="78" customFormat="1" x14ac:dyDescent="0.2"/>
    <row r="1872" s="78" customFormat="1" x14ac:dyDescent="0.2"/>
    <row r="1873" s="78" customFormat="1" x14ac:dyDescent="0.2"/>
    <row r="1874" s="78" customFormat="1" x14ac:dyDescent="0.2"/>
    <row r="1875" s="78" customFormat="1" x14ac:dyDescent="0.2"/>
    <row r="1876" s="78" customFormat="1" x14ac:dyDescent="0.2"/>
    <row r="1877" s="78" customFormat="1" x14ac:dyDescent="0.2"/>
    <row r="1878" s="78" customFormat="1" x14ac:dyDescent="0.2"/>
    <row r="1879" s="78" customFormat="1" x14ac:dyDescent="0.2"/>
    <row r="1880" s="78" customFormat="1" x14ac:dyDescent="0.2"/>
    <row r="1881" s="78" customFormat="1" x14ac:dyDescent="0.2"/>
    <row r="1882" s="78" customFormat="1" x14ac:dyDescent="0.2"/>
    <row r="1883" s="78" customFormat="1" x14ac:dyDescent="0.2"/>
    <row r="1884" s="78" customFormat="1" x14ac:dyDescent="0.2"/>
    <row r="1885" s="78" customFormat="1" x14ac:dyDescent="0.2"/>
    <row r="1886" s="78" customFormat="1" x14ac:dyDescent="0.2"/>
    <row r="1887" s="78" customFormat="1" x14ac:dyDescent="0.2"/>
    <row r="1888" s="78" customFormat="1" x14ac:dyDescent="0.2"/>
    <row r="1889" s="78" customFormat="1" x14ac:dyDescent="0.2"/>
    <row r="1890" s="78" customFormat="1" x14ac:dyDescent="0.2"/>
    <row r="1891" s="78" customFormat="1" x14ac:dyDescent="0.2"/>
    <row r="1892" s="78" customFormat="1" x14ac:dyDescent="0.2"/>
    <row r="1893" s="78" customFormat="1" x14ac:dyDescent="0.2"/>
    <row r="1894" s="78" customFormat="1" x14ac:dyDescent="0.2"/>
    <row r="1895" s="78" customFormat="1" x14ac:dyDescent="0.2"/>
    <row r="1896" s="78" customFormat="1" x14ac:dyDescent="0.2"/>
    <row r="1897" s="78" customFormat="1" x14ac:dyDescent="0.2"/>
    <row r="1898" s="78" customFormat="1" x14ac:dyDescent="0.2"/>
    <row r="1899" s="78" customFormat="1" x14ac:dyDescent="0.2"/>
    <row r="1900" s="78" customFormat="1" x14ac:dyDescent="0.2"/>
    <row r="1901" s="78" customFormat="1" x14ac:dyDescent="0.2"/>
    <row r="1902" s="78" customFormat="1" x14ac:dyDescent="0.2"/>
    <row r="1903" s="78" customFormat="1" x14ac:dyDescent="0.2"/>
    <row r="1904" s="78" customFormat="1" x14ac:dyDescent="0.2"/>
    <row r="1905" s="78" customFormat="1" x14ac:dyDescent="0.2"/>
    <row r="1906" s="78" customFormat="1" x14ac:dyDescent="0.2"/>
    <row r="1907" s="78" customFormat="1" x14ac:dyDescent="0.2"/>
    <row r="1908" s="78" customFormat="1" x14ac:dyDescent="0.2"/>
    <row r="1909" s="78" customFormat="1" x14ac:dyDescent="0.2"/>
    <row r="1910" s="78" customFormat="1" x14ac:dyDescent="0.2"/>
    <row r="1911" s="78" customFormat="1" x14ac:dyDescent="0.2"/>
    <row r="1912" s="78" customFormat="1" x14ac:dyDescent="0.2"/>
    <row r="1913" s="78" customFormat="1" x14ac:dyDescent="0.2"/>
    <row r="1914" s="78" customFormat="1" x14ac:dyDescent="0.2"/>
    <row r="1915" s="78" customFormat="1" x14ac:dyDescent="0.2"/>
    <row r="1916" s="78" customFormat="1" x14ac:dyDescent="0.2"/>
    <row r="1917" s="78" customFormat="1" x14ac:dyDescent="0.2"/>
    <row r="1918" s="78" customFormat="1" x14ac:dyDescent="0.2"/>
    <row r="1919" s="78" customFormat="1" x14ac:dyDescent="0.2"/>
    <row r="1920" s="78" customFormat="1" x14ac:dyDescent="0.2"/>
    <row r="1921" s="78" customFormat="1" x14ac:dyDescent="0.2"/>
    <row r="1922" s="78" customFormat="1" x14ac:dyDescent="0.2"/>
    <row r="1923" s="78" customFormat="1" x14ac:dyDescent="0.2"/>
    <row r="1924" s="78" customFormat="1" x14ac:dyDescent="0.2"/>
    <row r="1925" s="78" customFormat="1" x14ac:dyDescent="0.2"/>
    <row r="1926" s="78" customFormat="1" x14ac:dyDescent="0.2"/>
    <row r="1927" s="78" customFormat="1" x14ac:dyDescent="0.2"/>
    <row r="1928" s="78" customFormat="1" x14ac:dyDescent="0.2"/>
    <row r="1929" s="78" customFormat="1" x14ac:dyDescent="0.2"/>
    <row r="1930" s="78" customFormat="1" x14ac:dyDescent="0.2"/>
    <row r="1931" s="78" customFormat="1" x14ac:dyDescent="0.2"/>
    <row r="1932" s="78" customFormat="1" x14ac:dyDescent="0.2"/>
    <row r="1933" s="78" customFormat="1" x14ac:dyDescent="0.2"/>
    <row r="1934" s="78" customFormat="1" x14ac:dyDescent="0.2"/>
    <row r="1935" s="78" customFormat="1" x14ac:dyDescent="0.2"/>
    <row r="1936" s="78" customFormat="1" x14ac:dyDescent="0.2"/>
    <row r="1937" s="78" customFormat="1" x14ac:dyDescent="0.2"/>
    <row r="1938" s="78" customFormat="1" x14ac:dyDescent="0.2"/>
    <row r="1939" s="78" customFormat="1" x14ac:dyDescent="0.2"/>
    <row r="1940" s="78" customFormat="1" x14ac:dyDescent="0.2"/>
    <row r="1941" s="78" customFormat="1" x14ac:dyDescent="0.2"/>
    <row r="1942" s="78" customFormat="1" x14ac:dyDescent="0.2"/>
    <row r="1943" s="78" customFormat="1" x14ac:dyDescent="0.2"/>
    <row r="1944" s="78" customFormat="1" x14ac:dyDescent="0.2"/>
    <row r="1945" s="78" customFormat="1" x14ac:dyDescent="0.2"/>
    <row r="1946" s="78" customFormat="1" x14ac:dyDescent="0.2"/>
    <row r="1947" s="78" customFormat="1" x14ac:dyDescent="0.2"/>
    <row r="1948" s="78" customFormat="1" x14ac:dyDescent="0.2"/>
    <row r="1949" s="78" customFormat="1" x14ac:dyDescent="0.2"/>
    <row r="1950" s="78" customFormat="1" x14ac:dyDescent="0.2"/>
    <row r="1951" s="78" customFormat="1" x14ac:dyDescent="0.2"/>
    <row r="1952" s="78" customFormat="1" x14ac:dyDescent="0.2"/>
    <row r="1953" s="78" customFormat="1" x14ac:dyDescent="0.2"/>
    <row r="1954" s="78" customFormat="1" x14ac:dyDescent="0.2"/>
    <row r="1955" s="78" customFormat="1" x14ac:dyDescent="0.2"/>
    <row r="1956" s="78" customFormat="1" x14ac:dyDescent="0.2"/>
    <row r="1957" s="78" customFormat="1" x14ac:dyDescent="0.2"/>
    <row r="1958" s="78" customFormat="1" x14ac:dyDescent="0.2"/>
    <row r="1959" s="78" customFormat="1" x14ac:dyDescent="0.2"/>
    <row r="1960" s="78" customFormat="1" x14ac:dyDescent="0.2"/>
    <row r="1961" s="78" customFormat="1" x14ac:dyDescent="0.2"/>
    <row r="1962" s="78" customFormat="1" x14ac:dyDescent="0.2"/>
    <row r="1963" s="78" customFormat="1" x14ac:dyDescent="0.2"/>
    <row r="1964" s="78" customFormat="1" x14ac:dyDescent="0.2"/>
    <row r="1965" s="78" customFormat="1" x14ac:dyDescent="0.2"/>
    <row r="1966" s="78" customFormat="1" x14ac:dyDescent="0.2"/>
    <row r="1967" s="78" customFormat="1" x14ac:dyDescent="0.2"/>
    <row r="1968" s="78" customFormat="1" x14ac:dyDescent="0.2"/>
    <row r="1969" s="78" customFormat="1" x14ac:dyDescent="0.2"/>
    <row r="1970" s="78" customFormat="1" x14ac:dyDescent="0.2"/>
    <row r="1971" s="78" customFormat="1" x14ac:dyDescent="0.2"/>
    <row r="1972" s="78" customFormat="1" x14ac:dyDescent="0.2"/>
    <row r="1973" s="78" customFormat="1" x14ac:dyDescent="0.2"/>
    <row r="1974" s="78" customFormat="1" x14ac:dyDescent="0.2"/>
    <row r="1975" s="78" customFormat="1" x14ac:dyDescent="0.2"/>
    <row r="1976" s="78" customFormat="1" x14ac:dyDescent="0.2"/>
    <row r="1977" s="78" customFormat="1" x14ac:dyDescent="0.2"/>
    <row r="1978" s="78" customFormat="1" x14ac:dyDescent="0.2"/>
    <row r="1979" s="78" customFormat="1" x14ac:dyDescent="0.2"/>
    <row r="1980" s="78" customFormat="1" x14ac:dyDescent="0.2"/>
    <row r="1981" s="78" customFormat="1" x14ac:dyDescent="0.2"/>
    <row r="1982" s="78" customFormat="1" x14ac:dyDescent="0.2"/>
    <row r="1983" s="78" customFormat="1" x14ac:dyDescent="0.2"/>
    <row r="1984" s="78" customFormat="1" x14ac:dyDescent="0.2"/>
    <row r="1985" s="78" customFormat="1" x14ac:dyDescent="0.2"/>
    <row r="1986" s="78" customFormat="1" x14ac:dyDescent="0.2"/>
    <row r="1987" s="78" customFormat="1" x14ac:dyDescent="0.2"/>
    <row r="1988" s="78" customFormat="1" x14ac:dyDescent="0.2"/>
    <row r="1989" s="78" customFormat="1" x14ac:dyDescent="0.2"/>
    <row r="1990" s="78" customFormat="1" x14ac:dyDescent="0.2"/>
    <row r="1991" s="78" customFormat="1" x14ac:dyDescent="0.2"/>
    <row r="1992" s="78" customFormat="1" x14ac:dyDescent="0.2"/>
    <row r="1993" s="78" customFormat="1" x14ac:dyDescent="0.2"/>
    <row r="1994" s="78" customFormat="1" x14ac:dyDescent="0.2"/>
    <row r="1995" s="78" customFormat="1" x14ac:dyDescent="0.2"/>
    <row r="1996" s="78" customFormat="1" x14ac:dyDescent="0.2"/>
    <row r="1997" s="78" customFormat="1" x14ac:dyDescent="0.2"/>
    <row r="1998" s="78" customFormat="1" x14ac:dyDescent="0.2"/>
    <row r="1999" s="78" customFormat="1" x14ac:dyDescent="0.2"/>
    <row r="2000" s="78" customFormat="1" x14ac:dyDescent="0.2"/>
    <row r="2001" s="78" customFormat="1" x14ac:dyDescent="0.2"/>
    <row r="2002" s="78" customFormat="1" x14ac:dyDescent="0.2"/>
    <row r="2003" s="78" customFormat="1" x14ac:dyDescent="0.2"/>
    <row r="2004" s="78" customFormat="1" x14ac:dyDescent="0.2"/>
    <row r="2005" s="78" customFormat="1" x14ac:dyDescent="0.2"/>
    <row r="2006" s="78" customFormat="1" x14ac:dyDescent="0.2"/>
    <row r="2007" s="78" customFormat="1" x14ac:dyDescent="0.2"/>
    <row r="2008" s="78" customFormat="1" x14ac:dyDescent="0.2"/>
    <row r="2009" s="78" customFormat="1" x14ac:dyDescent="0.2"/>
    <row r="2010" s="78" customFormat="1" x14ac:dyDescent="0.2"/>
    <row r="2011" s="78" customFormat="1" x14ac:dyDescent="0.2"/>
    <row r="2012" s="78" customFormat="1" x14ac:dyDescent="0.2"/>
    <row r="2013" s="78" customFormat="1" x14ac:dyDescent="0.2"/>
    <row r="2014" s="78" customFormat="1" x14ac:dyDescent="0.2"/>
    <row r="2015" s="78" customFormat="1" x14ac:dyDescent="0.2"/>
    <row r="2016" s="78" customFormat="1" x14ac:dyDescent="0.2"/>
    <row r="2017" s="78" customFormat="1" x14ac:dyDescent="0.2"/>
    <row r="2018" s="78" customFormat="1" x14ac:dyDescent="0.2"/>
    <row r="2019" s="78" customFormat="1" x14ac:dyDescent="0.2"/>
    <row r="2020" s="78" customFormat="1" x14ac:dyDescent="0.2"/>
    <row r="2021" s="78" customFormat="1" x14ac:dyDescent="0.2"/>
    <row r="2022" s="78" customFormat="1" x14ac:dyDescent="0.2"/>
    <row r="2023" s="78" customFormat="1" x14ac:dyDescent="0.2"/>
    <row r="2024" s="78" customFormat="1" x14ac:dyDescent="0.2"/>
    <row r="2025" s="78" customFormat="1" x14ac:dyDescent="0.2"/>
    <row r="2026" s="78" customFormat="1" x14ac:dyDescent="0.2"/>
    <row r="2027" s="78" customFormat="1" x14ac:dyDescent="0.2"/>
    <row r="2028" s="78" customFormat="1" x14ac:dyDescent="0.2"/>
    <row r="2029" s="78" customFormat="1" x14ac:dyDescent="0.2"/>
    <row r="2030" s="78" customFormat="1" x14ac:dyDescent="0.2"/>
    <row r="2031" s="78" customFormat="1" x14ac:dyDescent="0.2"/>
    <row r="2032" s="78" customFormat="1" x14ac:dyDescent="0.2"/>
    <row r="2033" s="78" customFormat="1" x14ac:dyDescent="0.2"/>
    <row r="2034" s="78" customFormat="1" x14ac:dyDescent="0.2"/>
    <row r="2035" s="78" customFormat="1" x14ac:dyDescent="0.2"/>
    <row r="2036" s="78" customFormat="1" x14ac:dyDescent="0.2"/>
    <row r="2037" s="78" customFormat="1" x14ac:dyDescent="0.2"/>
    <row r="2038" s="78" customFormat="1" x14ac:dyDescent="0.2"/>
    <row r="2039" s="78" customFormat="1" x14ac:dyDescent="0.2"/>
    <row r="2040" s="78" customFormat="1" x14ac:dyDescent="0.2"/>
    <row r="2041" s="78" customFormat="1" x14ac:dyDescent="0.2"/>
    <row r="2042" s="78" customFormat="1" x14ac:dyDescent="0.2"/>
  </sheetData>
  <mergeCells count="451">
    <mergeCell ref="E2:S5"/>
    <mergeCell ref="C27:J27"/>
    <mergeCell ref="L27:O27"/>
    <mergeCell ref="C28:J28"/>
    <mergeCell ref="L28:O28"/>
    <mergeCell ref="C29:J29"/>
    <mergeCell ref="L29:O29"/>
    <mergeCell ref="F40:G40"/>
    <mergeCell ref="O40:R40"/>
    <mergeCell ref="F41:G41"/>
    <mergeCell ref="O41:R41"/>
    <mergeCell ref="F42:G42"/>
    <mergeCell ref="O42:R42"/>
    <mergeCell ref="C30:J30"/>
    <mergeCell ref="L30:O30"/>
    <mergeCell ref="C31:J31"/>
    <mergeCell ref="L31:O31"/>
    <mergeCell ref="F38:G38"/>
    <mergeCell ref="F39:G39"/>
    <mergeCell ref="O39:R39"/>
    <mergeCell ref="F47:G47"/>
    <mergeCell ref="O47:P47"/>
    <mergeCell ref="J49:K49"/>
    <mergeCell ref="J50:K50"/>
    <mergeCell ref="M50:N50"/>
    <mergeCell ref="F43:G43"/>
    <mergeCell ref="O43:R43"/>
    <mergeCell ref="F44:G44"/>
    <mergeCell ref="O44:R44"/>
    <mergeCell ref="F45:G45"/>
    <mergeCell ref="O45:P45"/>
    <mergeCell ref="H54:I54"/>
    <mergeCell ref="J54:K54"/>
    <mergeCell ref="M54:N54"/>
    <mergeCell ref="H55:I55"/>
    <mergeCell ref="J55:K55"/>
    <mergeCell ref="M55:N55"/>
    <mergeCell ref="J51:K51"/>
    <mergeCell ref="M51:N51"/>
    <mergeCell ref="H52:I52"/>
    <mergeCell ref="J52:K52"/>
    <mergeCell ref="M52:N52"/>
    <mergeCell ref="H53:I53"/>
    <mergeCell ref="J53:K53"/>
    <mergeCell ref="M53:N53"/>
    <mergeCell ref="H58:I58"/>
    <mergeCell ref="J58:K58"/>
    <mergeCell ref="M58:N58"/>
    <mergeCell ref="H59:I59"/>
    <mergeCell ref="J59:K59"/>
    <mergeCell ref="M59:N59"/>
    <mergeCell ref="H56:I56"/>
    <mergeCell ref="J56:K56"/>
    <mergeCell ref="M56:N56"/>
    <mergeCell ref="H57:I57"/>
    <mergeCell ref="J57:K57"/>
    <mergeCell ref="M57:N57"/>
    <mergeCell ref="H62:I62"/>
    <mergeCell ref="J62:K62"/>
    <mergeCell ref="M62:N62"/>
    <mergeCell ref="H63:I63"/>
    <mergeCell ref="J63:K63"/>
    <mergeCell ref="M63:N63"/>
    <mergeCell ref="H60:I60"/>
    <mergeCell ref="J60:K60"/>
    <mergeCell ref="M60:N60"/>
    <mergeCell ref="H61:I61"/>
    <mergeCell ref="J61:K61"/>
    <mergeCell ref="M61:N61"/>
    <mergeCell ref="H66:I66"/>
    <mergeCell ref="J66:K66"/>
    <mergeCell ref="M66:N66"/>
    <mergeCell ref="H67:I67"/>
    <mergeCell ref="J67:K67"/>
    <mergeCell ref="M67:N67"/>
    <mergeCell ref="H64:I64"/>
    <mergeCell ref="J64:K64"/>
    <mergeCell ref="M64:N64"/>
    <mergeCell ref="H65:I65"/>
    <mergeCell ref="J65:K65"/>
    <mergeCell ref="M65:N65"/>
    <mergeCell ref="M70:N70"/>
    <mergeCell ref="J71:K71"/>
    <mergeCell ref="M71:N71"/>
    <mergeCell ref="C76:F76"/>
    <mergeCell ref="J76:K76"/>
    <mergeCell ref="H68:I68"/>
    <mergeCell ref="J68:K68"/>
    <mergeCell ref="M68:N68"/>
    <mergeCell ref="H69:I69"/>
    <mergeCell ref="J69:K69"/>
    <mergeCell ref="M69:N69"/>
    <mergeCell ref="D77:I77"/>
    <mergeCell ref="J77:K77"/>
    <mergeCell ref="D78:I78"/>
    <mergeCell ref="J78:K78"/>
    <mergeCell ref="J79:K79"/>
    <mergeCell ref="D80:I80"/>
    <mergeCell ref="J80:K80"/>
    <mergeCell ref="H70:I70"/>
    <mergeCell ref="J70:K70"/>
    <mergeCell ref="D84:I84"/>
    <mergeCell ref="J84:K84"/>
    <mergeCell ref="D85:I85"/>
    <mergeCell ref="J85:K85"/>
    <mergeCell ref="D87:I87"/>
    <mergeCell ref="J87:K87"/>
    <mergeCell ref="D81:I81"/>
    <mergeCell ref="J81:K81"/>
    <mergeCell ref="D82:I82"/>
    <mergeCell ref="J82:K82"/>
    <mergeCell ref="D83:I83"/>
    <mergeCell ref="J83:K83"/>
    <mergeCell ref="M97:O97"/>
    <mergeCell ref="M98:O98"/>
    <mergeCell ref="M99:O99"/>
    <mergeCell ref="M100:O100"/>
    <mergeCell ref="M101:O101"/>
    <mergeCell ref="M102:O102"/>
    <mergeCell ref="D88:I88"/>
    <mergeCell ref="J88:K88"/>
    <mergeCell ref="M93:O93"/>
    <mergeCell ref="M94:O94"/>
    <mergeCell ref="M95:O95"/>
    <mergeCell ref="M96:O96"/>
    <mergeCell ref="K115:M115"/>
    <mergeCell ref="O115:Q115"/>
    <mergeCell ref="M116:N116"/>
    <mergeCell ref="P116:Q116"/>
    <mergeCell ref="K117:M117"/>
    <mergeCell ref="O117:Q117"/>
    <mergeCell ref="M103:O103"/>
    <mergeCell ref="M104:O104"/>
    <mergeCell ref="M105:O105"/>
    <mergeCell ref="C110:Q112"/>
    <mergeCell ref="K113:M114"/>
    <mergeCell ref="O113:Q113"/>
    <mergeCell ref="O114:Q114"/>
    <mergeCell ref="K121:M121"/>
    <mergeCell ref="O121:Q121"/>
    <mergeCell ref="K122:M122"/>
    <mergeCell ref="O122:Q122"/>
    <mergeCell ref="K123:M123"/>
    <mergeCell ref="O123:Q123"/>
    <mergeCell ref="R117:S117"/>
    <mergeCell ref="M118:N118"/>
    <mergeCell ref="P118:Q118"/>
    <mergeCell ref="K119:M119"/>
    <mergeCell ref="O119:Q119"/>
    <mergeCell ref="K120:M120"/>
    <mergeCell ref="O120:Q120"/>
    <mergeCell ref="K127:M127"/>
    <mergeCell ref="O127:Q127"/>
    <mergeCell ref="K128:M128"/>
    <mergeCell ref="O128:Q128"/>
    <mergeCell ref="K129:M129"/>
    <mergeCell ref="O129:Q129"/>
    <mergeCell ref="K124:M124"/>
    <mergeCell ref="O124:Q124"/>
    <mergeCell ref="K125:M125"/>
    <mergeCell ref="O125:Q125"/>
    <mergeCell ref="K126:M126"/>
    <mergeCell ref="O126:Q126"/>
    <mergeCell ref="K133:M133"/>
    <mergeCell ref="O133:Q133"/>
    <mergeCell ref="K134:M134"/>
    <mergeCell ref="O134:Q134"/>
    <mergeCell ref="K135:M135"/>
    <mergeCell ref="O135:Q135"/>
    <mergeCell ref="K130:M130"/>
    <mergeCell ref="O130:Q130"/>
    <mergeCell ref="K131:M131"/>
    <mergeCell ref="O131:Q131"/>
    <mergeCell ref="K132:M132"/>
    <mergeCell ref="O132:Q132"/>
    <mergeCell ref="I148:J148"/>
    <mergeCell ref="K148:M148"/>
    <mergeCell ref="O148:Q148"/>
    <mergeCell ref="R148:S148"/>
    <mergeCell ref="K138:M138"/>
    <mergeCell ref="M141:N141"/>
    <mergeCell ref="P141:Q141"/>
    <mergeCell ref="K145:M145"/>
    <mergeCell ref="O145:Q145"/>
    <mergeCell ref="I146:J146"/>
    <mergeCell ref="K146:M146"/>
    <mergeCell ref="O146:Q146"/>
    <mergeCell ref="K149:M149"/>
    <mergeCell ref="O149:Q149"/>
    <mergeCell ref="K150:M150"/>
    <mergeCell ref="O150:Q150"/>
    <mergeCell ref="K151:M151"/>
    <mergeCell ref="O151:Q151"/>
    <mergeCell ref="R146:S146"/>
    <mergeCell ref="K147:M147"/>
    <mergeCell ref="O147:Q147"/>
    <mergeCell ref="K155:M155"/>
    <mergeCell ref="O155:Q155"/>
    <mergeCell ref="K156:M156"/>
    <mergeCell ref="O156:Q156"/>
    <mergeCell ref="K157:M157"/>
    <mergeCell ref="O157:Q157"/>
    <mergeCell ref="K152:M152"/>
    <mergeCell ref="O152:Q152"/>
    <mergeCell ref="K153:M153"/>
    <mergeCell ref="O153:Q153"/>
    <mergeCell ref="K154:M154"/>
    <mergeCell ref="O154:Q154"/>
    <mergeCell ref="K161:M161"/>
    <mergeCell ref="O161:Q161"/>
    <mergeCell ref="K162:M162"/>
    <mergeCell ref="O162:Q162"/>
    <mergeCell ref="K163:M163"/>
    <mergeCell ref="O163:Q163"/>
    <mergeCell ref="K158:M158"/>
    <mergeCell ref="O158:Q158"/>
    <mergeCell ref="K159:M159"/>
    <mergeCell ref="O159:Q159"/>
    <mergeCell ref="K160:M160"/>
    <mergeCell ref="O160:Q160"/>
    <mergeCell ref="D167:I167"/>
    <mergeCell ref="K167:M167"/>
    <mergeCell ref="O167:Q167"/>
    <mergeCell ref="K168:M168"/>
    <mergeCell ref="O168:Q168"/>
    <mergeCell ref="I169:J169"/>
    <mergeCell ref="K169:M169"/>
    <mergeCell ref="O169:Q169"/>
    <mergeCell ref="K164:M164"/>
    <mergeCell ref="O164:Q164"/>
    <mergeCell ref="K165:M165"/>
    <mergeCell ref="O165:Q165"/>
    <mergeCell ref="K166:M166"/>
    <mergeCell ref="O166:Q166"/>
    <mergeCell ref="K173:M173"/>
    <mergeCell ref="O173:Q173"/>
    <mergeCell ref="K174:M174"/>
    <mergeCell ref="O174:Q174"/>
    <mergeCell ref="K175:M175"/>
    <mergeCell ref="O175:Q175"/>
    <mergeCell ref="R169:S169"/>
    <mergeCell ref="K170:M170"/>
    <mergeCell ref="O170:Q170"/>
    <mergeCell ref="K171:M171"/>
    <mergeCell ref="O171:Q171"/>
    <mergeCell ref="K172:M172"/>
    <mergeCell ref="O172:Q172"/>
    <mergeCell ref="D179:I179"/>
    <mergeCell ref="K179:M179"/>
    <mergeCell ref="O179:Q179"/>
    <mergeCell ref="K180:M180"/>
    <mergeCell ref="O180:Q180"/>
    <mergeCell ref="I181:J181"/>
    <mergeCell ref="K181:M181"/>
    <mergeCell ref="O181:Q181"/>
    <mergeCell ref="K176:M176"/>
    <mergeCell ref="O176:Q176"/>
    <mergeCell ref="K177:M177"/>
    <mergeCell ref="O177:Q177"/>
    <mergeCell ref="K178:M178"/>
    <mergeCell ref="O178:Q178"/>
    <mergeCell ref="K185:M185"/>
    <mergeCell ref="O185:Q185"/>
    <mergeCell ref="K186:M186"/>
    <mergeCell ref="O186:Q186"/>
    <mergeCell ref="D187:I187"/>
    <mergeCell ref="K187:M187"/>
    <mergeCell ref="O187:Q187"/>
    <mergeCell ref="R181:S181"/>
    <mergeCell ref="K182:M182"/>
    <mergeCell ref="O182:Q182"/>
    <mergeCell ref="K183:M183"/>
    <mergeCell ref="O183:Q183"/>
    <mergeCell ref="K184:M184"/>
    <mergeCell ref="O184:Q184"/>
    <mergeCell ref="D191:Q193"/>
    <mergeCell ref="K198:M198"/>
    <mergeCell ref="O198:Q198"/>
    <mergeCell ref="I199:J199"/>
    <mergeCell ref="K199:M199"/>
    <mergeCell ref="O199:Q199"/>
    <mergeCell ref="K188:M188"/>
    <mergeCell ref="O188:Q188"/>
    <mergeCell ref="K189:M189"/>
    <mergeCell ref="O189:Q189"/>
    <mergeCell ref="K190:M190"/>
    <mergeCell ref="O190:Q190"/>
    <mergeCell ref="K203:M203"/>
    <mergeCell ref="O203:Q203"/>
    <mergeCell ref="K204:M204"/>
    <mergeCell ref="O204:Q204"/>
    <mergeCell ref="K205:M205"/>
    <mergeCell ref="O205:Q205"/>
    <mergeCell ref="R199:S199"/>
    <mergeCell ref="K200:M200"/>
    <mergeCell ref="O200:Q200"/>
    <mergeCell ref="K201:M201"/>
    <mergeCell ref="O201:Q201"/>
    <mergeCell ref="K202:M202"/>
    <mergeCell ref="O202:Q202"/>
    <mergeCell ref="K209:M209"/>
    <mergeCell ref="O209:Q209"/>
    <mergeCell ref="D210:I210"/>
    <mergeCell ref="K210:M210"/>
    <mergeCell ref="O210:Q210"/>
    <mergeCell ref="K211:M211"/>
    <mergeCell ref="O211:Q211"/>
    <mergeCell ref="K206:M206"/>
    <mergeCell ref="O206:Q206"/>
    <mergeCell ref="K207:M207"/>
    <mergeCell ref="O207:Q207"/>
    <mergeCell ref="K208:M208"/>
    <mergeCell ref="O208:Q208"/>
    <mergeCell ref="R222:S222"/>
    <mergeCell ref="K224:M224"/>
    <mergeCell ref="O224:Q224"/>
    <mergeCell ref="K212:M212"/>
    <mergeCell ref="O212:Q212"/>
    <mergeCell ref="K213:M213"/>
    <mergeCell ref="O213:Q213"/>
    <mergeCell ref="D214:Q216"/>
    <mergeCell ref="K221:M221"/>
    <mergeCell ref="O221:Q221"/>
    <mergeCell ref="K225:M225"/>
    <mergeCell ref="O225:Q225"/>
    <mergeCell ref="K226:M226"/>
    <mergeCell ref="O226:Q226"/>
    <mergeCell ref="I228:J228"/>
    <mergeCell ref="K228:M228"/>
    <mergeCell ref="O228:Q228"/>
    <mergeCell ref="I222:J222"/>
    <mergeCell ref="K222:M222"/>
    <mergeCell ref="O222:Q222"/>
    <mergeCell ref="R242:S242"/>
    <mergeCell ref="K235:M235"/>
    <mergeCell ref="O235:Q235"/>
    <mergeCell ref="K236:M236"/>
    <mergeCell ref="O236:Q236"/>
    <mergeCell ref="D238:H238"/>
    <mergeCell ref="K238:M238"/>
    <mergeCell ref="O238:Q238"/>
    <mergeCell ref="R228:S228"/>
    <mergeCell ref="I230:J230"/>
    <mergeCell ref="K230:M230"/>
    <mergeCell ref="O230:Q230"/>
    <mergeCell ref="R230:S230"/>
    <mergeCell ref="I233:J233"/>
    <mergeCell ref="K233:M233"/>
    <mergeCell ref="O233:Q233"/>
    <mergeCell ref="R233:S233"/>
    <mergeCell ref="D247:Q249"/>
    <mergeCell ref="K254:M254"/>
    <mergeCell ref="O254:Q254"/>
    <mergeCell ref="H255:J255"/>
    <mergeCell ref="K255:M255"/>
    <mergeCell ref="O255:Q255"/>
    <mergeCell ref="K240:M240"/>
    <mergeCell ref="O240:Q240"/>
    <mergeCell ref="I242:J242"/>
    <mergeCell ref="K242:M242"/>
    <mergeCell ref="O242:Q242"/>
    <mergeCell ref="K259:M259"/>
    <mergeCell ref="O259:Q259"/>
    <mergeCell ref="H261:J261"/>
    <mergeCell ref="K261:M261"/>
    <mergeCell ref="O261:Q261"/>
    <mergeCell ref="R261:S261"/>
    <mergeCell ref="R255:S255"/>
    <mergeCell ref="H257:J257"/>
    <mergeCell ref="K257:M257"/>
    <mergeCell ref="O257:Q257"/>
    <mergeCell ref="R257:S257"/>
    <mergeCell ref="K258:M258"/>
    <mergeCell ref="O258:Q258"/>
    <mergeCell ref="H270:J270"/>
    <mergeCell ref="K270:M270"/>
    <mergeCell ref="O270:Q270"/>
    <mergeCell ref="R270:S270"/>
    <mergeCell ref="K262:M262"/>
    <mergeCell ref="O262:Q262"/>
    <mergeCell ref="K264:M264"/>
    <mergeCell ref="O264:Q264"/>
    <mergeCell ref="H266:J266"/>
    <mergeCell ref="K266:M266"/>
    <mergeCell ref="O266:Q266"/>
    <mergeCell ref="R285:S285"/>
    <mergeCell ref="K263:M263"/>
    <mergeCell ref="O263:Q263"/>
    <mergeCell ref="K275:M275"/>
    <mergeCell ref="O275:Q275"/>
    <mergeCell ref="K276:M276"/>
    <mergeCell ref="O276:Q276"/>
    <mergeCell ref="R266:S266"/>
    <mergeCell ref="K267:M267"/>
    <mergeCell ref="O267:Q267"/>
    <mergeCell ref="K268:M268"/>
    <mergeCell ref="O268:Q268"/>
    <mergeCell ref="K286:M286"/>
    <mergeCell ref="O286:Q286"/>
    <mergeCell ref="K287:M287"/>
    <mergeCell ref="O287:Q287"/>
    <mergeCell ref="K288:M288"/>
    <mergeCell ref="O288:Q288"/>
    <mergeCell ref="K284:M284"/>
    <mergeCell ref="O284:Q284"/>
    <mergeCell ref="I285:J285"/>
    <mergeCell ref="K285:M285"/>
    <mergeCell ref="O285:Q285"/>
    <mergeCell ref="K292:M292"/>
    <mergeCell ref="O292:Q292"/>
    <mergeCell ref="D293:I293"/>
    <mergeCell ref="K293:M293"/>
    <mergeCell ref="O293:Q293"/>
    <mergeCell ref="K294:M294"/>
    <mergeCell ref="O294:Q294"/>
    <mergeCell ref="K289:M289"/>
    <mergeCell ref="O289:Q289"/>
    <mergeCell ref="K290:M290"/>
    <mergeCell ref="O290:Q290"/>
    <mergeCell ref="K291:M291"/>
    <mergeCell ref="O291:Q291"/>
    <mergeCell ref="I306:J306"/>
    <mergeCell ref="K306:M306"/>
    <mergeCell ref="O306:Q306"/>
    <mergeCell ref="K298:M298"/>
    <mergeCell ref="O298:Q298"/>
    <mergeCell ref="K299:M299"/>
    <mergeCell ref="O299:Q299"/>
    <mergeCell ref="K300:M300"/>
    <mergeCell ref="O300:Q300"/>
    <mergeCell ref="R306:S306"/>
    <mergeCell ref="K308:M308"/>
    <mergeCell ref="O308:Q308"/>
    <mergeCell ref="K309:M309"/>
    <mergeCell ref="O309:Q309"/>
    <mergeCell ref="K310:M310"/>
    <mergeCell ref="O310:Q310"/>
    <mergeCell ref="K301:M301"/>
    <mergeCell ref="O301:Q301"/>
    <mergeCell ref="K305:M305"/>
    <mergeCell ref="O305:Q305"/>
    <mergeCell ref="K324:M324"/>
    <mergeCell ref="O324:Q324"/>
    <mergeCell ref="K325:M325"/>
    <mergeCell ref="O325:Q325"/>
    <mergeCell ref="D312:H312"/>
    <mergeCell ref="K312:M312"/>
    <mergeCell ref="O312:Q312"/>
    <mergeCell ref="D316:Q318"/>
    <mergeCell ref="K323:M323"/>
    <mergeCell ref="O323:Q323"/>
  </mergeCells>
  <dataValidations count="14">
    <dataValidation type="list" allowBlank="1" showInputMessage="1" showErrorMessage="1" sqref="M104:N104">
      <formula1>$A$1187:$A$1189</formula1>
    </dataValidation>
    <dataValidation type="list" allowBlank="1" showInputMessage="1" showErrorMessage="1" sqref="Q279">
      <formula1>$E$1333:$E$1343</formula1>
    </dataValidation>
    <dataValidation type="list" allowBlank="1" showInputMessage="1" showErrorMessage="1" sqref="O279">
      <formula1>$D$1333:$D$1353</formula1>
    </dataValidation>
    <dataValidation type="list" allowBlank="1" showInputMessage="1" showErrorMessage="1" sqref="M279">
      <formula1>$C$1333:$C$1355</formula1>
    </dataValidation>
    <dataValidation type="list" allowBlank="1" showInputMessage="1" showErrorMessage="1" sqref="K279">
      <formula1>$A$1333:$A$1355</formula1>
    </dataValidation>
    <dataValidation type="list" allowBlank="1" showInputMessage="1" showErrorMessage="1" sqref="O43">
      <formula1>$A$730:$A$884</formula1>
    </dataValidation>
    <dataValidation type="whole" allowBlank="1" showInputMessage="1" showErrorMessage="1" sqref="F39">
      <formula1>10</formula1>
      <formula2>1000000000</formula2>
    </dataValidation>
    <dataValidation type="list" allowBlank="1" showInputMessage="1" showErrorMessage="1" sqref="M52:N52 M67:N68 M54:N55 M62:N62 M57:N57 M59:N60 M64:N64 M70:N70">
      <formula1>$A$886:$A$893</formula1>
    </dataValidation>
    <dataValidation type="list" allowBlank="1" showInputMessage="1" showErrorMessage="1" sqref="O41">
      <formula1>$A$895:$A$905</formula1>
    </dataValidation>
    <dataValidation type="list" allowBlank="1" showInputMessage="1" showErrorMessage="1" sqref="M94">
      <formula1>$A$908:$A$911</formula1>
    </dataValidation>
    <dataValidation type="list" allowBlank="1" showInputMessage="1" showErrorMessage="1" sqref="M98">
      <formula1>$A$915:$A$918</formula1>
    </dataValidation>
    <dataValidation type="list" allowBlank="1" showInputMessage="1" showErrorMessage="1" sqref="M96">
      <formula1>$A$921:$A$930</formula1>
    </dataValidation>
    <dataValidation type="list" allowBlank="1" showInputMessage="1" showErrorMessage="1" sqref="O39:R39">
      <formula1>$A$489:$A$495</formula1>
    </dataValidation>
    <dataValidation type="list" allowBlank="1" showInputMessage="1" showErrorMessage="1" sqref="M100:N100">
      <formula1>$A$367:$A$372</formula1>
    </dataValidation>
  </dataValidations>
  <hyperlinks>
    <hyperlink ref="O6" r:id="rId1"/>
  </hyperlinks>
  <pageMargins left="0.23622047244094491" right="0.23622047244094491" top="0" bottom="0" header="0" footer="0"/>
  <pageSetup paperSize="9" scale="58"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58369" r:id="rId5" name="Check Box 1">
              <controlPr defaultSize="0" autoFill="0" autoLine="0" autoPict="0">
                <anchor moveWithCells="1">
                  <from>
                    <xdr:col>7</xdr:col>
                    <xdr:colOff>190500</xdr:colOff>
                    <xdr:row>118</xdr:row>
                    <xdr:rowOff>0</xdr:rowOff>
                  </from>
                  <to>
                    <xdr:col>7</xdr:col>
                    <xdr:colOff>400050</xdr:colOff>
                    <xdr:row>119</xdr:row>
                    <xdr:rowOff>9525</xdr:rowOff>
                  </to>
                </anchor>
              </controlPr>
            </control>
          </mc:Choice>
        </mc:AlternateContent>
        <mc:AlternateContent xmlns:mc="http://schemas.openxmlformats.org/markup-compatibility/2006">
          <mc:Choice Requires="x14">
            <control shapeId="58370" r:id="rId6" name="Check Box 2">
              <controlPr defaultSize="0" autoFill="0" autoLine="0" autoPict="0">
                <anchor moveWithCells="1">
                  <from>
                    <xdr:col>8</xdr:col>
                    <xdr:colOff>190500</xdr:colOff>
                    <xdr:row>118</xdr:row>
                    <xdr:rowOff>0</xdr:rowOff>
                  </from>
                  <to>
                    <xdr:col>8</xdr:col>
                    <xdr:colOff>400050</xdr:colOff>
                    <xdr:row>119</xdr:row>
                    <xdr:rowOff>9525</xdr:rowOff>
                  </to>
                </anchor>
              </controlPr>
            </control>
          </mc:Choice>
        </mc:AlternateContent>
        <mc:AlternateContent xmlns:mc="http://schemas.openxmlformats.org/markup-compatibility/2006">
          <mc:Choice Requires="x14">
            <control shapeId="58371" r:id="rId7" name="Check Box 3">
              <controlPr defaultSize="0" autoFill="0" autoLine="0" autoPict="0">
                <anchor moveWithCells="1">
                  <from>
                    <xdr:col>7</xdr:col>
                    <xdr:colOff>190500</xdr:colOff>
                    <xdr:row>119</xdr:row>
                    <xdr:rowOff>0</xdr:rowOff>
                  </from>
                  <to>
                    <xdr:col>7</xdr:col>
                    <xdr:colOff>400050</xdr:colOff>
                    <xdr:row>120</xdr:row>
                    <xdr:rowOff>9525</xdr:rowOff>
                  </to>
                </anchor>
              </controlPr>
            </control>
          </mc:Choice>
        </mc:AlternateContent>
        <mc:AlternateContent xmlns:mc="http://schemas.openxmlformats.org/markup-compatibility/2006">
          <mc:Choice Requires="x14">
            <control shapeId="58372" r:id="rId8" name="Check Box 4">
              <controlPr defaultSize="0" autoFill="0" autoLine="0" autoPict="0">
                <anchor moveWithCells="1">
                  <from>
                    <xdr:col>8</xdr:col>
                    <xdr:colOff>190500</xdr:colOff>
                    <xdr:row>119</xdr:row>
                    <xdr:rowOff>0</xdr:rowOff>
                  </from>
                  <to>
                    <xdr:col>8</xdr:col>
                    <xdr:colOff>400050</xdr:colOff>
                    <xdr:row>120</xdr:row>
                    <xdr:rowOff>9525</xdr:rowOff>
                  </to>
                </anchor>
              </controlPr>
            </control>
          </mc:Choice>
        </mc:AlternateContent>
        <mc:AlternateContent xmlns:mc="http://schemas.openxmlformats.org/markup-compatibility/2006">
          <mc:Choice Requires="x14">
            <control shapeId="58373" r:id="rId9" name="Check Box 5">
              <controlPr defaultSize="0" autoFill="0" autoLine="0" autoPict="0">
                <anchor moveWithCells="1">
                  <from>
                    <xdr:col>7</xdr:col>
                    <xdr:colOff>190500</xdr:colOff>
                    <xdr:row>121</xdr:row>
                    <xdr:rowOff>0</xdr:rowOff>
                  </from>
                  <to>
                    <xdr:col>7</xdr:col>
                    <xdr:colOff>400050</xdr:colOff>
                    <xdr:row>122</xdr:row>
                    <xdr:rowOff>9525</xdr:rowOff>
                  </to>
                </anchor>
              </controlPr>
            </control>
          </mc:Choice>
        </mc:AlternateContent>
        <mc:AlternateContent xmlns:mc="http://schemas.openxmlformats.org/markup-compatibility/2006">
          <mc:Choice Requires="x14">
            <control shapeId="58374" r:id="rId10" name="Check Box 6">
              <controlPr defaultSize="0" autoFill="0" autoLine="0" autoPict="0">
                <anchor moveWithCells="1">
                  <from>
                    <xdr:col>8</xdr:col>
                    <xdr:colOff>190500</xdr:colOff>
                    <xdr:row>121</xdr:row>
                    <xdr:rowOff>0</xdr:rowOff>
                  </from>
                  <to>
                    <xdr:col>8</xdr:col>
                    <xdr:colOff>400050</xdr:colOff>
                    <xdr:row>122</xdr:row>
                    <xdr:rowOff>9525</xdr:rowOff>
                  </to>
                </anchor>
              </controlPr>
            </control>
          </mc:Choice>
        </mc:AlternateContent>
        <mc:AlternateContent xmlns:mc="http://schemas.openxmlformats.org/markup-compatibility/2006">
          <mc:Choice Requires="x14">
            <control shapeId="58375" r:id="rId11" name="Check Box 7">
              <controlPr defaultSize="0" autoFill="0" autoLine="0" autoPict="0">
                <anchor moveWithCells="1">
                  <from>
                    <xdr:col>7</xdr:col>
                    <xdr:colOff>190500</xdr:colOff>
                    <xdr:row>122</xdr:row>
                    <xdr:rowOff>0</xdr:rowOff>
                  </from>
                  <to>
                    <xdr:col>7</xdr:col>
                    <xdr:colOff>400050</xdr:colOff>
                    <xdr:row>123</xdr:row>
                    <xdr:rowOff>9525</xdr:rowOff>
                  </to>
                </anchor>
              </controlPr>
            </control>
          </mc:Choice>
        </mc:AlternateContent>
        <mc:AlternateContent xmlns:mc="http://schemas.openxmlformats.org/markup-compatibility/2006">
          <mc:Choice Requires="x14">
            <control shapeId="58376" r:id="rId12" name="Check Box 8">
              <controlPr defaultSize="0" autoFill="0" autoLine="0" autoPict="0">
                <anchor moveWithCells="1">
                  <from>
                    <xdr:col>8</xdr:col>
                    <xdr:colOff>190500</xdr:colOff>
                    <xdr:row>122</xdr:row>
                    <xdr:rowOff>0</xdr:rowOff>
                  </from>
                  <to>
                    <xdr:col>8</xdr:col>
                    <xdr:colOff>400050</xdr:colOff>
                    <xdr:row>123</xdr:row>
                    <xdr:rowOff>9525</xdr:rowOff>
                  </to>
                </anchor>
              </controlPr>
            </control>
          </mc:Choice>
        </mc:AlternateContent>
        <mc:AlternateContent xmlns:mc="http://schemas.openxmlformats.org/markup-compatibility/2006">
          <mc:Choice Requires="x14">
            <control shapeId="58377" r:id="rId13" name="Check Box 9">
              <controlPr defaultSize="0" autoFill="0" autoLine="0" autoPict="0">
                <anchor moveWithCells="1">
                  <from>
                    <xdr:col>7</xdr:col>
                    <xdr:colOff>190500</xdr:colOff>
                    <xdr:row>123</xdr:row>
                    <xdr:rowOff>0</xdr:rowOff>
                  </from>
                  <to>
                    <xdr:col>7</xdr:col>
                    <xdr:colOff>400050</xdr:colOff>
                    <xdr:row>124</xdr:row>
                    <xdr:rowOff>9525</xdr:rowOff>
                  </to>
                </anchor>
              </controlPr>
            </control>
          </mc:Choice>
        </mc:AlternateContent>
        <mc:AlternateContent xmlns:mc="http://schemas.openxmlformats.org/markup-compatibility/2006">
          <mc:Choice Requires="x14">
            <control shapeId="58378" r:id="rId14" name="Check Box 10">
              <controlPr defaultSize="0" autoFill="0" autoLine="0" autoPict="0">
                <anchor moveWithCells="1">
                  <from>
                    <xdr:col>8</xdr:col>
                    <xdr:colOff>190500</xdr:colOff>
                    <xdr:row>123</xdr:row>
                    <xdr:rowOff>0</xdr:rowOff>
                  </from>
                  <to>
                    <xdr:col>8</xdr:col>
                    <xdr:colOff>400050</xdr:colOff>
                    <xdr:row>124</xdr:row>
                    <xdr:rowOff>9525</xdr:rowOff>
                  </to>
                </anchor>
              </controlPr>
            </control>
          </mc:Choice>
        </mc:AlternateContent>
        <mc:AlternateContent xmlns:mc="http://schemas.openxmlformats.org/markup-compatibility/2006">
          <mc:Choice Requires="x14">
            <control shapeId="58379" r:id="rId15" name="Check Box 11">
              <controlPr defaultSize="0" autoFill="0" autoLine="0" autoPict="0">
                <anchor moveWithCells="1">
                  <from>
                    <xdr:col>7</xdr:col>
                    <xdr:colOff>190500</xdr:colOff>
                    <xdr:row>124</xdr:row>
                    <xdr:rowOff>0</xdr:rowOff>
                  </from>
                  <to>
                    <xdr:col>7</xdr:col>
                    <xdr:colOff>400050</xdr:colOff>
                    <xdr:row>125</xdr:row>
                    <xdr:rowOff>9525</xdr:rowOff>
                  </to>
                </anchor>
              </controlPr>
            </control>
          </mc:Choice>
        </mc:AlternateContent>
        <mc:AlternateContent xmlns:mc="http://schemas.openxmlformats.org/markup-compatibility/2006">
          <mc:Choice Requires="x14">
            <control shapeId="58380" r:id="rId16" name="Check Box 12">
              <controlPr defaultSize="0" autoFill="0" autoLine="0" autoPict="0">
                <anchor moveWithCells="1">
                  <from>
                    <xdr:col>8</xdr:col>
                    <xdr:colOff>190500</xdr:colOff>
                    <xdr:row>124</xdr:row>
                    <xdr:rowOff>0</xdr:rowOff>
                  </from>
                  <to>
                    <xdr:col>8</xdr:col>
                    <xdr:colOff>400050</xdr:colOff>
                    <xdr:row>125</xdr:row>
                    <xdr:rowOff>9525</xdr:rowOff>
                  </to>
                </anchor>
              </controlPr>
            </control>
          </mc:Choice>
        </mc:AlternateContent>
        <mc:AlternateContent xmlns:mc="http://schemas.openxmlformats.org/markup-compatibility/2006">
          <mc:Choice Requires="x14">
            <control shapeId="58381" r:id="rId17" name="Check Box 13">
              <controlPr defaultSize="0" autoFill="0" autoLine="0" autoPict="0">
                <anchor moveWithCells="1">
                  <from>
                    <xdr:col>8</xdr:col>
                    <xdr:colOff>190500</xdr:colOff>
                    <xdr:row>125</xdr:row>
                    <xdr:rowOff>0</xdr:rowOff>
                  </from>
                  <to>
                    <xdr:col>8</xdr:col>
                    <xdr:colOff>400050</xdr:colOff>
                    <xdr:row>126</xdr:row>
                    <xdr:rowOff>9525</xdr:rowOff>
                  </to>
                </anchor>
              </controlPr>
            </control>
          </mc:Choice>
        </mc:AlternateContent>
        <mc:AlternateContent xmlns:mc="http://schemas.openxmlformats.org/markup-compatibility/2006">
          <mc:Choice Requires="x14">
            <control shapeId="58382" r:id="rId18" name="Check Box 14">
              <controlPr defaultSize="0" autoFill="0" autoLine="0" autoPict="0">
                <anchor moveWithCells="1">
                  <from>
                    <xdr:col>7</xdr:col>
                    <xdr:colOff>190500</xdr:colOff>
                    <xdr:row>125</xdr:row>
                    <xdr:rowOff>0</xdr:rowOff>
                  </from>
                  <to>
                    <xdr:col>7</xdr:col>
                    <xdr:colOff>400050</xdr:colOff>
                    <xdr:row>126</xdr:row>
                    <xdr:rowOff>9525</xdr:rowOff>
                  </to>
                </anchor>
              </controlPr>
            </control>
          </mc:Choice>
        </mc:AlternateContent>
        <mc:AlternateContent xmlns:mc="http://schemas.openxmlformats.org/markup-compatibility/2006">
          <mc:Choice Requires="x14">
            <control shapeId="58383" r:id="rId19" name="Check Box 15">
              <controlPr defaultSize="0" autoFill="0" autoLine="0" autoPict="0">
                <anchor moveWithCells="1">
                  <from>
                    <xdr:col>7</xdr:col>
                    <xdr:colOff>190500</xdr:colOff>
                    <xdr:row>126</xdr:row>
                    <xdr:rowOff>0</xdr:rowOff>
                  </from>
                  <to>
                    <xdr:col>7</xdr:col>
                    <xdr:colOff>400050</xdr:colOff>
                    <xdr:row>127</xdr:row>
                    <xdr:rowOff>9525</xdr:rowOff>
                  </to>
                </anchor>
              </controlPr>
            </control>
          </mc:Choice>
        </mc:AlternateContent>
        <mc:AlternateContent xmlns:mc="http://schemas.openxmlformats.org/markup-compatibility/2006">
          <mc:Choice Requires="x14">
            <control shapeId="58384" r:id="rId20" name="Check Box 16">
              <controlPr defaultSize="0" autoFill="0" autoLine="0" autoPict="0">
                <anchor moveWithCells="1">
                  <from>
                    <xdr:col>8</xdr:col>
                    <xdr:colOff>190500</xdr:colOff>
                    <xdr:row>126</xdr:row>
                    <xdr:rowOff>0</xdr:rowOff>
                  </from>
                  <to>
                    <xdr:col>8</xdr:col>
                    <xdr:colOff>400050</xdr:colOff>
                    <xdr:row>127</xdr:row>
                    <xdr:rowOff>9525</xdr:rowOff>
                  </to>
                </anchor>
              </controlPr>
            </control>
          </mc:Choice>
        </mc:AlternateContent>
        <mc:AlternateContent xmlns:mc="http://schemas.openxmlformats.org/markup-compatibility/2006">
          <mc:Choice Requires="x14">
            <control shapeId="58385" r:id="rId21" name="Check Box 17">
              <controlPr defaultSize="0" autoFill="0" autoLine="0" autoPict="0">
                <anchor moveWithCells="1">
                  <from>
                    <xdr:col>8</xdr:col>
                    <xdr:colOff>190500</xdr:colOff>
                    <xdr:row>127</xdr:row>
                    <xdr:rowOff>0</xdr:rowOff>
                  </from>
                  <to>
                    <xdr:col>8</xdr:col>
                    <xdr:colOff>400050</xdr:colOff>
                    <xdr:row>128</xdr:row>
                    <xdr:rowOff>9525</xdr:rowOff>
                  </to>
                </anchor>
              </controlPr>
            </control>
          </mc:Choice>
        </mc:AlternateContent>
        <mc:AlternateContent xmlns:mc="http://schemas.openxmlformats.org/markup-compatibility/2006">
          <mc:Choice Requires="x14">
            <control shapeId="58386" r:id="rId22" name="Check Box 18">
              <controlPr defaultSize="0" autoFill="0" autoLine="0" autoPict="0">
                <anchor moveWithCells="1">
                  <from>
                    <xdr:col>7</xdr:col>
                    <xdr:colOff>190500</xdr:colOff>
                    <xdr:row>127</xdr:row>
                    <xdr:rowOff>0</xdr:rowOff>
                  </from>
                  <to>
                    <xdr:col>7</xdr:col>
                    <xdr:colOff>400050</xdr:colOff>
                    <xdr:row>128</xdr:row>
                    <xdr:rowOff>9525</xdr:rowOff>
                  </to>
                </anchor>
              </controlPr>
            </control>
          </mc:Choice>
        </mc:AlternateContent>
        <mc:AlternateContent xmlns:mc="http://schemas.openxmlformats.org/markup-compatibility/2006">
          <mc:Choice Requires="x14">
            <control shapeId="58387" r:id="rId23" name="Check Box 19">
              <controlPr defaultSize="0" autoFill="0" autoLine="0" autoPict="0">
                <anchor moveWithCells="1">
                  <from>
                    <xdr:col>7</xdr:col>
                    <xdr:colOff>190500</xdr:colOff>
                    <xdr:row>128</xdr:row>
                    <xdr:rowOff>0</xdr:rowOff>
                  </from>
                  <to>
                    <xdr:col>7</xdr:col>
                    <xdr:colOff>400050</xdr:colOff>
                    <xdr:row>129</xdr:row>
                    <xdr:rowOff>9525</xdr:rowOff>
                  </to>
                </anchor>
              </controlPr>
            </control>
          </mc:Choice>
        </mc:AlternateContent>
        <mc:AlternateContent xmlns:mc="http://schemas.openxmlformats.org/markup-compatibility/2006">
          <mc:Choice Requires="x14">
            <control shapeId="58388" r:id="rId24" name="Check Box 20">
              <controlPr defaultSize="0" autoFill="0" autoLine="0" autoPict="0">
                <anchor moveWithCells="1">
                  <from>
                    <xdr:col>8</xdr:col>
                    <xdr:colOff>190500</xdr:colOff>
                    <xdr:row>128</xdr:row>
                    <xdr:rowOff>0</xdr:rowOff>
                  </from>
                  <to>
                    <xdr:col>8</xdr:col>
                    <xdr:colOff>400050</xdr:colOff>
                    <xdr:row>129</xdr:row>
                    <xdr:rowOff>9525</xdr:rowOff>
                  </to>
                </anchor>
              </controlPr>
            </control>
          </mc:Choice>
        </mc:AlternateContent>
        <mc:AlternateContent xmlns:mc="http://schemas.openxmlformats.org/markup-compatibility/2006">
          <mc:Choice Requires="x14">
            <control shapeId="58389" r:id="rId25" name="Check Box 21">
              <controlPr defaultSize="0" autoFill="0" autoLine="0" autoPict="0">
                <anchor moveWithCells="1">
                  <from>
                    <xdr:col>8</xdr:col>
                    <xdr:colOff>190500</xdr:colOff>
                    <xdr:row>129</xdr:row>
                    <xdr:rowOff>0</xdr:rowOff>
                  </from>
                  <to>
                    <xdr:col>8</xdr:col>
                    <xdr:colOff>400050</xdr:colOff>
                    <xdr:row>130</xdr:row>
                    <xdr:rowOff>9525</xdr:rowOff>
                  </to>
                </anchor>
              </controlPr>
            </control>
          </mc:Choice>
        </mc:AlternateContent>
        <mc:AlternateContent xmlns:mc="http://schemas.openxmlformats.org/markup-compatibility/2006">
          <mc:Choice Requires="x14">
            <control shapeId="58390" r:id="rId26" name="Check Box 22">
              <controlPr defaultSize="0" autoFill="0" autoLine="0" autoPict="0">
                <anchor moveWithCells="1">
                  <from>
                    <xdr:col>7</xdr:col>
                    <xdr:colOff>190500</xdr:colOff>
                    <xdr:row>129</xdr:row>
                    <xdr:rowOff>0</xdr:rowOff>
                  </from>
                  <to>
                    <xdr:col>7</xdr:col>
                    <xdr:colOff>400050</xdr:colOff>
                    <xdr:row>130</xdr:row>
                    <xdr:rowOff>9525</xdr:rowOff>
                  </to>
                </anchor>
              </controlPr>
            </control>
          </mc:Choice>
        </mc:AlternateContent>
        <mc:AlternateContent xmlns:mc="http://schemas.openxmlformats.org/markup-compatibility/2006">
          <mc:Choice Requires="x14">
            <control shapeId="58391" r:id="rId27" name="Check Box 23">
              <controlPr defaultSize="0" autoFill="0" autoLine="0" autoPict="0">
                <anchor moveWithCells="1">
                  <from>
                    <xdr:col>7</xdr:col>
                    <xdr:colOff>190500</xdr:colOff>
                    <xdr:row>131</xdr:row>
                    <xdr:rowOff>0</xdr:rowOff>
                  </from>
                  <to>
                    <xdr:col>7</xdr:col>
                    <xdr:colOff>400050</xdr:colOff>
                    <xdr:row>132</xdr:row>
                    <xdr:rowOff>9525</xdr:rowOff>
                  </to>
                </anchor>
              </controlPr>
            </control>
          </mc:Choice>
        </mc:AlternateContent>
        <mc:AlternateContent xmlns:mc="http://schemas.openxmlformats.org/markup-compatibility/2006">
          <mc:Choice Requires="x14">
            <control shapeId="58392" r:id="rId28" name="Check Box 24">
              <controlPr defaultSize="0" autoFill="0" autoLine="0" autoPict="0">
                <anchor moveWithCells="1">
                  <from>
                    <xdr:col>8</xdr:col>
                    <xdr:colOff>190500</xdr:colOff>
                    <xdr:row>131</xdr:row>
                    <xdr:rowOff>0</xdr:rowOff>
                  </from>
                  <to>
                    <xdr:col>8</xdr:col>
                    <xdr:colOff>400050</xdr:colOff>
                    <xdr:row>132</xdr:row>
                    <xdr:rowOff>9525</xdr:rowOff>
                  </to>
                </anchor>
              </controlPr>
            </control>
          </mc:Choice>
        </mc:AlternateContent>
        <mc:AlternateContent xmlns:mc="http://schemas.openxmlformats.org/markup-compatibility/2006">
          <mc:Choice Requires="x14">
            <control shapeId="58393" r:id="rId29" name="Check Box 25">
              <controlPr defaultSize="0" autoFill="0" autoLine="0" autoPict="0">
                <anchor moveWithCells="1">
                  <from>
                    <xdr:col>7</xdr:col>
                    <xdr:colOff>190500</xdr:colOff>
                    <xdr:row>132</xdr:row>
                    <xdr:rowOff>0</xdr:rowOff>
                  </from>
                  <to>
                    <xdr:col>7</xdr:col>
                    <xdr:colOff>400050</xdr:colOff>
                    <xdr:row>133</xdr:row>
                    <xdr:rowOff>9525</xdr:rowOff>
                  </to>
                </anchor>
              </controlPr>
            </control>
          </mc:Choice>
        </mc:AlternateContent>
        <mc:AlternateContent xmlns:mc="http://schemas.openxmlformats.org/markup-compatibility/2006">
          <mc:Choice Requires="x14">
            <control shapeId="58394" r:id="rId30" name="Check Box 26">
              <controlPr defaultSize="0" autoFill="0" autoLine="0" autoPict="0">
                <anchor moveWithCells="1">
                  <from>
                    <xdr:col>8</xdr:col>
                    <xdr:colOff>190500</xdr:colOff>
                    <xdr:row>132</xdr:row>
                    <xdr:rowOff>0</xdr:rowOff>
                  </from>
                  <to>
                    <xdr:col>8</xdr:col>
                    <xdr:colOff>400050</xdr:colOff>
                    <xdr:row>133</xdr:row>
                    <xdr:rowOff>9525</xdr:rowOff>
                  </to>
                </anchor>
              </controlPr>
            </control>
          </mc:Choice>
        </mc:AlternateContent>
        <mc:AlternateContent xmlns:mc="http://schemas.openxmlformats.org/markup-compatibility/2006">
          <mc:Choice Requires="x14">
            <control shapeId="58395" r:id="rId31" name="Check Box 27">
              <controlPr defaultSize="0" autoFill="0" autoLine="0" autoPict="0">
                <anchor moveWithCells="1">
                  <from>
                    <xdr:col>7</xdr:col>
                    <xdr:colOff>190500</xdr:colOff>
                    <xdr:row>133</xdr:row>
                    <xdr:rowOff>0</xdr:rowOff>
                  </from>
                  <to>
                    <xdr:col>7</xdr:col>
                    <xdr:colOff>400050</xdr:colOff>
                    <xdr:row>134</xdr:row>
                    <xdr:rowOff>9525</xdr:rowOff>
                  </to>
                </anchor>
              </controlPr>
            </control>
          </mc:Choice>
        </mc:AlternateContent>
        <mc:AlternateContent xmlns:mc="http://schemas.openxmlformats.org/markup-compatibility/2006">
          <mc:Choice Requires="x14">
            <control shapeId="58396" r:id="rId32" name="Check Box 28">
              <controlPr defaultSize="0" autoFill="0" autoLine="0" autoPict="0">
                <anchor moveWithCells="1">
                  <from>
                    <xdr:col>8</xdr:col>
                    <xdr:colOff>190500</xdr:colOff>
                    <xdr:row>133</xdr:row>
                    <xdr:rowOff>0</xdr:rowOff>
                  </from>
                  <to>
                    <xdr:col>8</xdr:col>
                    <xdr:colOff>400050</xdr:colOff>
                    <xdr:row>134</xdr:row>
                    <xdr:rowOff>9525</xdr:rowOff>
                  </to>
                </anchor>
              </controlPr>
            </control>
          </mc:Choice>
        </mc:AlternateContent>
        <mc:AlternateContent xmlns:mc="http://schemas.openxmlformats.org/markup-compatibility/2006">
          <mc:Choice Requires="x14">
            <control shapeId="58397" r:id="rId33" name="Check Box 29">
              <controlPr defaultSize="0" autoFill="0" autoLine="0" autoPict="0">
                <anchor moveWithCells="1">
                  <from>
                    <xdr:col>7</xdr:col>
                    <xdr:colOff>190500</xdr:colOff>
                    <xdr:row>134</xdr:row>
                    <xdr:rowOff>0</xdr:rowOff>
                  </from>
                  <to>
                    <xdr:col>7</xdr:col>
                    <xdr:colOff>400050</xdr:colOff>
                    <xdr:row>135</xdr:row>
                    <xdr:rowOff>9525</xdr:rowOff>
                  </to>
                </anchor>
              </controlPr>
            </control>
          </mc:Choice>
        </mc:AlternateContent>
        <mc:AlternateContent xmlns:mc="http://schemas.openxmlformats.org/markup-compatibility/2006">
          <mc:Choice Requires="x14">
            <control shapeId="58398" r:id="rId34" name="Check Box 30">
              <controlPr defaultSize="0" autoFill="0" autoLine="0" autoPict="0">
                <anchor moveWithCells="1">
                  <from>
                    <xdr:col>8</xdr:col>
                    <xdr:colOff>190500</xdr:colOff>
                    <xdr:row>134</xdr:row>
                    <xdr:rowOff>0</xdr:rowOff>
                  </from>
                  <to>
                    <xdr:col>8</xdr:col>
                    <xdr:colOff>400050</xdr:colOff>
                    <xdr:row>135</xdr:row>
                    <xdr:rowOff>9525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N294"/>
  <sheetViews>
    <sheetView zoomScaleNormal="100" workbookViewId="0">
      <selection activeCell="P21" sqref="P21"/>
    </sheetView>
  </sheetViews>
  <sheetFormatPr defaultRowHeight="12.75" x14ac:dyDescent="0.2"/>
  <cols>
    <col min="1" max="1" width="3.5703125" style="342" customWidth="1"/>
    <col min="2" max="16384" width="9.140625" style="342"/>
  </cols>
  <sheetData>
    <row r="1" spans="2:14" ht="15" x14ac:dyDescent="0.2">
      <c r="B1" s="354" t="s">
        <v>1880</v>
      </c>
    </row>
    <row r="2" spans="2:14" ht="15" x14ac:dyDescent="0.2">
      <c r="B2" s="354"/>
    </row>
    <row r="3" spans="2:14" x14ac:dyDescent="0.2">
      <c r="B3" s="344" t="s">
        <v>1882</v>
      </c>
      <c r="C3" s="344"/>
      <c r="D3" s="344"/>
      <c r="E3" s="344"/>
      <c r="F3" s="344"/>
      <c r="G3" s="344"/>
      <c r="H3" s="344"/>
      <c r="I3" s="344"/>
      <c r="J3" s="344"/>
      <c r="K3" s="344"/>
      <c r="N3" s="351"/>
    </row>
    <row r="4" spans="2:14" x14ac:dyDescent="0.2">
      <c r="B4" s="344" t="s">
        <v>1879</v>
      </c>
      <c r="C4" s="344"/>
      <c r="D4" s="344"/>
      <c r="E4" s="344"/>
      <c r="F4" s="344"/>
      <c r="G4" s="344"/>
      <c r="H4" s="344"/>
      <c r="I4" s="344"/>
      <c r="J4" s="344"/>
      <c r="K4" s="344"/>
      <c r="N4" s="353"/>
    </row>
    <row r="5" spans="2:14" x14ac:dyDescent="0.2">
      <c r="B5" s="344" t="s">
        <v>1878</v>
      </c>
      <c r="C5" s="344"/>
      <c r="D5" s="344"/>
      <c r="E5" s="344"/>
      <c r="F5" s="344"/>
      <c r="G5" s="344"/>
      <c r="H5" s="344"/>
      <c r="I5" s="344"/>
      <c r="J5" s="344"/>
      <c r="K5" s="344"/>
      <c r="N5" s="351"/>
    </row>
    <row r="6" spans="2:14" x14ac:dyDescent="0.2">
      <c r="B6" s="344"/>
      <c r="C6" s="344"/>
      <c r="D6" s="344"/>
      <c r="E6" s="344"/>
      <c r="F6" s="344"/>
      <c r="G6" s="344"/>
      <c r="H6" s="344"/>
      <c r="I6" s="344"/>
      <c r="J6" s="344"/>
      <c r="K6" s="344"/>
      <c r="N6" s="353"/>
    </row>
    <row r="7" spans="2:14" x14ac:dyDescent="0.2">
      <c r="B7" s="343" t="s">
        <v>1883</v>
      </c>
      <c r="C7" s="344"/>
      <c r="D7" s="344"/>
      <c r="E7" s="344"/>
      <c r="F7" s="344"/>
      <c r="G7" s="344"/>
      <c r="H7" s="344"/>
      <c r="I7" s="344"/>
      <c r="J7" s="344"/>
      <c r="K7" s="344"/>
      <c r="N7" s="353"/>
    </row>
    <row r="8" spans="2:14" x14ac:dyDescent="0.2">
      <c r="B8" s="344" t="s">
        <v>1877</v>
      </c>
      <c r="C8" s="344"/>
      <c r="D8" s="344"/>
      <c r="E8" s="344"/>
      <c r="F8" s="344"/>
      <c r="G8" s="344"/>
      <c r="H8" s="344"/>
      <c r="I8" s="344"/>
      <c r="J8" s="344"/>
      <c r="K8" s="344"/>
      <c r="N8" s="353"/>
    </row>
    <row r="9" spans="2:14" x14ac:dyDescent="0.2">
      <c r="B9" s="344" t="s">
        <v>1913</v>
      </c>
      <c r="C9" s="344"/>
      <c r="D9" s="344"/>
      <c r="E9" s="344"/>
      <c r="F9" s="344"/>
      <c r="G9" s="344"/>
      <c r="H9" s="344"/>
      <c r="I9" s="344"/>
      <c r="J9" s="344"/>
      <c r="K9" s="344"/>
      <c r="N9" s="353"/>
    </row>
    <row r="10" spans="2:14" x14ac:dyDescent="0.2">
      <c r="B10" s="344" t="s">
        <v>1914</v>
      </c>
      <c r="C10" s="344"/>
      <c r="D10" s="344"/>
      <c r="E10" s="344"/>
      <c r="F10" s="344"/>
      <c r="G10" s="344"/>
      <c r="H10" s="344"/>
      <c r="I10" s="344"/>
      <c r="J10" s="344"/>
      <c r="K10" s="344"/>
      <c r="N10" s="353"/>
    </row>
    <row r="11" spans="2:14" x14ac:dyDescent="0.2">
      <c r="B11" s="344" t="s">
        <v>1876</v>
      </c>
      <c r="C11" s="344"/>
      <c r="D11" s="344"/>
      <c r="E11" s="344"/>
      <c r="F11" s="344"/>
      <c r="G11" s="344"/>
      <c r="H11" s="344"/>
      <c r="I11" s="344"/>
      <c r="J11" s="344"/>
      <c r="K11" s="344"/>
      <c r="N11" s="353"/>
    </row>
    <row r="12" spans="2:14" x14ac:dyDescent="0.2">
      <c r="B12" s="344"/>
      <c r="C12" s="344"/>
      <c r="D12" s="344"/>
      <c r="E12" s="344"/>
      <c r="F12" s="344"/>
      <c r="G12" s="344"/>
      <c r="H12" s="344"/>
      <c r="I12" s="344"/>
      <c r="J12" s="344"/>
      <c r="K12" s="344"/>
      <c r="N12" s="353"/>
    </row>
    <row r="13" spans="2:14" x14ac:dyDescent="0.2">
      <c r="B13" s="343" t="s">
        <v>1884</v>
      </c>
      <c r="C13" s="344"/>
      <c r="D13" s="344"/>
      <c r="E13" s="344"/>
      <c r="F13" s="344"/>
      <c r="G13" s="344"/>
      <c r="H13" s="344"/>
      <c r="I13" s="344"/>
      <c r="J13" s="344"/>
      <c r="K13" s="344"/>
    </row>
    <row r="14" spans="2:14" x14ac:dyDescent="0.2">
      <c r="B14" s="344" t="s">
        <v>1875</v>
      </c>
      <c r="C14" s="344"/>
      <c r="D14" s="344"/>
      <c r="E14" s="344"/>
      <c r="F14" s="344"/>
      <c r="G14" s="344"/>
      <c r="H14" s="344"/>
      <c r="I14" s="344"/>
      <c r="J14" s="344"/>
      <c r="K14" s="344"/>
      <c r="N14" s="351"/>
    </row>
    <row r="15" spans="2:14" x14ac:dyDescent="0.2">
      <c r="B15" s="344" t="s">
        <v>1874</v>
      </c>
      <c r="C15" s="344"/>
      <c r="D15" s="344"/>
      <c r="E15" s="344"/>
      <c r="F15" s="344"/>
      <c r="G15" s="344"/>
      <c r="H15" s="344"/>
      <c r="I15" s="344"/>
      <c r="J15" s="344"/>
      <c r="K15" s="344"/>
      <c r="N15" s="353"/>
    </row>
    <row r="16" spans="2:14" x14ac:dyDescent="0.2">
      <c r="B16" s="344" t="s">
        <v>1873</v>
      </c>
      <c r="C16" s="344"/>
      <c r="D16" s="344"/>
      <c r="E16" s="344"/>
      <c r="F16" s="344"/>
      <c r="G16" s="344"/>
      <c r="H16" s="344"/>
      <c r="I16" s="344"/>
      <c r="J16" s="344"/>
      <c r="K16" s="344"/>
    </row>
    <row r="17" spans="2:14" x14ac:dyDescent="0.2">
      <c r="B17" s="344" t="s">
        <v>1872</v>
      </c>
      <c r="C17" s="344"/>
      <c r="D17" s="344"/>
      <c r="E17" s="344"/>
      <c r="F17" s="344"/>
      <c r="G17" s="344"/>
      <c r="H17" s="344"/>
      <c r="I17" s="344"/>
      <c r="J17" s="344"/>
      <c r="K17" s="344"/>
      <c r="N17" s="351"/>
    </row>
    <row r="18" spans="2:14" x14ac:dyDescent="0.2">
      <c r="B18" s="344"/>
      <c r="C18" s="344"/>
      <c r="D18" s="344"/>
      <c r="E18" s="344"/>
      <c r="F18" s="344"/>
      <c r="G18" s="344"/>
      <c r="H18" s="344"/>
      <c r="I18" s="344"/>
      <c r="J18" s="344"/>
      <c r="K18" s="344"/>
      <c r="N18" s="353"/>
    </row>
    <row r="19" spans="2:14" x14ac:dyDescent="0.2">
      <c r="B19" s="343" t="s">
        <v>1885</v>
      </c>
      <c r="C19" s="344"/>
      <c r="D19" s="344"/>
      <c r="E19" s="344"/>
      <c r="F19" s="344"/>
      <c r="G19" s="344"/>
      <c r="H19" s="344"/>
      <c r="I19" s="344"/>
      <c r="J19" s="344"/>
      <c r="K19" s="344"/>
    </row>
    <row r="20" spans="2:14" x14ac:dyDescent="0.2">
      <c r="B20" s="344" t="s">
        <v>1871</v>
      </c>
      <c r="C20" s="344"/>
      <c r="D20" s="344"/>
      <c r="E20" s="344"/>
      <c r="F20" s="344"/>
      <c r="G20" s="344"/>
      <c r="H20" s="344"/>
      <c r="I20" s="344"/>
      <c r="J20" s="344"/>
      <c r="K20" s="344"/>
    </row>
    <row r="21" spans="2:14" x14ac:dyDescent="0.2">
      <c r="B21" s="344"/>
      <c r="C21" s="344"/>
      <c r="D21" s="344"/>
      <c r="E21" s="344"/>
      <c r="F21" s="344"/>
      <c r="G21" s="344"/>
      <c r="H21" s="344"/>
      <c r="I21" s="344"/>
      <c r="J21" s="344"/>
      <c r="K21" s="344"/>
    </row>
    <row r="22" spans="2:14" x14ac:dyDescent="0.2">
      <c r="B22" s="343" t="s">
        <v>1886</v>
      </c>
      <c r="C22" s="344"/>
      <c r="D22" s="344"/>
      <c r="E22" s="344"/>
      <c r="F22" s="344"/>
      <c r="G22" s="344"/>
      <c r="H22" s="344"/>
      <c r="I22" s="344"/>
      <c r="J22" s="344"/>
      <c r="K22" s="344"/>
    </row>
    <row r="23" spans="2:14" x14ac:dyDescent="0.2">
      <c r="B23" s="344" t="s">
        <v>1870</v>
      </c>
      <c r="C23" s="344"/>
      <c r="D23" s="344"/>
      <c r="E23" s="344"/>
      <c r="F23" s="344"/>
      <c r="G23" s="344"/>
      <c r="H23" s="344"/>
      <c r="I23" s="344"/>
      <c r="J23" s="344"/>
      <c r="K23" s="344"/>
    </row>
    <row r="24" spans="2:14" x14ac:dyDescent="0.2">
      <c r="B24" s="344"/>
      <c r="C24" s="344"/>
      <c r="D24" s="344"/>
      <c r="E24" s="344"/>
      <c r="F24" s="344"/>
      <c r="G24" s="344"/>
      <c r="H24" s="344"/>
      <c r="I24" s="344"/>
      <c r="J24" s="344"/>
      <c r="K24" s="344"/>
    </row>
    <row r="25" spans="2:14" x14ac:dyDescent="0.2">
      <c r="B25" s="343" t="s">
        <v>1887</v>
      </c>
      <c r="C25" s="344"/>
      <c r="D25" s="344"/>
      <c r="E25" s="344"/>
      <c r="F25" s="344"/>
      <c r="G25" s="344"/>
      <c r="H25" s="344"/>
      <c r="I25" s="344"/>
      <c r="J25" s="344"/>
      <c r="K25" s="344"/>
    </row>
    <row r="26" spans="2:14" x14ac:dyDescent="0.2">
      <c r="B26" s="344" t="s">
        <v>1869</v>
      </c>
      <c r="C26" s="344"/>
      <c r="D26" s="344"/>
      <c r="E26" s="344"/>
      <c r="F26" s="344"/>
      <c r="G26" s="344"/>
      <c r="H26" s="344"/>
      <c r="I26" s="344"/>
      <c r="J26" s="344"/>
      <c r="K26" s="344"/>
      <c r="N26" s="351"/>
    </row>
    <row r="27" spans="2:14" x14ac:dyDescent="0.2">
      <c r="B27" s="344" t="s">
        <v>1868</v>
      </c>
      <c r="C27" s="344"/>
      <c r="D27" s="344"/>
      <c r="E27" s="344"/>
      <c r="F27" s="344"/>
      <c r="G27" s="344"/>
      <c r="H27" s="344"/>
      <c r="I27" s="344"/>
      <c r="J27" s="344"/>
      <c r="K27" s="344"/>
      <c r="N27" s="353"/>
    </row>
    <row r="28" spans="2:14" x14ac:dyDescent="0.2">
      <c r="B28" s="344"/>
      <c r="C28" s="344"/>
      <c r="D28" s="344"/>
      <c r="E28" s="344"/>
      <c r="F28" s="344"/>
      <c r="G28" s="344"/>
      <c r="H28" s="344"/>
      <c r="I28" s="344"/>
      <c r="J28" s="344"/>
      <c r="K28" s="344"/>
    </row>
    <row r="29" spans="2:14" x14ac:dyDescent="0.2">
      <c r="B29" s="344" t="s">
        <v>1888</v>
      </c>
      <c r="C29" s="344"/>
      <c r="D29" s="344"/>
      <c r="E29" s="344"/>
      <c r="F29" s="344"/>
      <c r="G29" s="344"/>
      <c r="H29" s="344"/>
      <c r="I29" s="344"/>
      <c r="J29" s="344"/>
      <c r="K29" s="344"/>
      <c r="N29" s="350"/>
    </row>
    <row r="30" spans="2:14" x14ac:dyDescent="0.2">
      <c r="B30" s="344" t="s">
        <v>1867</v>
      </c>
      <c r="C30" s="344"/>
      <c r="D30" s="344"/>
      <c r="E30" s="344"/>
      <c r="F30" s="344"/>
      <c r="G30" s="344"/>
      <c r="H30" s="344"/>
      <c r="I30" s="344"/>
      <c r="J30" s="344"/>
      <c r="K30" s="344"/>
      <c r="N30" s="352"/>
    </row>
    <row r="31" spans="2:14" x14ac:dyDescent="0.2">
      <c r="B31" s="344"/>
      <c r="C31" s="344"/>
      <c r="D31" s="344"/>
      <c r="E31" s="344"/>
      <c r="F31" s="344"/>
      <c r="G31" s="344"/>
      <c r="H31" s="344"/>
      <c r="I31" s="344"/>
      <c r="J31" s="344"/>
      <c r="K31" s="344"/>
      <c r="N31" s="350"/>
    </row>
    <row r="32" spans="2:14" x14ac:dyDescent="0.2">
      <c r="B32" s="344" t="s">
        <v>1889</v>
      </c>
      <c r="C32" s="344"/>
      <c r="D32" s="344"/>
      <c r="E32" s="344"/>
      <c r="F32" s="344"/>
      <c r="G32" s="344"/>
      <c r="H32" s="344"/>
      <c r="I32" s="344"/>
      <c r="J32" s="344"/>
      <c r="K32" s="344"/>
      <c r="N32" s="350"/>
    </row>
    <row r="33" spans="2:14" x14ac:dyDescent="0.2">
      <c r="B33" s="344" t="s">
        <v>1866</v>
      </c>
      <c r="C33" s="344"/>
      <c r="D33" s="344"/>
      <c r="E33" s="344"/>
      <c r="F33" s="344"/>
      <c r="G33" s="344"/>
      <c r="H33" s="344"/>
      <c r="I33" s="344"/>
      <c r="J33" s="344"/>
      <c r="K33" s="344"/>
      <c r="N33" s="350"/>
    </row>
    <row r="34" spans="2:14" x14ac:dyDescent="0.2">
      <c r="B34" s="344" t="s">
        <v>1865</v>
      </c>
      <c r="C34" s="344"/>
      <c r="D34" s="344"/>
      <c r="E34" s="344"/>
      <c r="F34" s="344"/>
      <c r="G34" s="344"/>
      <c r="H34" s="344"/>
      <c r="I34" s="344"/>
      <c r="J34" s="344"/>
      <c r="K34" s="344"/>
      <c r="N34" s="350"/>
    </row>
    <row r="35" spans="2:14" x14ac:dyDescent="0.2">
      <c r="B35" s="344" t="s">
        <v>1864</v>
      </c>
      <c r="C35" s="344"/>
      <c r="D35" s="344"/>
      <c r="E35" s="344"/>
      <c r="F35" s="344"/>
      <c r="G35" s="344"/>
      <c r="H35" s="344"/>
      <c r="I35" s="344"/>
      <c r="J35" s="344"/>
      <c r="K35" s="344"/>
      <c r="N35" s="350"/>
    </row>
    <row r="36" spans="2:14" x14ac:dyDescent="0.2">
      <c r="B36" s="344" t="s">
        <v>1863</v>
      </c>
      <c r="C36" s="344"/>
      <c r="D36" s="344"/>
      <c r="E36" s="344"/>
      <c r="F36" s="344"/>
      <c r="G36" s="344"/>
      <c r="H36" s="344"/>
      <c r="I36" s="344"/>
      <c r="J36" s="344"/>
      <c r="K36" s="344"/>
      <c r="N36" s="350"/>
    </row>
    <row r="37" spans="2:14" x14ac:dyDescent="0.2">
      <c r="B37" s="344" t="s">
        <v>1862</v>
      </c>
      <c r="C37" s="344"/>
      <c r="D37" s="344"/>
      <c r="E37" s="344"/>
      <c r="F37" s="344"/>
      <c r="G37" s="344"/>
      <c r="H37" s="344"/>
      <c r="I37" s="344"/>
      <c r="J37" s="344"/>
      <c r="K37" s="344"/>
      <c r="N37" s="350"/>
    </row>
    <row r="38" spans="2:14" x14ac:dyDescent="0.2">
      <c r="B38" s="344"/>
      <c r="C38" s="344"/>
      <c r="D38" s="344"/>
      <c r="E38" s="344"/>
      <c r="F38" s="344"/>
      <c r="G38" s="344"/>
      <c r="H38" s="344"/>
      <c r="I38" s="344"/>
      <c r="J38" s="344"/>
      <c r="K38" s="344"/>
      <c r="N38" s="350"/>
    </row>
    <row r="39" spans="2:14" x14ac:dyDescent="0.2">
      <c r="B39" s="344" t="s">
        <v>1890</v>
      </c>
      <c r="C39" s="344"/>
      <c r="D39" s="344"/>
      <c r="E39" s="344"/>
      <c r="F39" s="344"/>
      <c r="G39" s="344"/>
      <c r="H39" s="344"/>
      <c r="I39" s="344"/>
      <c r="J39" s="344"/>
      <c r="K39" s="344"/>
      <c r="N39" s="352"/>
    </row>
    <row r="40" spans="2:14" x14ac:dyDescent="0.2">
      <c r="B40" s="344" t="s">
        <v>1861</v>
      </c>
      <c r="C40" s="344"/>
      <c r="D40" s="344"/>
      <c r="E40" s="344"/>
      <c r="F40" s="344"/>
      <c r="G40" s="344"/>
      <c r="H40" s="344"/>
      <c r="I40" s="344"/>
      <c r="J40" s="344"/>
      <c r="K40" s="344"/>
      <c r="N40" s="351"/>
    </row>
    <row r="41" spans="2:14" x14ac:dyDescent="0.2">
      <c r="B41" s="344" t="s">
        <v>1860</v>
      </c>
      <c r="C41" s="344"/>
      <c r="D41" s="344"/>
      <c r="E41" s="344"/>
      <c r="F41" s="344"/>
      <c r="G41" s="344"/>
      <c r="H41" s="344"/>
      <c r="I41" s="344"/>
      <c r="J41" s="344"/>
      <c r="K41" s="344"/>
      <c r="N41" s="350"/>
    </row>
    <row r="42" spans="2:14" x14ac:dyDescent="0.2">
      <c r="B42" s="344"/>
      <c r="C42" s="344"/>
      <c r="D42" s="344"/>
      <c r="E42" s="344"/>
      <c r="F42" s="344"/>
      <c r="G42" s="344"/>
      <c r="H42" s="344"/>
      <c r="I42" s="344"/>
      <c r="J42" s="344"/>
      <c r="K42" s="344"/>
      <c r="N42" s="352"/>
    </row>
    <row r="43" spans="2:14" x14ac:dyDescent="0.2">
      <c r="B43" s="344" t="s">
        <v>1891</v>
      </c>
      <c r="C43" s="344"/>
      <c r="D43" s="344"/>
      <c r="E43" s="344"/>
      <c r="F43" s="344"/>
      <c r="G43" s="344"/>
      <c r="H43" s="344"/>
      <c r="I43" s="344"/>
      <c r="J43" s="344"/>
      <c r="K43" s="344"/>
      <c r="N43" s="350"/>
    </row>
    <row r="44" spans="2:14" x14ac:dyDescent="0.2">
      <c r="B44" s="344" t="s">
        <v>1859</v>
      </c>
      <c r="C44" s="344"/>
      <c r="D44" s="344"/>
      <c r="E44" s="344"/>
      <c r="F44" s="344"/>
      <c r="G44" s="344"/>
      <c r="H44" s="344"/>
      <c r="I44" s="344"/>
      <c r="J44" s="344"/>
      <c r="K44" s="344"/>
      <c r="N44" s="352"/>
    </row>
    <row r="45" spans="2:14" x14ac:dyDescent="0.2">
      <c r="B45" s="344" t="s">
        <v>1858</v>
      </c>
      <c r="C45" s="344"/>
      <c r="D45" s="344"/>
      <c r="E45" s="344"/>
      <c r="F45" s="344"/>
      <c r="G45" s="344"/>
      <c r="H45" s="344"/>
      <c r="I45" s="344"/>
      <c r="J45" s="344"/>
      <c r="K45" s="344"/>
      <c r="N45" s="351"/>
    </row>
    <row r="46" spans="2:14" x14ac:dyDescent="0.2">
      <c r="B46" s="344" t="s">
        <v>1857</v>
      </c>
      <c r="C46" s="344"/>
      <c r="D46" s="344"/>
      <c r="E46" s="344"/>
      <c r="F46" s="344"/>
      <c r="G46" s="344"/>
      <c r="H46" s="344"/>
      <c r="I46" s="344"/>
      <c r="J46" s="344"/>
      <c r="K46" s="344"/>
      <c r="N46" s="350"/>
    </row>
    <row r="47" spans="2:14" x14ac:dyDescent="0.2">
      <c r="B47" s="344" t="s">
        <v>1856</v>
      </c>
      <c r="C47" s="344"/>
      <c r="D47" s="344"/>
      <c r="E47" s="344"/>
      <c r="F47" s="344"/>
      <c r="G47" s="344"/>
      <c r="H47" s="344"/>
      <c r="I47" s="344"/>
      <c r="J47" s="344"/>
      <c r="K47" s="344"/>
      <c r="N47" s="352"/>
    </row>
    <row r="48" spans="2:14" x14ac:dyDescent="0.2">
      <c r="B48" s="344"/>
      <c r="C48" s="344"/>
      <c r="D48" s="344"/>
      <c r="E48" s="344"/>
      <c r="F48" s="344"/>
      <c r="G48" s="344"/>
      <c r="H48" s="344"/>
      <c r="I48" s="344"/>
      <c r="J48" s="344"/>
      <c r="K48" s="344"/>
      <c r="N48" s="350"/>
    </row>
    <row r="49" spans="2:14" x14ac:dyDescent="0.2">
      <c r="B49" s="343" t="s">
        <v>1855</v>
      </c>
      <c r="C49" s="344"/>
      <c r="D49" s="344"/>
      <c r="E49" s="344"/>
      <c r="F49" s="344"/>
      <c r="G49" s="344"/>
      <c r="H49" s="344"/>
      <c r="I49" s="344"/>
      <c r="J49" s="344"/>
      <c r="K49" s="344"/>
      <c r="N49" s="352"/>
    </row>
    <row r="50" spans="2:14" x14ac:dyDescent="0.2">
      <c r="B50" s="344" t="s">
        <v>1854</v>
      </c>
      <c r="C50" s="344"/>
      <c r="D50" s="344"/>
      <c r="E50" s="344"/>
      <c r="F50" s="344"/>
      <c r="G50" s="344"/>
      <c r="H50" s="344"/>
      <c r="I50" s="344"/>
      <c r="J50" s="344"/>
      <c r="K50" s="344"/>
      <c r="N50" s="351"/>
    </row>
    <row r="51" spans="2:14" x14ac:dyDescent="0.2">
      <c r="B51" s="344" t="s">
        <v>1853</v>
      </c>
      <c r="C51" s="344"/>
      <c r="D51" s="344"/>
      <c r="E51" s="344"/>
      <c r="F51" s="344"/>
      <c r="G51" s="344"/>
      <c r="H51" s="344"/>
      <c r="I51" s="344"/>
      <c r="J51" s="344"/>
      <c r="K51" s="344"/>
      <c r="N51" s="350"/>
    </row>
    <row r="52" spans="2:14" x14ac:dyDescent="0.2">
      <c r="B52" s="344" t="s">
        <v>1852</v>
      </c>
      <c r="C52" s="344"/>
      <c r="D52" s="344"/>
      <c r="E52" s="344"/>
      <c r="F52" s="344"/>
      <c r="G52" s="344"/>
      <c r="H52" s="344"/>
      <c r="I52" s="344"/>
      <c r="J52" s="344"/>
      <c r="K52" s="344"/>
    </row>
    <row r="53" spans="2:14" x14ac:dyDescent="0.2">
      <c r="B53" s="344" t="s">
        <v>1851</v>
      </c>
      <c r="C53" s="344"/>
      <c r="D53" s="344"/>
      <c r="E53" s="344"/>
      <c r="F53" s="344"/>
      <c r="G53" s="344"/>
      <c r="H53" s="344"/>
      <c r="I53" s="344"/>
      <c r="J53" s="344"/>
      <c r="K53" s="344"/>
    </row>
    <row r="54" spans="2:14" ht="20.25" x14ac:dyDescent="0.2">
      <c r="B54" s="344" t="s">
        <v>1850</v>
      </c>
      <c r="C54" s="344"/>
      <c r="D54" s="344"/>
      <c r="E54" s="344"/>
      <c r="F54" s="344"/>
      <c r="G54" s="344"/>
      <c r="H54" s="344"/>
      <c r="I54" s="344"/>
      <c r="J54" s="344"/>
      <c r="K54" s="344"/>
      <c r="N54" s="349"/>
    </row>
    <row r="55" spans="2:14" x14ac:dyDescent="0.2">
      <c r="B55" s="344" t="s">
        <v>1849</v>
      </c>
      <c r="C55" s="344"/>
      <c r="D55" s="344"/>
      <c r="E55" s="344"/>
      <c r="F55" s="344"/>
      <c r="G55" s="344"/>
      <c r="H55" s="344"/>
      <c r="I55" s="344"/>
      <c r="J55" s="344"/>
      <c r="K55" s="344"/>
      <c r="N55" s="348"/>
    </row>
    <row r="56" spans="2:14" x14ac:dyDescent="0.2">
      <c r="B56" s="344"/>
      <c r="C56" s="344"/>
      <c r="D56" s="344"/>
      <c r="E56" s="344"/>
      <c r="F56" s="344"/>
      <c r="G56" s="344"/>
      <c r="H56" s="344"/>
      <c r="I56" s="344"/>
      <c r="J56" s="344"/>
      <c r="K56" s="344"/>
    </row>
    <row r="57" spans="2:14" x14ac:dyDescent="0.2">
      <c r="B57" s="344" t="s">
        <v>1892</v>
      </c>
      <c r="C57" s="344"/>
      <c r="D57" s="344"/>
      <c r="E57" s="344"/>
      <c r="F57" s="344"/>
      <c r="G57" s="344"/>
      <c r="H57" s="344"/>
      <c r="I57" s="344"/>
      <c r="J57" s="344"/>
      <c r="K57" s="344"/>
    </row>
    <row r="58" spans="2:14" x14ac:dyDescent="0.2">
      <c r="B58" s="344" t="s">
        <v>1848</v>
      </c>
      <c r="C58" s="344"/>
      <c r="D58" s="344"/>
      <c r="E58" s="344"/>
      <c r="F58" s="344"/>
      <c r="G58" s="344"/>
      <c r="H58" s="344"/>
      <c r="I58" s="344"/>
      <c r="J58" s="344"/>
      <c r="K58" s="344"/>
    </row>
    <row r="59" spans="2:14" x14ac:dyDescent="0.2">
      <c r="B59" s="344" t="s">
        <v>1847</v>
      </c>
      <c r="C59" s="344"/>
      <c r="D59" s="344"/>
      <c r="E59" s="344"/>
      <c r="F59" s="344"/>
      <c r="G59" s="344"/>
      <c r="H59" s="344"/>
      <c r="I59" s="344"/>
      <c r="J59" s="344"/>
      <c r="K59" s="344"/>
    </row>
    <row r="60" spans="2:14" x14ac:dyDescent="0.2">
      <c r="B60" s="344"/>
      <c r="C60" s="344"/>
      <c r="D60" s="344"/>
      <c r="E60" s="344"/>
      <c r="F60" s="344"/>
      <c r="G60" s="344"/>
      <c r="H60" s="344"/>
      <c r="I60" s="344"/>
      <c r="J60" s="344"/>
      <c r="K60" s="344"/>
    </row>
    <row r="61" spans="2:14" x14ac:dyDescent="0.2">
      <c r="B61" s="344" t="s">
        <v>1893</v>
      </c>
      <c r="C61" s="344"/>
      <c r="D61" s="344"/>
      <c r="E61" s="344"/>
      <c r="F61" s="344"/>
      <c r="G61" s="344"/>
      <c r="H61" s="344"/>
      <c r="I61" s="344"/>
      <c r="J61" s="344"/>
      <c r="K61" s="344"/>
    </row>
    <row r="62" spans="2:14" x14ac:dyDescent="0.2">
      <c r="B62" s="344" t="s">
        <v>1846</v>
      </c>
      <c r="C62" s="344"/>
      <c r="D62" s="344"/>
      <c r="E62" s="344"/>
      <c r="F62" s="344"/>
      <c r="G62" s="344"/>
      <c r="H62" s="344"/>
      <c r="I62" s="344"/>
      <c r="J62" s="344"/>
      <c r="K62" s="344"/>
    </row>
    <row r="63" spans="2:14" x14ac:dyDescent="0.2">
      <c r="B63" s="344" t="s">
        <v>1845</v>
      </c>
      <c r="C63" s="344"/>
      <c r="D63" s="344"/>
      <c r="E63" s="344"/>
      <c r="F63" s="344"/>
      <c r="G63" s="344"/>
      <c r="H63" s="344"/>
      <c r="I63" s="344"/>
      <c r="J63" s="344"/>
      <c r="K63" s="344"/>
    </row>
    <row r="64" spans="2:14" x14ac:dyDescent="0.2">
      <c r="B64" s="344"/>
      <c r="C64" s="344"/>
      <c r="D64" s="344"/>
      <c r="E64" s="344"/>
      <c r="F64" s="344"/>
      <c r="G64" s="344"/>
      <c r="H64" s="344"/>
      <c r="I64" s="344"/>
      <c r="J64" s="344"/>
      <c r="K64" s="344"/>
    </row>
    <row r="65" spans="2:11" x14ac:dyDescent="0.2">
      <c r="B65" s="343" t="s">
        <v>807</v>
      </c>
      <c r="C65" s="344"/>
      <c r="D65" s="344"/>
      <c r="E65" s="344"/>
      <c r="F65" s="344"/>
      <c r="G65" s="344"/>
      <c r="H65" s="344"/>
      <c r="I65" s="344"/>
      <c r="J65" s="344"/>
      <c r="K65" s="344"/>
    </row>
    <row r="66" spans="2:11" x14ac:dyDescent="0.2">
      <c r="B66" s="347" t="s">
        <v>1894</v>
      </c>
      <c r="C66" s="344"/>
      <c r="D66" s="344"/>
      <c r="E66" s="344"/>
      <c r="F66" s="344"/>
      <c r="G66" s="344"/>
      <c r="H66" s="344"/>
      <c r="I66" s="344"/>
      <c r="J66" s="344"/>
      <c r="K66" s="344"/>
    </row>
    <row r="67" spans="2:11" x14ac:dyDescent="0.2">
      <c r="B67" s="346" t="s">
        <v>1844</v>
      </c>
      <c r="C67" s="344"/>
      <c r="D67" s="344"/>
      <c r="E67" s="344"/>
      <c r="F67" s="344"/>
      <c r="G67" s="344"/>
      <c r="H67" s="344"/>
      <c r="I67" s="344"/>
      <c r="J67" s="344"/>
      <c r="K67" s="344"/>
    </row>
    <row r="68" spans="2:11" x14ac:dyDescent="0.2">
      <c r="B68" s="346" t="s">
        <v>1843</v>
      </c>
      <c r="C68" s="344"/>
      <c r="D68" s="344"/>
      <c r="E68" s="344"/>
      <c r="F68" s="344"/>
      <c r="G68" s="344"/>
      <c r="H68" s="344"/>
      <c r="I68" s="344"/>
      <c r="J68" s="344"/>
      <c r="K68" s="344"/>
    </row>
    <row r="69" spans="2:11" x14ac:dyDescent="0.2">
      <c r="B69" s="346" t="s">
        <v>1842</v>
      </c>
      <c r="C69" s="344"/>
      <c r="D69" s="344"/>
      <c r="E69" s="344"/>
      <c r="F69" s="344"/>
      <c r="G69" s="344"/>
      <c r="H69" s="344"/>
      <c r="I69" s="344"/>
      <c r="J69" s="344"/>
      <c r="K69" s="344"/>
    </row>
    <row r="70" spans="2:11" x14ac:dyDescent="0.2">
      <c r="B70" s="346" t="s">
        <v>1841</v>
      </c>
      <c r="C70" s="344"/>
      <c r="D70" s="344"/>
      <c r="E70" s="344"/>
      <c r="F70" s="344"/>
      <c r="G70" s="344"/>
      <c r="H70" s="344"/>
      <c r="I70" s="344"/>
      <c r="J70" s="344"/>
      <c r="K70" s="344"/>
    </row>
    <row r="71" spans="2:11" x14ac:dyDescent="0.2">
      <c r="B71" s="346" t="s">
        <v>1840</v>
      </c>
      <c r="C71" s="344"/>
      <c r="D71" s="344"/>
      <c r="E71" s="344"/>
      <c r="F71" s="344"/>
      <c r="G71" s="344"/>
      <c r="H71" s="344"/>
      <c r="I71" s="344"/>
      <c r="J71" s="344"/>
      <c r="K71" s="344"/>
    </row>
    <row r="72" spans="2:11" x14ac:dyDescent="0.2">
      <c r="B72" s="346" t="s">
        <v>1839</v>
      </c>
      <c r="C72" s="344"/>
      <c r="D72" s="344"/>
      <c r="E72" s="344"/>
      <c r="F72" s="344"/>
      <c r="G72" s="344"/>
      <c r="H72" s="344"/>
      <c r="I72" s="344"/>
      <c r="J72" s="344"/>
      <c r="K72" s="344"/>
    </row>
    <row r="73" spans="2:11" x14ac:dyDescent="0.2">
      <c r="B73" s="346" t="s">
        <v>1838</v>
      </c>
      <c r="C73" s="344"/>
      <c r="D73" s="344"/>
      <c r="E73" s="344"/>
      <c r="F73" s="344"/>
      <c r="G73" s="344"/>
      <c r="H73" s="344"/>
      <c r="I73" s="344"/>
      <c r="J73" s="344"/>
      <c r="K73" s="344"/>
    </row>
    <row r="74" spans="2:11" x14ac:dyDescent="0.2">
      <c r="B74" s="346" t="s">
        <v>1837</v>
      </c>
      <c r="C74" s="344"/>
      <c r="D74" s="344"/>
      <c r="E74" s="344"/>
      <c r="F74" s="344"/>
      <c r="G74" s="344"/>
      <c r="H74" s="344"/>
      <c r="I74" s="344"/>
      <c r="J74" s="344"/>
      <c r="K74" s="344"/>
    </row>
    <row r="75" spans="2:11" x14ac:dyDescent="0.2">
      <c r="B75" s="346" t="s">
        <v>1836</v>
      </c>
      <c r="C75" s="344"/>
      <c r="D75" s="344"/>
      <c r="E75" s="344"/>
      <c r="F75" s="344"/>
      <c r="G75" s="344"/>
      <c r="H75" s="344"/>
      <c r="I75" s="344"/>
      <c r="J75" s="344"/>
      <c r="K75" s="344"/>
    </row>
    <row r="76" spans="2:11" x14ac:dyDescent="0.2">
      <c r="B76" s="346" t="s">
        <v>1835</v>
      </c>
      <c r="C76" s="344"/>
      <c r="D76" s="344"/>
      <c r="E76" s="344"/>
      <c r="F76" s="344"/>
      <c r="G76" s="344"/>
      <c r="H76" s="344"/>
      <c r="I76" s="344"/>
      <c r="J76" s="344"/>
      <c r="K76" s="344"/>
    </row>
    <row r="77" spans="2:11" x14ac:dyDescent="0.2">
      <c r="B77" s="346" t="s">
        <v>1834</v>
      </c>
      <c r="C77" s="344"/>
      <c r="D77" s="344"/>
      <c r="E77" s="344"/>
      <c r="F77" s="344"/>
      <c r="G77" s="344"/>
      <c r="H77" s="344"/>
      <c r="I77" s="344"/>
      <c r="J77" s="344"/>
      <c r="K77" s="344"/>
    </row>
    <row r="78" spans="2:11" x14ac:dyDescent="0.2">
      <c r="B78" s="346" t="s">
        <v>1833</v>
      </c>
      <c r="C78" s="344"/>
      <c r="D78" s="344"/>
      <c r="E78" s="344"/>
      <c r="F78" s="344"/>
      <c r="G78" s="344"/>
      <c r="H78" s="344"/>
      <c r="I78" s="344"/>
      <c r="J78" s="344"/>
      <c r="K78" s="344"/>
    </row>
    <row r="79" spans="2:11" x14ac:dyDescent="0.2">
      <c r="B79" s="346" t="s">
        <v>1832</v>
      </c>
      <c r="C79" s="344"/>
      <c r="D79" s="344"/>
      <c r="E79" s="344"/>
      <c r="F79" s="344"/>
      <c r="G79" s="344"/>
      <c r="H79" s="344"/>
      <c r="I79" s="344"/>
      <c r="J79" s="344"/>
      <c r="K79" s="344"/>
    </row>
    <row r="80" spans="2:11" x14ac:dyDescent="0.2">
      <c r="B80" s="346" t="s">
        <v>1831</v>
      </c>
      <c r="C80" s="344"/>
      <c r="D80" s="344"/>
      <c r="E80" s="344"/>
      <c r="F80" s="344"/>
      <c r="G80" s="344"/>
      <c r="H80" s="344"/>
      <c r="I80" s="344"/>
      <c r="J80" s="344"/>
      <c r="K80" s="344"/>
    </row>
    <row r="81" spans="2:11" x14ac:dyDescent="0.2">
      <c r="B81" s="346" t="s">
        <v>1830</v>
      </c>
      <c r="C81" s="344"/>
      <c r="D81" s="344"/>
      <c r="E81" s="344"/>
      <c r="F81" s="344"/>
      <c r="G81" s="344"/>
      <c r="H81" s="344"/>
      <c r="I81" s="344"/>
      <c r="J81" s="344"/>
      <c r="K81" s="344"/>
    </row>
    <row r="82" spans="2:11" x14ac:dyDescent="0.2">
      <c r="B82" s="346" t="s">
        <v>1829</v>
      </c>
      <c r="C82" s="344"/>
      <c r="D82" s="344"/>
      <c r="E82" s="344"/>
      <c r="F82" s="344"/>
      <c r="G82" s="344"/>
      <c r="H82" s="344"/>
      <c r="I82" s="344"/>
      <c r="J82" s="344"/>
      <c r="K82" s="344"/>
    </row>
    <row r="83" spans="2:11" x14ac:dyDescent="0.2">
      <c r="B83" s="346" t="s">
        <v>1828</v>
      </c>
      <c r="C83" s="344"/>
      <c r="D83" s="344"/>
      <c r="E83" s="344"/>
      <c r="F83" s="344"/>
      <c r="G83" s="344"/>
      <c r="H83" s="344"/>
      <c r="I83" s="344"/>
      <c r="J83" s="344"/>
      <c r="K83" s="344"/>
    </row>
    <row r="84" spans="2:11" x14ac:dyDescent="0.2">
      <c r="B84" s="346" t="s">
        <v>1827</v>
      </c>
      <c r="C84" s="344"/>
      <c r="D84" s="344"/>
      <c r="E84" s="344"/>
      <c r="F84" s="344"/>
      <c r="G84" s="344"/>
      <c r="H84" s="344"/>
      <c r="I84" s="344"/>
      <c r="J84" s="344"/>
      <c r="K84" s="344"/>
    </row>
    <row r="85" spans="2:11" x14ac:dyDescent="0.2">
      <c r="B85" s="346" t="s">
        <v>1826</v>
      </c>
      <c r="C85" s="344"/>
      <c r="D85" s="344"/>
      <c r="E85" s="344"/>
      <c r="F85" s="344"/>
      <c r="G85" s="344"/>
      <c r="H85" s="344"/>
      <c r="I85" s="344"/>
      <c r="J85" s="344"/>
      <c r="K85" s="344"/>
    </row>
    <row r="86" spans="2:11" x14ac:dyDescent="0.2">
      <c r="B86" s="345" t="s">
        <v>1825</v>
      </c>
      <c r="C86" s="344"/>
      <c r="D86" s="344"/>
      <c r="E86" s="344"/>
      <c r="F86" s="344"/>
      <c r="G86" s="344"/>
      <c r="H86" s="344"/>
      <c r="I86" s="344"/>
      <c r="J86" s="344"/>
      <c r="K86" s="344"/>
    </row>
    <row r="87" spans="2:11" x14ac:dyDescent="0.2">
      <c r="B87" s="344" t="s">
        <v>1824</v>
      </c>
      <c r="C87" s="344"/>
      <c r="D87" s="344"/>
      <c r="E87" s="344"/>
      <c r="F87" s="344"/>
      <c r="G87" s="344"/>
      <c r="H87" s="344"/>
      <c r="I87" s="344"/>
      <c r="J87" s="344"/>
      <c r="K87" s="344"/>
    </row>
    <row r="88" spans="2:11" x14ac:dyDescent="0.2">
      <c r="B88" s="344" t="s">
        <v>1823</v>
      </c>
      <c r="C88" s="344"/>
      <c r="D88" s="344"/>
      <c r="E88" s="344"/>
      <c r="F88" s="344"/>
      <c r="G88" s="344"/>
      <c r="H88" s="344"/>
      <c r="I88" s="344"/>
      <c r="J88" s="344"/>
      <c r="K88" s="344"/>
    </row>
    <row r="89" spans="2:11" x14ac:dyDescent="0.2">
      <c r="B89" s="344" t="s">
        <v>1822</v>
      </c>
      <c r="C89" s="344"/>
      <c r="D89" s="344"/>
      <c r="E89" s="344"/>
      <c r="F89" s="344"/>
      <c r="G89" s="344"/>
      <c r="H89" s="344"/>
      <c r="I89" s="344"/>
      <c r="J89" s="344"/>
      <c r="K89" s="344"/>
    </row>
    <row r="90" spans="2:11" x14ac:dyDescent="0.2">
      <c r="B90" s="344" t="s">
        <v>1821</v>
      </c>
      <c r="C90" s="344"/>
      <c r="D90" s="344"/>
      <c r="E90" s="344"/>
      <c r="F90" s="344"/>
      <c r="G90" s="344"/>
      <c r="H90" s="344"/>
      <c r="I90" s="344"/>
      <c r="J90" s="344"/>
      <c r="K90" s="344"/>
    </row>
    <row r="91" spans="2:11" x14ac:dyDescent="0.2">
      <c r="B91" s="344" t="s">
        <v>1820</v>
      </c>
      <c r="C91" s="344"/>
      <c r="D91" s="344"/>
      <c r="E91" s="344"/>
      <c r="F91" s="344"/>
      <c r="G91" s="344"/>
      <c r="H91" s="344"/>
      <c r="I91" s="344"/>
      <c r="J91" s="344"/>
      <c r="K91" s="344"/>
    </row>
    <row r="92" spans="2:11" x14ac:dyDescent="0.2">
      <c r="B92" s="344" t="s">
        <v>1819</v>
      </c>
      <c r="C92" s="344"/>
      <c r="D92" s="344"/>
      <c r="E92" s="344"/>
      <c r="F92" s="344"/>
      <c r="G92" s="344"/>
      <c r="H92" s="344"/>
      <c r="I92" s="344"/>
      <c r="J92" s="344"/>
      <c r="K92" s="344"/>
    </row>
    <row r="93" spans="2:11" x14ac:dyDescent="0.2">
      <c r="B93" s="344" t="s">
        <v>1818</v>
      </c>
      <c r="C93" s="344"/>
      <c r="D93" s="344"/>
      <c r="E93" s="344"/>
      <c r="F93" s="344"/>
      <c r="G93" s="344"/>
      <c r="H93" s="344"/>
      <c r="I93" s="344"/>
      <c r="J93" s="344"/>
      <c r="K93" s="344"/>
    </row>
    <row r="94" spans="2:11" x14ac:dyDescent="0.2">
      <c r="B94" s="344"/>
      <c r="C94" s="344"/>
      <c r="D94" s="344"/>
      <c r="E94" s="344"/>
      <c r="F94" s="344"/>
      <c r="G94" s="344"/>
      <c r="H94" s="344"/>
      <c r="I94" s="344"/>
      <c r="J94" s="344"/>
      <c r="K94" s="344"/>
    </row>
    <row r="95" spans="2:11" x14ac:dyDescent="0.2">
      <c r="B95" s="344" t="s">
        <v>1895</v>
      </c>
      <c r="C95" s="344"/>
      <c r="D95" s="344"/>
      <c r="E95" s="344"/>
      <c r="F95" s="344"/>
      <c r="G95" s="344"/>
      <c r="H95" s="344"/>
      <c r="I95" s="344"/>
      <c r="J95" s="344"/>
      <c r="K95" s="344"/>
    </row>
    <row r="96" spans="2:11" x14ac:dyDescent="0.2">
      <c r="B96" s="355" t="s">
        <v>1817</v>
      </c>
      <c r="C96" s="344"/>
      <c r="D96" s="344"/>
      <c r="E96" s="344"/>
      <c r="F96" s="344"/>
      <c r="G96" s="344"/>
      <c r="H96" s="344"/>
      <c r="I96" s="344"/>
      <c r="J96" s="344"/>
      <c r="K96" s="344"/>
    </row>
    <row r="97" spans="2:11" x14ac:dyDescent="0.2">
      <c r="B97" s="355" t="s">
        <v>1816</v>
      </c>
      <c r="C97" s="344"/>
      <c r="D97" s="344"/>
      <c r="E97" s="344"/>
      <c r="F97" s="344"/>
      <c r="G97" s="344"/>
      <c r="H97" s="344"/>
      <c r="I97" s="344"/>
      <c r="J97" s="344"/>
      <c r="K97" s="344"/>
    </row>
    <row r="98" spans="2:11" x14ac:dyDescent="0.2">
      <c r="B98" s="344" t="s">
        <v>1910</v>
      </c>
      <c r="C98" s="344"/>
      <c r="D98" s="344"/>
      <c r="E98" s="344"/>
      <c r="F98" s="344"/>
      <c r="G98" s="344"/>
      <c r="H98" s="344"/>
      <c r="I98" s="344"/>
      <c r="J98" s="344"/>
      <c r="K98" s="344"/>
    </row>
    <row r="99" spans="2:11" x14ac:dyDescent="0.2">
      <c r="B99" s="344"/>
      <c r="C99" s="344"/>
      <c r="D99" s="344"/>
      <c r="E99" s="344"/>
      <c r="F99" s="344"/>
      <c r="G99" s="344"/>
      <c r="H99" s="344"/>
      <c r="I99" s="344"/>
      <c r="J99" s="344"/>
      <c r="K99" s="344"/>
    </row>
    <row r="100" spans="2:11" x14ac:dyDescent="0.2">
      <c r="B100" s="344" t="s">
        <v>1896</v>
      </c>
      <c r="C100" s="344"/>
      <c r="D100" s="344"/>
      <c r="E100" s="344"/>
      <c r="F100" s="344"/>
      <c r="G100" s="344"/>
      <c r="H100" s="344"/>
      <c r="I100" s="344"/>
      <c r="J100" s="344"/>
      <c r="K100" s="344"/>
    </row>
    <row r="101" spans="2:11" x14ac:dyDescent="0.2">
      <c r="B101" s="344" t="s">
        <v>1815</v>
      </c>
      <c r="C101" s="344"/>
      <c r="D101" s="344"/>
      <c r="E101" s="344"/>
      <c r="F101" s="344"/>
      <c r="G101" s="344"/>
      <c r="H101" s="344"/>
      <c r="I101" s="344"/>
      <c r="J101" s="344"/>
      <c r="K101" s="344"/>
    </row>
    <row r="102" spans="2:11" x14ac:dyDescent="0.2">
      <c r="B102" s="344"/>
      <c r="C102" s="344"/>
      <c r="D102" s="344"/>
      <c r="E102" s="344"/>
      <c r="F102" s="344"/>
      <c r="G102" s="344"/>
      <c r="H102" s="344"/>
      <c r="I102" s="344"/>
      <c r="J102" s="344"/>
      <c r="K102" s="344"/>
    </row>
    <row r="103" spans="2:11" x14ac:dyDescent="0.2">
      <c r="B103" s="344" t="s">
        <v>1897</v>
      </c>
      <c r="C103" s="344"/>
      <c r="D103" s="344"/>
      <c r="E103" s="344"/>
      <c r="F103" s="344"/>
      <c r="G103" s="344"/>
      <c r="H103" s="344"/>
      <c r="I103" s="344"/>
      <c r="J103" s="344"/>
      <c r="K103" s="344"/>
    </row>
    <row r="104" spans="2:11" x14ac:dyDescent="0.2">
      <c r="B104" s="344" t="s">
        <v>1814</v>
      </c>
      <c r="C104" s="344"/>
      <c r="D104" s="344"/>
      <c r="E104" s="344"/>
      <c r="F104" s="344"/>
      <c r="G104" s="344"/>
      <c r="H104" s="344"/>
      <c r="I104" s="344"/>
      <c r="J104" s="344"/>
      <c r="K104" s="344"/>
    </row>
    <row r="105" spans="2:11" x14ac:dyDescent="0.2">
      <c r="B105" s="344" t="s">
        <v>1813</v>
      </c>
      <c r="C105" s="344"/>
      <c r="D105" s="344"/>
      <c r="E105" s="344"/>
      <c r="F105" s="344"/>
      <c r="G105" s="344"/>
      <c r="H105" s="344"/>
      <c r="I105" s="344"/>
      <c r="J105" s="344"/>
      <c r="K105" s="344"/>
    </row>
    <row r="106" spans="2:11" x14ac:dyDescent="0.2">
      <c r="B106" s="344" t="s">
        <v>1812</v>
      </c>
      <c r="C106" s="344"/>
      <c r="D106" s="344"/>
      <c r="E106" s="344"/>
      <c r="F106" s="344"/>
      <c r="G106" s="344"/>
      <c r="H106" s="344"/>
      <c r="I106" s="344"/>
      <c r="J106" s="344"/>
      <c r="K106" s="344"/>
    </row>
    <row r="107" spans="2:11" x14ac:dyDescent="0.2">
      <c r="B107" s="344" t="s">
        <v>1811</v>
      </c>
      <c r="C107" s="344"/>
      <c r="D107" s="344"/>
      <c r="E107" s="344"/>
      <c r="F107" s="344"/>
      <c r="G107" s="344"/>
      <c r="H107" s="344"/>
      <c r="I107" s="344"/>
      <c r="J107" s="344"/>
      <c r="K107" s="344"/>
    </row>
    <row r="108" spans="2:11" x14ac:dyDescent="0.2">
      <c r="B108" s="344" t="s">
        <v>1810</v>
      </c>
      <c r="C108" s="344"/>
      <c r="D108" s="344"/>
      <c r="E108" s="344"/>
      <c r="F108" s="344"/>
      <c r="G108" s="344"/>
      <c r="H108" s="344"/>
      <c r="I108" s="344"/>
      <c r="J108" s="344"/>
      <c r="K108" s="344"/>
    </row>
    <row r="109" spans="2:11" x14ac:dyDescent="0.2">
      <c r="B109" s="344" t="s">
        <v>1809</v>
      </c>
      <c r="C109" s="344"/>
      <c r="D109" s="344"/>
      <c r="E109" s="344"/>
      <c r="F109" s="344"/>
      <c r="G109" s="344"/>
      <c r="H109" s="344"/>
      <c r="I109" s="344"/>
      <c r="J109" s="344"/>
      <c r="K109" s="344"/>
    </row>
    <row r="110" spans="2:11" x14ac:dyDescent="0.2">
      <c r="B110" s="344" t="s">
        <v>1808</v>
      </c>
      <c r="C110" s="344"/>
      <c r="D110" s="344"/>
      <c r="E110" s="344"/>
      <c r="F110" s="344"/>
      <c r="G110" s="344"/>
      <c r="H110" s="344"/>
      <c r="I110" s="344"/>
      <c r="J110" s="344"/>
      <c r="K110" s="344"/>
    </row>
    <row r="111" spans="2:11" x14ac:dyDescent="0.2">
      <c r="B111" s="344"/>
      <c r="C111" s="344"/>
      <c r="D111" s="344"/>
      <c r="E111" s="344"/>
      <c r="F111" s="344"/>
      <c r="G111" s="344"/>
      <c r="H111" s="344"/>
      <c r="I111" s="344"/>
      <c r="J111" s="344"/>
      <c r="K111" s="344"/>
    </row>
    <row r="112" spans="2:11" x14ac:dyDescent="0.2">
      <c r="B112" s="344" t="s">
        <v>1898</v>
      </c>
      <c r="C112" s="344"/>
      <c r="D112" s="344"/>
      <c r="E112" s="344"/>
      <c r="F112" s="344"/>
      <c r="G112" s="344"/>
      <c r="H112" s="344"/>
      <c r="I112" s="344"/>
      <c r="J112" s="344"/>
      <c r="K112" s="344"/>
    </row>
    <row r="113" spans="2:11" x14ac:dyDescent="0.2">
      <c r="B113" s="344" t="s">
        <v>1807</v>
      </c>
      <c r="C113" s="344"/>
      <c r="D113" s="344"/>
      <c r="E113" s="344"/>
      <c r="F113" s="344"/>
      <c r="G113" s="344"/>
      <c r="H113" s="344"/>
      <c r="I113" s="344"/>
      <c r="J113" s="344"/>
      <c r="K113" s="344"/>
    </row>
    <row r="114" spans="2:11" x14ac:dyDescent="0.2">
      <c r="B114" s="344" t="s">
        <v>1806</v>
      </c>
      <c r="C114" s="344"/>
      <c r="D114" s="344"/>
      <c r="E114" s="344"/>
      <c r="F114" s="344"/>
      <c r="G114" s="344"/>
      <c r="H114" s="344"/>
      <c r="I114" s="344"/>
      <c r="J114" s="344"/>
      <c r="K114" s="344"/>
    </row>
    <row r="115" spans="2:11" x14ac:dyDescent="0.2">
      <c r="B115" s="344" t="s">
        <v>1805</v>
      </c>
      <c r="C115" s="344"/>
      <c r="D115" s="344"/>
      <c r="E115" s="344"/>
      <c r="F115" s="344"/>
      <c r="G115" s="344"/>
      <c r="H115" s="344"/>
      <c r="I115" s="344"/>
      <c r="J115" s="344"/>
      <c r="K115" s="344"/>
    </row>
    <row r="116" spans="2:11" x14ac:dyDescent="0.2">
      <c r="B116" s="344" t="s">
        <v>1804</v>
      </c>
      <c r="C116" s="344"/>
      <c r="D116" s="344"/>
      <c r="E116" s="344"/>
      <c r="F116" s="344"/>
      <c r="G116" s="344"/>
      <c r="H116" s="344"/>
      <c r="I116" s="344"/>
      <c r="J116" s="344"/>
      <c r="K116" s="344"/>
    </row>
    <row r="117" spans="2:11" x14ac:dyDescent="0.2">
      <c r="B117" s="344" t="s">
        <v>1803</v>
      </c>
      <c r="C117" s="344"/>
      <c r="D117" s="344"/>
      <c r="E117" s="344"/>
      <c r="F117" s="344"/>
      <c r="G117" s="344"/>
      <c r="H117" s="344"/>
      <c r="I117" s="344"/>
      <c r="J117" s="344"/>
      <c r="K117" s="344"/>
    </row>
    <row r="118" spans="2:11" x14ac:dyDescent="0.2">
      <c r="B118" s="344" t="s">
        <v>1802</v>
      </c>
      <c r="C118" s="344"/>
      <c r="D118" s="344"/>
      <c r="E118" s="344"/>
      <c r="F118" s="344"/>
      <c r="G118" s="344"/>
      <c r="H118" s="344"/>
      <c r="I118" s="344"/>
      <c r="J118" s="344"/>
      <c r="K118" s="344"/>
    </row>
    <row r="119" spans="2:11" x14ac:dyDescent="0.2">
      <c r="B119" s="344"/>
      <c r="C119" s="344"/>
      <c r="D119" s="344"/>
      <c r="E119" s="344"/>
      <c r="F119" s="344"/>
      <c r="G119" s="344"/>
      <c r="H119" s="344"/>
      <c r="I119" s="344"/>
      <c r="J119" s="344"/>
      <c r="K119" s="344"/>
    </row>
    <row r="120" spans="2:11" x14ac:dyDescent="0.2">
      <c r="B120" s="344" t="s">
        <v>1899</v>
      </c>
      <c r="C120" s="344"/>
      <c r="D120" s="344"/>
      <c r="E120" s="344"/>
      <c r="F120" s="344"/>
      <c r="G120" s="344"/>
      <c r="H120" s="344"/>
      <c r="I120" s="344"/>
      <c r="J120" s="344"/>
      <c r="K120" s="344"/>
    </row>
    <row r="121" spans="2:11" x14ac:dyDescent="0.2">
      <c r="B121" s="344" t="s">
        <v>1801</v>
      </c>
      <c r="C121" s="344"/>
      <c r="D121" s="344"/>
      <c r="E121" s="344"/>
      <c r="F121" s="344"/>
      <c r="G121" s="344"/>
      <c r="H121" s="344"/>
      <c r="I121" s="344"/>
      <c r="J121" s="344"/>
      <c r="K121" s="344"/>
    </row>
    <row r="122" spans="2:11" x14ac:dyDescent="0.2">
      <c r="B122" s="344" t="s">
        <v>1800</v>
      </c>
      <c r="C122" s="344"/>
      <c r="D122" s="344"/>
      <c r="E122" s="344"/>
      <c r="F122" s="344"/>
      <c r="G122" s="344"/>
      <c r="H122" s="344"/>
      <c r="I122" s="344"/>
      <c r="J122" s="344"/>
      <c r="K122" s="344"/>
    </row>
    <row r="123" spans="2:11" x14ac:dyDescent="0.2">
      <c r="B123" s="344" t="s">
        <v>1799</v>
      </c>
      <c r="C123" s="344"/>
      <c r="D123" s="344"/>
      <c r="E123" s="344"/>
      <c r="F123" s="344"/>
      <c r="G123" s="344"/>
      <c r="H123" s="344"/>
      <c r="I123" s="344"/>
      <c r="J123" s="344"/>
      <c r="K123" s="344"/>
    </row>
    <row r="124" spans="2:11" x14ac:dyDescent="0.2">
      <c r="B124" s="344" t="s">
        <v>1798</v>
      </c>
      <c r="C124" s="344"/>
      <c r="D124" s="344"/>
      <c r="E124" s="344"/>
      <c r="F124" s="344"/>
      <c r="G124" s="344"/>
      <c r="H124" s="344"/>
      <c r="I124" s="344"/>
      <c r="J124" s="344"/>
      <c r="K124" s="344"/>
    </row>
    <row r="125" spans="2:11" x14ac:dyDescent="0.2">
      <c r="B125" s="344"/>
      <c r="C125" s="344"/>
      <c r="D125" s="344"/>
      <c r="E125" s="344"/>
      <c r="F125" s="344"/>
      <c r="G125" s="344"/>
      <c r="H125" s="344"/>
      <c r="I125" s="344"/>
      <c r="J125" s="344"/>
      <c r="K125" s="344"/>
    </row>
    <row r="126" spans="2:11" x14ac:dyDescent="0.2">
      <c r="B126" s="344" t="s">
        <v>1900</v>
      </c>
      <c r="C126" s="344"/>
      <c r="D126" s="344"/>
      <c r="E126" s="344"/>
      <c r="F126" s="344"/>
      <c r="G126" s="344"/>
      <c r="H126" s="344"/>
      <c r="I126" s="344"/>
      <c r="J126" s="344"/>
      <c r="K126" s="344"/>
    </row>
    <row r="127" spans="2:11" x14ac:dyDescent="0.2">
      <c r="B127" s="344" t="s">
        <v>1797</v>
      </c>
      <c r="C127" s="344"/>
      <c r="D127" s="344"/>
      <c r="E127" s="344"/>
      <c r="F127" s="344"/>
      <c r="G127" s="344"/>
      <c r="H127" s="344"/>
      <c r="I127" s="344"/>
      <c r="J127" s="344"/>
      <c r="K127" s="344"/>
    </row>
    <row r="128" spans="2:11" x14ac:dyDescent="0.2">
      <c r="B128" s="344" t="s">
        <v>1796</v>
      </c>
      <c r="C128" s="344"/>
      <c r="D128" s="344"/>
      <c r="E128" s="344"/>
      <c r="F128" s="344"/>
      <c r="G128" s="344"/>
      <c r="H128" s="344"/>
      <c r="I128" s="344"/>
      <c r="J128" s="344"/>
      <c r="K128" s="344"/>
    </row>
    <row r="129" spans="2:11" x14ac:dyDescent="0.2">
      <c r="B129" s="344"/>
      <c r="C129" s="344"/>
      <c r="D129" s="344"/>
      <c r="E129" s="344"/>
      <c r="F129" s="344"/>
      <c r="G129" s="344"/>
      <c r="H129" s="344"/>
      <c r="I129" s="344"/>
      <c r="J129" s="344"/>
      <c r="K129" s="344"/>
    </row>
    <row r="130" spans="2:11" x14ac:dyDescent="0.2">
      <c r="B130" s="344" t="s">
        <v>1901</v>
      </c>
      <c r="C130" s="344"/>
      <c r="D130" s="344"/>
      <c r="E130" s="344"/>
      <c r="F130" s="344"/>
      <c r="G130" s="344"/>
      <c r="H130" s="344"/>
      <c r="I130" s="344"/>
      <c r="J130" s="344"/>
      <c r="K130" s="344"/>
    </row>
    <row r="131" spans="2:11" x14ac:dyDescent="0.2">
      <c r="B131" s="344" t="s">
        <v>1795</v>
      </c>
      <c r="C131" s="344"/>
      <c r="D131" s="344"/>
      <c r="E131" s="344"/>
      <c r="F131" s="344"/>
      <c r="G131" s="344"/>
      <c r="H131" s="344"/>
      <c r="I131" s="344"/>
      <c r="J131" s="344"/>
      <c r="K131" s="344"/>
    </row>
    <row r="132" spans="2:11" x14ac:dyDescent="0.2">
      <c r="B132" s="344" t="s">
        <v>1794</v>
      </c>
      <c r="C132" s="344"/>
      <c r="D132" s="344"/>
      <c r="E132" s="344"/>
      <c r="F132" s="344"/>
      <c r="G132" s="344"/>
      <c r="H132" s="344"/>
      <c r="I132" s="344"/>
      <c r="J132" s="344"/>
      <c r="K132" s="344"/>
    </row>
    <row r="133" spans="2:11" x14ac:dyDescent="0.2">
      <c r="B133" s="344" t="s">
        <v>1793</v>
      </c>
      <c r="C133" s="344"/>
      <c r="D133" s="344"/>
      <c r="E133" s="344"/>
      <c r="F133" s="344"/>
      <c r="G133" s="344"/>
      <c r="H133" s="344"/>
      <c r="I133" s="344"/>
      <c r="J133" s="344"/>
      <c r="K133" s="344"/>
    </row>
    <row r="134" spans="2:11" x14ac:dyDescent="0.2">
      <c r="B134" s="344"/>
      <c r="C134" s="344"/>
      <c r="D134" s="344"/>
      <c r="E134" s="344"/>
      <c r="F134" s="344"/>
      <c r="G134" s="344"/>
      <c r="H134" s="344"/>
      <c r="I134" s="344"/>
      <c r="J134" s="344"/>
      <c r="K134" s="344"/>
    </row>
    <row r="135" spans="2:11" x14ac:dyDescent="0.2">
      <c r="B135" s="343" t="s">
        <v>1902</v>
      </c>
      <c r="C135" s="344"/>
      <c r="D135" s="344"/>
      <c r="E135" s="344"/>
      <c r="F135" s="344"/>
      <c r="G135" s="344"/>
      <c r="H135" s="344"/>
      <c r="I135" s="344"/>
      <c r="J135" s="344"/>
      <c r="K135" s="344"/>
    </row>
    <row r="136" spans="2:11" x14ac:dyDescent="0.2">
      <c r="B136" s="344" t="s">
        <v>1912</v>
      </c>
      <c r="C136" s="344"/>
      <c r="D136" s="344"/>
      <c r="E136" s="344"/>
      <c r="F136" s="344"/>
      <c r="G136" s="344"/>
      <c r="H136" s="344"/>
      <c r="I136" s="344"/>
      <c r="J136" s="344"/>
      <c r="K136" s="344"/>
    </row>
    <row r="137" spans="2:11" x14ac:dyDescent="0.2">
      <c r="B137" s="344"/>
      <c r="C137" s="344"/>
      <c r="D137" s="344"/>
      <c r="E137" s="344"/>
      <c r="F137" s="344"/>
      <c r="G137" s="344"/>
      <c r="H137" s="344"/>
      <c r="I137" s="344"/>
      <c r="J137" s="344"/>
      <c r="K137" s="344"/>
    </row>
    <row r="138" spans="2:11" x14ac:dyDescent="0.2">
      <c r="B138" s="343" t="s">
        <v>1909</v>
      </c>
      <c r="C138" s="344"/>
      <c r="D138" s="344"/>
      <c r="E138" s="344"/>
      <c r="F138" s="344"/>
      <c r="G138" s="344"/>
      <c r="H138" s="344"/>
      <c r="I138" s="344"/>
      <c r="J138" s="344"/>
      <c r="K138" s="344"/>
    </row>
    <row r="139" spans="2:11" x14ac:dyDescent="0.2">
      <c r="B139" s="344" t="s">
        <v>1911</v>
      </c>
      <c r="C139" s="344"/>
      <c r="D139" s="344"/>
      <c r="E139" s="344"/>
      <c r="F139" s="344"/>
      <c r="G139" s="344"/>
      <c r="H139" s="344"/>
      <c r="I139" s="344"/>
      <c r="J139" s="344"/>
      <c r="K139" s="344"/>
    </row>
    <row r="140" spans="2:11" x14ac:dyDescent="0.2">
      <c r="B140" s="344"/>
      <c r="C140" s="344"/>
      <c r="D140" s="344"/>
      <c r="E140" s="344"/>
      <c r="F140" s="344"/>
      <c r="G140" s="344"/>
      <c r="H140" s="344"/>
      <c r="I140" s="344"/>
      <c r="J140" s="344"/>
      <c r="K140" s="344"/>
    </row>
    <row r="141" spans="2:11" x14ac:dyDescent="0.2">
      <c r="B141" s="344" t="s">
        <v>1903</v>
      </c>
      <c r="C141" s="344"/>
      <c r="D141" s="344"/>
      <c r="E141" s="344"/>
      <c r="F141" s="344"/>
      <c r="G141" s="344"/>
      <c r="H141" s="344"/>
      <c r="I141" s="344"/>
      <c r="J141" s="344"/>
      <c r="K141" s="344"/>
    </row>
    <row r="142" spans="2:11" x14ac:dyDescent="0.2">
      <c r="B142" s="344" t="s">
        <v>1792</v>
      </c>
      <c r="C142" s="344"/>
      <c r="D142" s="344"/>
      <c r="E142" s="344"/>
      <c r="F142" s="344"/>
      <c r="G142" s="344"/>
      <c r="H142" s="344"/>
      <c r="I142" s="344"/>
      <c r="J142" s="344"/>
      <c r="K142" s="344"/>
    </row>
    <row r="143" spans="2:11" x14ac:dyDescent="0.2">
      <c r="B143" s="344"/>
      <c r="C143" s="344"/>
      <c r="D143" s="344"/>
      <c r="E143" s="344"/>
      <c r="F143" s="344"/>
      <c r="G143" s="344"/>
      <c r="H143" s="344"/>
      <c r="I143" s="344"/>
      <c r="J143" s="344"/>
      <c r="K143" s="344"/>
    </row>
    <row r="144" spans="2:11" x14ac:dyDescent="0.2">
      <c r="B144" s="344" t="s">
        <v>1904</v>
      </c>
      <c r="C144" s="344"/>
      <c r="D144" s="344"/>
      <c r="E144" s="344"/>
      <c r="F144" s="344"/>
      <c r="G144" s="344"/>
      <c r="H144" s="344"/>
      <c r="I144" s="344"/>
      <c r="J144" s="344"/>
      <c r="K144" s="344"/>
    </row>
    <row r="145" spans="2:11" x14ac:dyDescent="0.2">
      <c r="B145" s="344"/>
      <c r="C145" s="344" t="s">
        <v>1905</v>
      </c>
      <c r="D145" s="344"/>
      <c r="E145" s="344"/>
      <c r="F145" s="344"/>
      <c r="G145" s="344"/>
      <c r="H145" s="344"/>
      <c r="I145" s="344"/>
      <c r="J145" s="344"/>
      <c r="K145" s="344"/>
    </row>
    <row r="146" spans="2:11" x14ac:dyDescent="0.2">
      <c r="B146" s="344"/>
      <c r="C146" s="344" t="s">
        <v>1791</v>
      </c>
      <c r="D146" s="344"/>
      <c r="E146" s="344"/>
      <c r="F146" s="344"/>
      <c r="G146" s="344"/>
      <c r="H146" s="344"/>
      <c r="I146" s="344"/>
      <c r="J146" s="344"/>
      <c r="K146" s="344"/>
    </row>
    <row r="147" spans="2:11" x14ac:dyDescent="0.2">
      <c r="B147" s="344"/>
      <c r="C147" s="344" t="s">
        <v>1906</v>
      </c>
      <c r="D147" s="344"/>
      <c r="E147" s="344"/>
      <c r="F147" s="344"/>
      <c r="G147" s="344"/>
      <c r="H147" s="344"/>
      <c r="I147" s="344"/>
      <c r="J147" s="344"/>
      <c r="K147" s="344"/>
    </row>
    <row r="148" spans="2:11" x14ac:dyDescent="0.2">
      <c r="B148" s="344"/>
      <c r="C148" s="344" t="s">
        <v>1790</v>
      </c>
      <c r="D148" s="344"/>
      <c r="E148" s="344"/>
      <c r="F148" s="344"/>
      <c r="G148" s="344"/>
      <c r="H148" s="344"/>
      <c r="I148" s="344"/>
      <c r="J148" s="344"/>
      <c r="K148" s="344"/>
    </row>
    <row r="149" spans="2:11" x14ac:dyDescent="0.2">
      <c r="B149" s="344"/>
      <c r="C149" s="344"/>
      <c r="D149" s="344"/>
      <c r="E149" s="344"/>
      <c r="F149" s="344"/>
      <c r="G149" s="344"/>
      <c r="H149" s="344"/>
      <c r="I149" s="344"/>
      <c r="J149" s="344"/>
      <c r="K149" s="344"/>
    </row>
    <row r="150" spans="2:11" x14ac:dyDescent="0.2">
      <c r="B150" s="344" t="s">
        <v>1907</v>
      </c>
      <c r="C150" s="344"/>
      <c r="D150" s="344"/>
      <c r="E150" s="344"/>
      <c r="F150" s="344"/>
      <c r="G150" s="344"/>
      <c r="H150" s="344"/>
      <c r="I150" s="344"/>
      <c r="J150" s="344"/>
      <c r="K150" s="344"/>
    </row>
    <row r="151" spans="2:11" x14ac:dyDescent="0.2">
      <c r="B151" s="344" t="s">
        <v>1789</v>
      </c>
      <c r="C151" s="344"/>
      <c r="D151" s="344"/>
      <c r="E151" s="344"/>
      <c r="F151" s="344"/>
      <c r="G151" s="344"/>
      <c r="H151" s="344"/>
      <c r="I151" s="344"/>
      <c r="J151" s="344"/>
      <c r="K151" s="344"/>
    </row>
    <row r="152" spans="2:11" x14ac:dyDescent="0.2">
      <c r="B152" s="344"/>
      <c r="C152" s="344"/>
      <c r="D152" s="344"/>
      <c r="E152" s="344"/>
      <c r="F152" s="344"/>
      <c r="G152" s="344"/>
      <c r="H152" s="344"/>
      <c r="I152" s="344"/>
      <c r="J152" s="344"/>
      <c r="K152" s="344"/>
    </row>
    <row r="153" spans="2:11" x14ac:dyDescent="0.2">
      <c r="B153" s="344" t="s">
        <v>1908</v>
      </c>
      <c r="C153" s="344"/>
      <c r="D153" s="344"/>
      <c r="E153" s="344"/>
      <c r="F153" s="344"/>
      <c r="G153" s="344"/>
      <c r="H153" s="344"/>
      <c r="I153" s="344"/>
      <c r="J153" s="344"/>
      <c r="K153" s="344"/>
    </row>
    <row r="154" spans="2:11" x14ac:dyDescent="0.2">
      <c r="B154" s="344" t="s">
        <v>1788</v>
      </c>
      <c r="C154" s="344"/>
      <c r="D154" s="344"/>
      <c r="E154" s="344"/>
      <c r="F154" s="344"/>
      <c r="G154" s="344"/>
      <c r="H154" s="344"/>
      <c r="I154" s="344"/>
      <c r="J154" s="344"/>
      <c r="K154" s="344"/>
    </row>
    <row r="155" spans="2:11" x14ac:dyDescent="0.2">
      <c r="B155" s="344" t="s">
        <v>1787</v>
      </c>
      <c r="C155" s="344"/>
      <c r="D155" s="344"/>
      <c r="E155" s="344"/>
      <c r="F155" s="344"/>
      <c r="G155" s="344"/>
      <c r="H155" s="344"/>
      <c r="I155" s="344"/>
      <c r="J155" s="344"/>
      <c r="K155" s="344"/>
    </row>
    <row r="156" spans="2:11" x14ac:dyDescent="0.2">
      <c r="B156" s="344"/>
      <c r="C156" s="344"/>
      <c r="D156" s="344"/>
      <c r="E156" s="344"/>
      <c r="F156" s="344"/>
      <c r="G156" s="344"/>
      <c r="H156" s="344"/>
      <c r="I156" s="344"/>
      <c r="J156" s="344"/>
      <c r="K156" s="344"/>
    </row>
    <row r="157" spans="2:11" x14ac:dyDescent="0.2">
      <c r="B157" s="344"/>
      <c r="C157" s="344"/>
      <c r="D157" s="344"/>
      <c r="E157" s="344"/>
      <c r="F157" s="344"/>
      <c r="G157" s="344"/>
      <c r="H157" s="344"/>
      <c r="I157" s="344"/>
      <c r="J157" s="344"/>
      <c r="K157" s="344"/>
    </row>
    <row r="158" spans="2:11" x14ac:dyDescent="0.2">
      <c r="B158" s="344"/>
      <c r="C158" s="344"/>
      <c r="D158" s="344"/>
      <c r="E158" s="344"/>
      <c r="F158" s="344"/>
      <c r="G158" s="344"/>
      <c r="H158" s="344"/>
      <c r="I158" s="344"/>
      <c r="J158" s="344"/>
      <c r="K158" s="344"/>
    </row>
    <row r="159" spans="2:11" x14ac:dyDescent="0.2">
      <c r="B159" s="344"/>
      <c r="C159" s="344"/>
      <c r="D159" s="344"/>
      <c r="E159" s="344"/>
      <c r="F159" s="344"/>
      <c r="G159" s="344"/>
      <c r="H159" s="344"/>
      <c r="I159" s="344"/>
      <c r="J159" s="344"/>
      <c r="K159" s="344"/>
    </row>
    <row r="160" spans="2:11" x14ac:dyDescent="0.2">
      <c r="B160" s="344"/>
      <c r="C160" s="344"/>
      <c r="D160" s="344"/>
      <c r="E160" s="344"/>
      <c r="F160" s="344"/>
      <c r="G160" s="344"/>
      <c r="H160" s="344"/>
      <c r="I160" s="344"/>
      <c r="J160" s="344"/>
      <c r="K160" s="344"/>
    </row>
    <row r="161" spans="2:11" x14ac:dyDescent="0.2">
      <c r="B161" s="344"/>
      <c r="C161" s="344"/>
      <c r="D161" s="344"/>
      <c r="E161" s="344"/>
      <c r="F161" s="344"/>
      <c r="G161" s="344"/>
      <c r="H161" s="344"/>
      <c r="I161" s="344"/>
      <c r="J161" s="344"/>
      <c r="K161" s="344"/>
    </row>
    <row r="162" spans="2:11" x14ac:dyDescent="0.2">
      <c r="B162" s="344"/>
      <c r="C162" s="344"/>
      <c r="D162" s="344"/>
      <c r="E162" s="344"/>
      <c r="F162" s="344"/>
      <c r="G162" s="344"/>
      <c r="H162" s="344"/>
      <c r="I162" s="344"/>
      <c r="J162" s="344"/>
      <c r="K162" s="344"/>
    </row>
    <row r="163" spans="2:11" x14ac:dyDescent="0.2">
      <c r="B163" s="344"/>
      <c r="C163" s="344"/>
      <c r="D163" s="344"/>
      <c r="E163" s="344"/>
      <c r="F163" s="344"/>
      <c r="G163" s="344"/>
      <c r="H163" s="344"/>
      <c r="I163" s="344"/>
      <c r="J163" s="344"/>
      <c r="K163" s="344"/>
    </row>
    <row r="164" spans="2:11" x14ac:dyDescent="0.2">
      <c r="B164" s="344"/>
      <c r="C164" s="344"/>
      <c r="D164" s="344"/>
      <c r="E164" s="344"/>
      <c r="F164" s="344"/>
      <c r="G164" s="344"/>
      <c r="H164" s="344"/>
      <c r="I164" s="344"/>
      <c r="J164" s="344"/>
      <c r="K164" s="344"/>
    </row>
    <row r="165" spans="2:11" x14ac:dyDescent="0.2">
      <c r="B165" s="344"/>
      <c r="C165" s="344"/>
      <c r="D165" s="344"/>
      <c r="E165" s="344"/>
      <c r="F165" s="344"/>
      <c r="G165" s="344"/>
      <c r="H165" s="344"/>
      <c r="I165" s="344"/>
      <c r="J165" s="344"/>
      <c r="K165" s="344"/>
    </row>
    <row r="166" spans="2:11" x14ac:dyDescent="0.2">
      <c r="B166" s="344"/>
      <c r="C166" s="344"/>
      <c r="D166" s="344"/>
      <c r="E166" s="344"/>
      <c r="F166" s="344"/>
      <c r="G166" s="344"/>
      <c r="H166" s="344"/>
      <c r="I166" s="344"/>
      <c r="J166" s="344"/>
      <c r="K166" s="344"/>
    </row>
    <row r="167" spans="2:11" x14ac:dyDescent="0.2">
      <c r="B167" s="344"/>
      <c r="C167" s="344"/>
      <c r="D167" s="344"/>
      <c r="E167" s="344"/>
      <c r="F167" s="344"/>
      <c r="G167" s="344"/>
      <c r="H167" s="344"/>
      <c r="I167" s="344"/>
      <c r="J167" s="344"/>
      <c r="K167" s="344"/>
    </row>
    <row r="168" spans="2:11" x14ac:dyDescent="0.2">
      <c r="B168" s="344"/>
      <c r="C168" s="344"/>
      <c r="D168" s="344"/>
      <c r="E168" s="344"/>
      <c r="F168" s="344"/>
      <c r="G168" s="344"/>
      <c r="H168" s="344"/>
      <c r="I168" s="344"/>
      <c r="J168" s="344"/>
      <c r="K168" s="344"/>
    </row>
    <row r="169" spans="2:11" x14ac:dyDescent="0.2">
      <c r="B169" s="344"/>
      <c r="C169" s="344"/>
      <c r="D169" s="344"/>
      <c r="E169" s="344"/>
      <c r="F169" s="344"/>
      <c r="G169" s="344"/>
      <c r="H169" s="344"/>
      <c r="I169" s="344"/>
      <c r="J169" s="344"/>
      <c r="K169" s="344"/>
    </row>
    <row r="170" spans="2:11" x14ac:dyDescent="0.2">
      <c r="B170" s="344"/>
      <c r="C170" s="344"/>
      <c r="D170" s="344"/>
      <c r="E170" s="344"/>
      <c r="F170" s="344"/>
      <c r="G170" s="344"/>
      <c r="H170" s="344"/>
      <c r="I170" s="344"/>
      <c r="J170" s="344"/>
      <c r="K170" s="344"/>
    </row>
    <row r="171" spans="2:11" x14ac:dyDescent="0.2">
      <c r="B171" s="344"/>
      <c r="C171" s="344"/>
      <c r="D171" s="344"/>
      <c r="E171" s="344"/>
      <c r="F171" s="344"/>
      <c r="G171" s="344"/>
      <c r="H171" s="344"/>
      <c r="I171" s="344"/>
      <c r="J171" s="344"/>
      <c r="K171" s="344"/>
    </row>
    <row r="172" spans="2:11" x14ac:dyDescent="0.2">
      <c r="B172" s="344"/>
      <c r="C172" s="344"/>
      <c r="D172" s="344"/>
      <c r="E172" s="344"/>
      <c r="F172" s="344"/>
      <c r="G172" s="344"/>
      <c r="H172" s="344"/>
      <c r="I172" s="344"/>
      <c r="J172" s="344"/>
      <c r="K172" s="344"/>
    </row>
    <row r="173" spans="2:11" x14ac:dyDescent="0.2">
      <c r="B173" s="344"/>
      <c r="C173" s="344"/>
      <c r="D173" s="344"/>
      <c r="E173" s="344"/>
      <c r="F173" s="344"/>
      <c r="G173" s="344"/>
      <c r="H173" s="344"/>
      <c r="I173" s="344"/>
      <c r="J173" s="344"/>
      <c r="K173" s="344"/>
    </row>
    <row r="174" spans="2:11" x14ac:dyDescent="0.2">
      <c r="B174" s="344"/>
      <c r="C174" s="344"/>
      <c r="D174" s="344"/>
      <c r="E174" s="344"/>
      <c r="F174" s="344"/>
      <c r="G174" s="344"/>
      <c r="H174" s="344"/>
      <c r="I174" s="344"/>
      <c r="J174" s="344"/>
      <c r="K174" s="344"/>
    </row>
    <row r="175" spans="2:11" x14ac:dyDescent="0.2">
      <c r="B175" s="344"/>
      <c r="C175" s="344"/>
      <c r="D175" s="344"/>
      <c r="E175" s="344"/>
      <c r="F175" s="344"/>
      <c r="G175" s="344"/>
      <c r="H175" s="344"/>
      <c r="I175" s="344"/>
      <c r="J175" s="344"/>
      <c r="K175" s="344"/>
    </row>
    <row r="176" spans="2:11" x14ac:dyDescent="0.2">
      <c r="B176" s="344"/>
      <c r="C176" s="344"/>
      <c r="D176" s="344"/>
      <c r="E176" s="344"/>
      <c r="F176" s="344"/>
      <c r="G176" s="344"/>
      <c r="H176" s="344"/>
      <c r="I176" s="344"/>
      <c r="J176" s="344"/>
      <c r="K176" s="344"/>
    </row>
    <row r="177" spans="2:11" x14ac:dyDescent="0.2">
      <c r="B177" s="344"/>
      <c r="C177" s="344"/>
      <c r="D177" s="344"/>
      <c r="E177" s="344"/>
      <c r="F177" s="344"/>
      <c r="G177" s="344"/>
      <c r="H177" s="344"/>
      <c r="I177" s="344"/>
      <c r="J177" s="344"/>
      <c r="K177" s="344"/>
    </row>
    <row r="178" spans="2:11" x14ac:dyDescent="0.2">
      <c r="B178" s="344"/>
      <c r="C178" s="344"/>
      <c r="D178" s="344"/>
      <c r="E178" s="344"/>
      <c r="F178" s="344"/>
      <c r="G178" s="344"/>
      <c r="H178" s="344"/>
      <c r="I178" s="344"/>
      <c r="J178" s="344"/>
      <c r="K178" s="344"/>
    </row>
    <row r="179" spans="2:11" x14ac:dyDescent="0.2">
      <c r="B179" s="344"/>
      <c r="C179" s="344"/>
      <c r="D179" s="344"/>
      <c r="E179" s="344"/>
      <c r="F179" s="344"/>
      <c r="G179" s="344"/>
      <c r="H179" s="344"/>
      <c r="I179" s="344"/>
      <c r="J179" s="344"/>
      <c r="K179" s="344"/>
    </row>
    <row r="180" spans="2:11" x14ac:dyDescent="0.2">
      <c r="B180" s="344"/>
      <c r="C180" s="344"/>
      <c r="D180" s="344"/>
      <c r="E180" s="344"/>
      <c r="F180" s="344"/>
      <c r="G180" s="344"/>
      <c r="H180" s="344"/>
      <c r="I180" s="344"/>
      <c r="J180" s="344"/>
      <c r="K180" s="344"/>
    </row>
    <row r="181" spans="2:11" x14ac:dyDescent="0.2">
      <c r="B181" s="344"/>
      <c r="C181" s="344"/>
      <c r="D181" s="344"/>
      <c r="E181" s="344"/>
      <c r="F181" s="344"/>
      <c r="G181" s="344"/>
      <c r="H181" s="344"/>
      <c r="I181" s="344"/>
      <c r="J181" s="344"/>
      <c r="K181" s="344"/>
    </row>
    <row r="182" spans="2:11" x14ac:dyDescent="0.2">
      <c r="B182" s="344"/>
      <c r="C182" s="344"/>
      <c r="D182" s="344"/>
      <c r="E182" s="344"/>
      <c r="F182" s="344"/>
      <c r="G182" s="344"/>
      <c r="H182" s="344"/>
      <c r="I182" s="344"/>
      <c r="J182" s="344"/>
      <c r="K182" s="344"/>
    </row>
    <row r="183" spans="2:11" x14ac:dyDescent="0.2">
      <c r="B183" s="344"/>
      <c r="C183" s="344"/>
      <c r="D183" s="344"/>
      <c r="E183" s="344"/>
      <c r="F183" s="344"/>
      <c r="G183" s="344"/>
      <c r="H183" s="344"/>
      <c r="I183" s="344"/>
      <c r="J183" s="344"/>
      <c r="K183" s="344"/>
    </row>
    <row r="184" spans="2:11" x14ac:dyDescent="0.2">
      <c r="B184" s="344"/>
      <c r="C184" s="344"/>
      <c r="D184" s="344"/>
      <c r="E184" s="344"/>
      <c r="F184" s="344"/>
      <c r="G184" s="344"/>
      <c r="H184" s="344"/>
      <c r="I184" s="344"/>
      <c r="J184" s="344"/>
      <c r="K184" s="344"/>
    </row>
    <row r="185" spans="2:11" x14ac:dyDescent="0.2">
      <c r="B185" s="344"/>
      <c r="C185" s="344"/>
      <c r="D185" s="344"/>
      <c r="E185" s="344"/>
      <c r="F185" s="344"/>
      <c r="G185" s="344"/>
      <c r="H185" s="344"/>
      <c r="I185" s="344"/>
      <c r="J185" s="344"/>
      <c r="K185" s="344"/>
    </row>
    <row r="186" spans="2:11" x14ac:dyDescent="0.2">
      <c r="B186" s="344"/>
      <c r="C186" s="344"/>
      <c r="D186" s="344"/>
      <c r="E186" s="344"/>
      <c r="F186" s="344"/>
      <c r="G186" s="344"/>
      <c r="H186" s="344"/>
      <c r="I186" s="344"/>
      <c r="J186" s="344"/>
      <c r="K186" s="344"/>
    </row>
    <row r="187" spans="2:11" x14ac:dyDescent="0.2">
      <c r="B187" s="344"/>
      <c r="C187" s="344"/>
      <c r="D187" s="344"/>
      <c r="E187" s="344"/>
      <c r="F187" s="344"/>
      <c r="G187" s="344"/>
      <c r="H187" s="344"/>
      <c r="I187" s="344"/>
      <c r="J187" s="344"/>
      <c r="K187" s="344"/>
    </row>
    <row r="188" spans="2:11" x14ac:dyDescent="0.2">
      <c r="B188" s="344"/>
      <c r="C188" s="344"/>
      <c r="D188" s="344"/>
      <c r="E188" s="344"/>
      <c r="F188" s="344"/>
      <c r="G188" s="344"/>
      <c r="H188" s="344"/>
      <c r="I188" s="344"/>
      <c r="J188" s="344"/>
      <c r="K188" s="344"/>
    </row>
    <row r="189" spans="2:11" x14ac:dyDescent="0.2">
      <c r="B189" s="344"/>
      <c r="C189" s="344"/>
      <c r="D189" s="344"/>
      <c r="E189" s="344"/>
      <c r="F189" s="344"/>
      <c r="G189" s="344"/>
      <c r="H189" s="344"/>
      <c r="I189" s="344"/>
      <c r="J189" s="344"/>
      <c r="K189" s="344"/>
    </row>
    <row r="190" spans="2:11" x14ac:dyDescent="0.2">
      <c r="B190" s="344"/>
      <c r="C190" s="344"/>
      <c r="D190" s="344"/>
      <c r="E190" s="344"/>
      <c r="F190" s="344"/>
      <c r="G190" s="344"/>
      <c r="H190" s="344"/>
      <c r="I190" s="344"/>
      <c r="J190" s="344"/>
      <c r="K190" s="344"/>
    </row>
    <row r="191" spans="2:11" x14ac:dyDescent="0.2">
      <c r="B191" s="344"/>
      <c r="C191" s="344"/>
      <c r="D191" s="344"/>
      <c r="E191" s="344"/>
      <c r="F191" s="344"/>
      <c r="G191" s="344"/>
      <c r="H191" s="344"/>
      <c r="I191" s="344"/>
      <c r="J191" s="344"/>
      <c r="K191" s="344"/>
    </row>
    <row r="192" spans="2:11" x14ac:dyDescent="0.2">
      <c r="B192" s="344"/>
      <c r="C192" s="344"/>
      <c r="D192" s="344"/>
      <c r="E192" s="344"/>
      <c r="F192" s="344"/>
      <c r="G192" s="344"/>
      <c r="H192" s="344"/>
      <c r="I192" s="344"/>
      <c r="J192" s="344"/>
      <c r="K192" s="344"/>
    </row>
    <row r="193" spans="2:11" x14ac:dyDescent="0.2">
      <c r="B193" s="344"/>
      <c r="C193" s="344"/>
      <c r="D193" s="344"/>
      <c r="E193" s="344"/>
      <c r="F193" s="344"/>
      <c r="G193" s="344"/>
      <c r="H193" s="344"/>
      <c r="I193" s="344"/>
      <c r="J193" s="344"/>
      <c r="K193" s="344"/>
    </row>
    <row r="194" spans="2:11" x14ac:dyDescent="0.2">
      <c r="B194" s="344"/>
      <c r="C194" s="344"/>
      <c r="D194" s="344"/>
      <c r="E194" s="344"/>
      <c r="F194" s="344"/>
      <c r="G194" s="344"/>
      <c r="H194" s="344"/>
      <c r="I194" s="344"/>
      <c r="J194" s="344"/>
      <c r="K194" s="344"/>
    </row>
    <row r="195" spans="2:11" x14ac:dyDescent="0.2">
      <c r="B195" s="344"/>
      <c r="C195" s="344"/>
      <c r="D195" s="344"/>
      <c r="E195" s="344"/>
      <c r="F195" s="344"/>
      <c r="G195" s="344"/>
      <c r="H195" s="344"/>
      <c r="I195" s="344"/>
      <c r="J195" s="344"/>
      <c r="K195" s="344"/>
    </row>
    <row r="196" spans="2:11" x14ac:dyDescent="0.2">
      <c r="B196" s="344"/>
      <c r="C196" s="344"/>
      <c r="D196" s="344"/>
      <c r="E196" s="344"/>
      <c r="F196" s="344"/>
      <c r="G196" s="344"/>
      <c r="H196" s="344"/>
      <c r="I196" s="344"/>
      <c r="J196" s="344"/>
      <c r="K196" s="344"/>
    </row>
    <row r="197" spans="2:11" x14ac:dyDescent="0.2">
      <c r="B197" s="344"/>
      <c r="C197" s="344"/>
      <c r="D197" s="344"/>
      <c r="E197" s="344"/>
      <c r="F197" s="344"/>
      <c r="G197" s="344"/>
      <c r="H197" s="344"/>
      <c r="I197" s="344"/>
      <c r="J197" s="344"/>
      <c r="K197" s="344"/>
    </row>
    <row r="198" spans="2:11" x14ac:dyDescent="0.2">
      <c r="B198" s="344"/>
      <c r="C198" s="344"/>
      <c r="D198" s="344"/>
      <c r="E198" s="344"/>
      <c r="F198" s="344"/>
      <c r="G198" s="344"/>
      <c r="H198" s="344"/>
      <c r="I198" s="344"/>
      <c r="J198" s="344"/>
      <c r="K198" s="344"/>
    </row>
    <row r="199" spans="2:11" x14ac:dyDescent="0.2">
      <c r="B199" s="344"/>
      <c r="C199" s="344"/>
      <c r="D199" s="344"/>
      <c r="E199" s="344"/>
      <c r="F199" s="344"/>
      <c r="G199" s="344"/>
      <c r="H199" s="344"/>
      <c r="I199" s="344"/>
      <c r="J199" s="344"/>
      <c r="K199" s="344"/>
    </row>
    <row r="200" spans="2:11" x14ac:dyDescent="0.2">
      <c r="B200" s="344"/>
      <c r="C200" s="344"/>
      <c r="D200" s="344"/>
      <c r="E200" s="344"/>
      <c r="F200" s="344"/>
      <c r="G200" s="344"/>
      <c r="H200" s="344"/>
      <c r="I200" s="344"/>
      <c r="J200" s="344"/>
      <c r="K200" s="344"/>
    </row>
    <row r="201" spans="2:11" x14ac:dyDescent="0.2">
      <c r="B201" s="344"/>
      <c r="C201" s="344"/>
      <c r="D201" s="344"/>
      <c r="E201" s="344"/>
      <c r="F201" s="344"/>
      <c r="G201" s="344"/>
      <c r="H201" s="344"/>
      <c r="I201" s="344"/>
      <c r="J201" s="344"/>
      <c r="K201" s="344"/>
    </row>
    <row r="202" spans="2:11" x14ac:dyDescent="0.2">
      <c r="B202" s="344"/>
      <c r="C202" s="344"/>
      <c r="D202" s="344"/>
      <c r="E202" s="344"/>
      <c r="F202" s="344"/>
      <c r="G202" s="344"/>
      <c r="H202" s="344"/>
      <c r="I202" s="344"/>
      <c r="J202" s="344"/>
      <c r="K202" s="344"/>
    </row>
    <row r="203" spans="2:11" x14ac:dyDescent="0.2">
      <c r="B203" s="344"/>
      <c r="C203" s="344"/>
      <c r="D203" s="344"/>
      <c r="E203" s="344"/>
      <c r="F203" s="344"/>
      <c r="G203" s="344"/>
      <c r="H203" s="344"/>
      <c r="I203" s="344"/>
      <c r="J203" s="344"/>
      <c r="K203" s="344"/>
    </row>
    <row r="204" spans="2:11" x14ac:dyDescent="0.2">
      <c r="B204" s="344"/>
      <c r="C204" s="344"/>
      <c r="D204" s="344"/>
      <c r="E204" s="344"/>
      <c r="F204" s="344"/>
      <c r="G204" s="344"/>
      <c r="H204" s="344"/>
      <c r="I204" s="344"/>
      <c r="J204" s="344"/>
      <c r="K204" s="344"/>
    </row>
    <row r="205" spans="2:11" x14ac:dyDescent="0.2">
      <c r="B205" s="344"/>
      <c r="C205" s="344"/>
      <c r="D205" s="344"/>
      <c r="E205" s="344"/>
      <c r="F205" s="344"/>
      <c r="G205" s="344"/>
      <c r="H205" s="344"/>
      <c r="I205" s="344"/>
      <c r="J205" s="344"/>
      <c r="K205" s="344"/>
    </row>
    <row r="206" spans="2:11" x14ac:dyDescent="0.2">
      <c r="B206" s="344"/>
      <c r="C206" s="344"/>
      <c r="D206" s="344"/>
      <c r="E206" s="344"/>
      <c r="F206" s="344"/>
      <c r="G206" s="344"/>
      <c r="H206" s="344"/>
      <c r="I206" s="344"/>
      <c r="J206" s="344"/>
      <c r="K206" s="344"/>
    </row>
    <row r="207" spans="2:11" x14ac:dyDescent="0.2">
      <c r="B207" s="344"/>
      <c r="C207" s="344"/>
      <c r="D207" s="344"/>
      <c r="E207" s="344"/>
      <c r="F207" s="344"/>
      <c r="G207" s="344"/>
      <c r="H207" s="344"/>
      <c r="I207" s="344"/>
      <c r="J207" s="344"/>
      <c r="K207" s="344"/>
    </row>
    <row r="208" spans="2:11" x14ac:dyDescent="0.2">
      <c r="B208" s="344"/>
      <c r="C208" s="344"/>
      <c r="D208" s="344"/>
      <c r="E208" s="344"/>
      <c r="F208" s="344"/>
      <c r="G208" s="344"/>
      <c r="H208" s="344"/>
      <c r="I208" s="344"/>
      <c r="J208" s="344"/>
      <c r="K208" s="344"/>
    </row>
    <row r="209" spans="2:11" x14ac:dyDescent="0.2">
      <c r="B209" s="344"/>
      <c r="C209" s="344"/>
      <c r="D209" s="344"/>
      <c r="E209" s="344"/>
      <c r="F209" s="344"/>
      <c r="G209" s="344"/>
      <c r="H209" s="344"/>
      <c r="I209" s="344"/>
      <c r="J209" s="344"/>
      <c r="K209" s="344"/>
    </row>
    <row r="210" spans="2:11" x14ac:dyDescent="0.2">
      <c r="B210" s="344"/>
      <c r="C210" s="344"/>
      <c r="D210" s="344"/>
      <c r="E210" s="344"/>
      <c r="F210" s="344"/>
      <c r="G210" s="344"/>
      <c r="H210" s="344"/>
      <c r="I210" s="344"/>
      <c r="J210" s="344"/>
      <c r="K210" s="344"/>
    </row>
    <row r="211" spans="2:11" x14ac:dyDescent="0.2">
      <c r="B211" s="344"/>
      <c r="C211" s="344"/>
      <c r="D211" s="344"/>
      <c r="E211" s="344"/>
      <c r="F211" s="344"/>
      <c r="G211" s="344"/>
      <c r="H211" s="344"/>
      <c r="I211" s="344"/>
      <c r="J211" s="344"/>
      <c r="K211" s="344"/>
    </row>
    <row r="212" spans="2:11" x14ac:dyDescent="0.2">
      <c r="B212" s="344"/>
      <c r="C212" s="344"/>
      <c r="D212" s="344"/>
      <c r="E212" s="344"/>
      <c r="F212" s="344"/>
      <c r="G212" s="344"/>
      <c r="H212" s="344"/>
      <c r="I212" s="344"/>
      <c r="J212" s="344"/>
      <c r="K212" s="344"/>
    </row>
    <row r="213" spans="2:11" x14ac:dyDescent="0.2">
      <c r="B213" s="344"/>
      <c r="C213" s="344"/>
      <c r="D213" s="344"/>
      <c r="E213" s="344"/>
      <c r="F213" s="344"/>
      <c r="G213" s="344"/>
      <c r="H213" s="344"/>
      <c r="I213" s="344"/>
      <c r="J213" s="344"/>
      <c r="K213" s="344"/>
    </row>
    <row r="214" spans="2:11" x14ac:dyDescent="0.2">
      <c r="B214" s="344"/>
      <c r="C214" s="344"/>
      <c r="D214" s="344"/>
      <c r="E214" s="344"/>
      <c r="F214" s="344"/>
      <c r="G214" s="344"/>
      <c r="H214" s="344"/>
      <c r="I214" s="344"/>
      <c r="J214" s="344"/>
      <c r="K214" s="344"/>
    </row>
    <row r="215" spans="2:11" x14ac:dyDescent="0.2">
      <c r="B215" s="344"/>
      <c r="C215" s="344"/>
      <c r="D215" s="344"/>
      <c r="E215" s="344"/>
      <c r="F215" s="344"/>
      <c r="G215" s="344"/>
      <c r="H215" s="344"/>
      <c r="I215" s="344"/>
      <c r="J215" s="344"/>
      <c r="K215" s="344"/>
    </row>
    <row r="216" spans="2:11" x14ac:dyDescent="0.2">
      <c r="B216" s="344"/>
      <c r="C216" s="344"/>
      <c r="D216" s="344"/>
      <c r="E216" s="344"/>
      <c r="F216" s="344"/>
      <c r="G216" s="344"/>
      <c r="H216" s="344"/>
      <c r="I216" s="344"/>
      <c r="J216" s="344"/>
      <c r="K216" s="344"/>
    </row>
    <row r="217" spans="2:11" x14ac:dyDescent="0.2">
      <c r="B217" s="344"/>
      <c r="C217" s="344"/>
      <c r="D217" s="344"/>
      <c r="E217" s="344"/>
      <c r="F217" s="344"/>
      <c r="G217" s="344"/>
      <c r="H217" s="344"/>
      <c r="I217" s="344"/>
      <c r="J217" s="344"/>
      <c r="K217" s="344"/>
    </row>
    <row r="218" spans="2:11" x14ac:dyDescent="0.2">
      <c r="B218" s="344"/>
      <c r="C218" s="344"/>
      <c r="D218" s="344"/>
      <c r="E218" s="344"/>
      <c r="F218" s="344"/>
      <c r="G218" s="344"/>
      <c r="H218" s="344"/>
      <c r="I218" s="344"/>
      <c r="J218" s="344"/>
      <c r="K218" s="344"/>
    </row>
    <row r="219" spans="2:11" x14ac:dyDescent="0.2">
      <c r="B219" s="344"/>
      <c r="C219" s="344"/>
      <c r="D219" s="344"/>
      <c r="E219" s="344"/>
      <c r="F219" s="344"/>
      <c r="G219" s="344"/>
      <c r="H219" s="344"/>
      <c r="I219" s="344"/>
      <c r="J219" s="344"/>
      <c r="K219" s="344"/>
    </row>
    <row r="220" spans="2:11" x14ac:dyDescent="0.2">
      <c r="B220" s="344"/>
      <c r="C220" s="344"/>
      <c r="D220" s="344"/>
      <c r="E220" s="344"/>
      <c r="F220" s="344"/>
      <c r="G220" s="344"/>
      <c r="H220" s="344"/>
      <c r="I220" s="344"/>
      <c r="J220" s="344"/>
      <c r="K220" s="344"/>
    </row>
    <row r="221" spans="2:11" x14ac:dyDescent="0.2">
      <c r="B221" s="344"/>
      <c r="C221" s="344"/>
      <c r="D221" s="344"/>
      <c r="E221" s="344"/>
      <c r="F221" s="344"/>
      <c r="G221" s="344"/>
      <c r="H221" s="344"/>
      <c r="I221" s="344"/>
      <c r="J221" s="344"/>
      <c r="K221" s="344"/>
    </row>
    <row r="222" spans="2:11" x14ac:dyDescent="0.2">
      <c r="B222" s="344"/>
      <c r="C222" s="344"/>
      <c r="D222" s="344"/>
      <c r="E222" s="344"/>
      <c r="F222" s="344"/>
      <c r="G222" s="344"/>
      <c r="H222" s="344"/>
      <c r="I222" s="344"/>
      <c r="J222" s="344"/>
      <c r="K222" s="344"/>
    </row>
    <row r="223" spans="2:11" x14ac:dyDescent="0.2">
      <c r="B223" s="344"/>
      <c r="C223" s="344"/>
      <c r="D223" s="344"/>
      <c r="E223" s="344"/>
      <c r="F223" s="344"/>
      <c r="G223" s="344"/>
      <c r="H223" s="344"/>
      <c r="I223" s="344"/>
      <c r="J223" s="344"/>
      <c r="K223" s="344"/>
    </row>
    <row r="224" spans="2:11" x14ac:dyDescent="0.2">
      <c r="B224" s="344"/>
      <c r="C224" s="344"/>
      <c r="D224" s="344"/>
      <c r="E224" s="344"/>
      <c r="F224" s="344"/>
      <c r="G224" s="344"/>
      <c r="H224" s="344"/>
      <c r="I224" s="344"/>
      <c r="J224" s="344"/>
      <c r="K224" s="344"/>
    </row>
    <row r="225" spans="2:11" x14ac:dyDescent="0.2">
      <c r="B225" s="344"/>
      <c r="C225" s="344"/>
      <c r="D225" s="344"/>
      <c r="E225" s="344"/>
      <c r="F225" s="344"/>
      <c r="G225" s="344"/>
      <c r="H225" s="344"/>
      <c r="I225" s="344"/>
      <c r="J225" s="344"/>
      <c r="K225" s="344"/>
    </row>
    <row r="226" spans="2:11" x14ac:dyDescent="0.2">
      <c r="B226" s="344"/>
      <c r="C226" s="344"/>
      <c r="D226" s="344"/>
      <c r="E226" s="344"/>
      <c r="F226" s="344"/>
      <c r="G226" s="344"/>
      <c r="H226" s="344"/>
      <c r="I226" s="344"/>
      <c r="J226" s="344"/>
      <c r="K226" s="344"/>
    </row>
    <row r="227" spans="2:11" x14ac:dyDescent="0.2">
      <c r="B227" s="344"/>
      <c r="C227" s="344"/>
      <c r="D227" s="344"/>
      <c r="E227" s="344"/>
      <c r="F227" s="344"/>
      <c r="G227" s="344"/>
      <c r="H227" s="344"/>
      <c r="I227" s="344"/>
      <c r="J227" s="344"/>
      <c r="K227" s="344"/>
    </row>
    <row r="228" spans="2:11" x14ac:dyDescent="0.2">
      <c r="B228" s="344"/>
      <c r="C228" s="344"/>
      <c r="D228" s="344"/>
      <c r="E228" s="344"/>
      <c r="F228" s="344"/>
      <c r="G228" s="344"/>
      <c r="H228" s="344"/>
      <c r="I228" s="344"/>
      <c r="J228" s="344"/>
      <c r="K228" s="344"/>
    </row>
    <row r="229" spans="2:11" x14ac:dyDescent="0.2">
      <c r="B229" s="344"/>
      <c r="C229" s="344"/>
      <c r="D229" s="344"/>
      <c r="E229" s="344"/>
      <c r="F229" s="344"/>
      <c r="G229" s="344"/>
      <c r="H229" s="344"/>
      <c r="I229" s="344"/>
      <c r="J229" s="344"/>
      <c r="K229" s="344"/>
    </row>
    <row r="230" spans="2:11" x14ac:dyDescent="0.2">
      <c r="B230" s="344"/>
      <c r="C230" s="344"/>
      <c r="D230" s="344"/>
      <c r="E230" s="344"/>
      <c r="F230" s="344"/>
      <c r="G230" s="344"/>
      <c r="H230" s="344"/>
      <c r="I230" s="344"/>
      <c r="J230" s="344"/>
      <c r="K230" s="344"/>
    </row>
    <row r="231" spans="2:11" x14ac:dyDescent="0.2">
      <c r="B231" s="344"/>
      <c r="C231" s="344"/>
      <c r="D231" s="344"/>
      <c r="E231" s="344"/>
      <c r="F231" s="344"/>
      <c r="G231" s="344"/>
      <c r="H231" s="344"/>
      <c r="I231" s="344"/>
      <c r="J231" s="344"/>
      <c r="K231" s="344"/>
    </row>
    <row r="232" spans="2:11" x14ac:dyDescent="0.2">
      <c r="B232" s="344"/>
      <c r="C232" s="344"/>
      <c r="D232" s="344"/>
      <c r="E232" s="344"/>
      <c r="F232" s="344"/>
      <c r="G232" s="344"/>
      <c r="H232" s="344"/>
      <c r="I232" s="344"/>
      <c r="J232" s="344"/>
      <c r="K232" s="344"/>
    </row>
    <row r="233" spans="2:11" x14ac:dyDescent="0.2">
      <c r="B233" s="344"/>
      <c r="C233" s="344"/>
      <c r="D233" s="344"/>
      <c r="E233" s="344"/>
      <c r="F233" s="344"/>
      <c r="G233" s="344"/>
      <c r="H233" s="344"/>
      <c r="I233" s="344"/>
      <c r="J233" s="344"/>
      <c r="K233" s="344"/>
    </row>
    <row r="234" spans="2:11" x14ac:dyDescent="0.2">
      <c r="B234" s="344"/>
      <c r="C234" s="344"/>
      <c r="D234" s="344"/>
      <c r="E234" s="344"/>
      <c r="F234" s="344"/>
      <c r="G234" s="344"/>
      <c r="H234" s="344"/>
      <c r="I234" s="344"/>
      <c r="J234" s="344"/>
      <c r="K234" s="344"/>
    </row>
    <row r="235" spans="2:11" x14ac:dyDescent="0.2">
      <c r="B235" s="344"/>
      <c r="C235" s="344"/>
      <c r="D235" s="344"/>
      <c r="E235" s="344"/>
      <c r="F235" s="344"/>
      <c r="G235" s="344"/>
      <c r="H235" s="344"/>
      <c r="I235" s="344"/>
      <c r="J235" s="344"/>
      <c r="K235" s="344"/>
    </row>
    <row r="236" spans="2:11" x14ac:dyDescent="0.2">
      <c r="B236" s="344"/>
      <c r="C236" s="344"/>
      <c r="D236" s="344"/>
      <c r="E236" s="344"/>
      <c r="F236" s="344"/>
      <c r="G236" s="344"/>
      <c r="H236" s="344"/>
      <c r="I236" s="344"/>
      <c r="J236" s="344"/>
      <c r="K236" s="344"/>
    </row>
    <row r="237" spans="2:11" x14ac:dyDescent="0.2">
      <c r="B237" s="344"/>
      <c r="C237" s="344"/>
      <c r="D237" s="344"/>
      <c r="E237" s="344"/>
      <c r="F237" s="344"/>
      <c r="G237" s="344"/>
      <c r="H237" s="344"/>
      <c r="I237" s="344"/>
      <c r="J237" s="344"/>
      <c r="K237" s="344"/>
    </row>
    <row r="238" spans="2:11" x14ac:dyDescent="0.2">
      <c r="B238" s="344"/>
      <c r="C238" s="344"/>
      <c r="D238" s="344"/>
      <c r="E238" s="344"/>
      <c r="F238" s="344"/>
      <c r="G238" s="344"/>
      <c r="H238" s="344"/>
      <c r="I238" s="344"/>
      <c r="J238" s="344"/>
      <c r="K238" s="344"/>
    </row>
    <row r="239" spans="2:11" x14ac:dyDescent="0.2">
      <c r="B239" s="344"/>
      <c r="C239" s="344"/>
      <c r="D239" s="344"/>
      <c r="E239" s="344"/>
      <c r="F239" s="344"/>
      <c r="G239" s="344"/>
      <c r="H239" s="344"/>
      <c r="I239" s="344"/>
      <c r="J239" s="344"/>
      <c r="K239" s="344"/>
    </row>
    <row r="240" spans="2:11" x14ac:dyDescent="0.2">
      <c r="B240" s="344"/>
      <c r="C240" s="344"/>
      <c r="D240" s="344"/>
      <c r="E240" s="344"/>
      <c r="F240" s="344"/>
      <c r="G240" s="344"/>
      <c r="H240" s="344"/>
      <c r="I240" s="344"/>
      <c r="J240" s="344"/>
      <c r="K240" s="344"/>
    </row>
    <row r="241" spans="2:11" x14ac:dyDescent="0.2">
      <c r="B241" s="344"/>
      <c r="C241" s="344"/>
      <c r="D241" s="344"/>
      <c r="E241" s="344"/>
      <c r="F241" s="344"/>
      <c r="G241" s="344"/>
      <c r="H241" s="344"/>
      <c r="I241" s="344"/>
      <c r="J241" s="344"/>
      <c r="K241" s="344"/>
    </row>
    <row r="242" spans="2:11" x14ac:dyDescent="0.2">
      <c r="B242" s="344"/>
      <c r="C242" s="344"/>
      <c r="D242" s="344"/>
      <c r="E242" s="344"/>
      <c r="F242" s="344"/>
      <c r="G242" s="344"/>
      <c r="H242" s="344"/>
      <c r="I242" s="344"/>
      <c r="J242" s="344"/>
      <c r="K242" s="344"/>
    </row>
    <row r="243" spans="2:11" x14ac:dyDescent="0.2">
      <c r="B243" s="344"/>
      <c r="C243" s="344"/>
      <c r="D243" s="344"/>
      <c r="E243" s="344"/>
      <c r="F243" s="344"/>
      <c r="G243" s="344"/>
      <c r="H243" s="344"/>
      <c r="I243" s="344"/>
      <c r="J243" s="344"/>
      <c r="K243" s="344"/>
    </row>
    <row r="244" spans="2:11" x14ac:dyDescent="0.2">
      <c r="B244" s="344"/>
      <c r="C244" s="344"/>
      <c r="D244" s="344"/>
      <c r="E244" s="344"/>
      <c r="F244" s="344"/>
      <c r="G244" s="344"/>
      <c r="H244" s="344"/>
      <c r="I244" s="344"/>
      <c r="J244" s="344"/>
      <c r="K244" s="344"/>
    </row>
    <row r="245" spans="2:11" x14ac:dyDescent="0.2">
      <c r="B245" s="344"/>
      <c r="C245" s="344"/>
      <c r="D245" s="344"/>
      <c r="E245" s="344"/>
      <c r="F245" s="344"/>
      <c r="G245" s="344"/>
      <c r="H245" s="344"/>
      <c r="I245" s="344"/>
      <c r="J245" s="344"/>
      <c r="K245" s="344"/>
    </row>
    <row r="246" spans="2:11" x14ac:dyDescent="0.2">
      <c r="B246" s="344"/>
      <c r="C246" s="344"/>
      <c r="D246" s="344"/>
      <c r="E246" s="344"/>
      <c r="F246" s="344"/>
      <c r="G246" s="344"/>
      <c r="H246" s="344"/>
      <c r="I246" s="344"/>
      <c r="J246" s="344"/>
      <c r="K246" s="344"/>
    </row>
    <row r="247" spans="2:11" x14ac:dyDescent="0.2">
      <c r="B247" s="344"/>
      <c r="C247" s="344"/>
      <c r="D247" s="344"/>
      <c r="E247" s="344"/>
      <c r="F247" s="344"/>
      <c r="G247" s="344"/>
      <c r="H247" s="344"/>
      <c r="I247" s="344"/>
      <c r="J247" s="344"/>
      <c r="K247" s="344"/>
    </row>
    <row r="248" spans="2:11" x14ac:dyDescent="0.2">
      <c r="B248" s="344"/>
      <c r="C248" s="344"/>
      <c r="D248" s="344"/>
      <c r="E248" s="344"/>
      <c r="F248" s="344"/>
      <c r="G248" s="344"/>
      <c r="H248" s="344"/>
      <c r="I248" s="344"/>
      <c r="J248" s="344"/>
      <c r="K248" s="344"/>
    </row>
    <row r="249" spans="2:11" x14ac:dyDescent="0.2">
      <c r="B249" s="344"/>
      <c r="C249" s="344"/>
      <c r="D249" s="344"/>
      <c r="E249" s="344"/>
      <c r="F249" s="344"/>
      <c r="G249" s="344"/>
      <c r="H249" s="344"/>
      <c r="I249" s="344"/>
      <c r="J249" s="344"/>
      <c r="K249" s="344"/>
    </row>
    <row r="250" spans="2:11" x14ac:dyDescent="0.2">
      <c r="B250" s="344"/>
      <c r="C250" s="344"/>
      <c r="D250" s="344"/>
      <c r="E250" s="344"/>
      <c r="F250" s="344"/>
      <c r="G250" s="344"/>
      <c r="H250" s="344"/>
      <c r="I250" s="344"/>
      <c r="J250" s="344"/>
      <c r="K250" s="344"/>
    </row>
    <row r="251" spans="2:11" x14ac:dyDescent="0.2">
      <c r="B251" s="344"/>
      <c r="C251" s="344"/>
      <c r="D251" s="344"/>
      <c r="E251" s="344"/>
      <c r="F251" s="344"/>
      <c r="G251" s="344"/>
      <c r="H251" s="344"/>
      <c r="I251" s="344"/>
      <c r="J251" s="344"/>
      <c r="K251" s="344"/>
    </row>
    <row r="252" spans="2:11" x14ac:dyDescent="0.2">
      <c r="B252" s="344"/>
      <c r="C252" s="344"/>
      <c r="D252" s="344"/>
      <c r="E252" s="344"/>
      <c r="F252" s="344"/>
      <c r="G252" s="344"/>
      <c r="H252" s="344"/>
      <c r="I252" s="344"/>
      <c r="J252" s="344"/>
      <c r="K252" s="344"/>
    </row>
    <row r="253" spans="2:11" x14ac:dyDescent="0.2">
      <c r="B253" s="344"/>
      <c r="C253" s="344"/>
      <c r="D253" s="344"/>
      <c r="E253" s="344"/>
      <c r="F253" s="344"/>
      <c r="G253" s="344"/>
      <c r="H253" s="344"/>
      <c r="I253" s="344"/>
      <c r="J253" s="344"/>
      <c r="K253" s="344"/>
    </row>
    <row r="254" spans="2:11" x14ac:dyDescent="0.2">
      <c r="B254" s="344"/>
      <c r="C254" s="344"/>
      <c r="D254" s="344"/>
      <c r="E254" s="344"/>
      <c r="F254" s="344"/>
      <c r="G254" s="344"/>
      <c r="H254" s="344"/>
      <c r="I254" s="344"/>
      <c r="J254" s="344"/>
      <c r="K254" s="344"/>
    </row>
    <row r="255" spans="2:11" x14ac:dyDescent="0.2">
      <c r="B255" s="344"/>
      <c r="C255" s="344"/>
      <c r="D255" s="344"/>
      <c r="E255" s="344"/>
      <c r="F255" s="344"/>
      <c r="G255" s="344"/>
      <c r="H255" s="344"/>
      <c r="I255" s="344"/>
      <c r="J255" s="344"/>
      <c r="K255" s="344"/>
    </row>
    <row r="256" spans="2:11" x14ac:dyDescent="0.2">
      <c r="B256" s="344"/>
      <c r="C256" s="344"/>
      <c r="D256" s="344"/>
      <c r="E256" s="344"/>
      <c r="F256" s="344"/>
      <c r="G256" s="344"/>
      <c r="H256" s="344"/>
      <c r="I256" s="344"/>
      <c r="J256" s="344"/>
      <c r="K256" s="344"/>
    </row>
    <row r="257" spans="2:11" x14ac:dyDescent="0.2">
      <c r="B257" s="344"/>
      <c r="C257" s="344"/>
      <c r="D257" s="344"/>
      <c r="E257" s="344"/>
      <c r="F257" s="344"/>
      <c r="G257" s="344"/>
      <c r="H257" s="344"/>
      <c r="I257" s="344"/>
      <c r="J257" s="344"/>
      <c r="K257" s="344"/>
    </row>
    <row r="258" spans="2:11" x14ac:dyDescent="0.2">
      <c r="B258" s="344"/>
      <c r="C258" s="344"/>
      <c r="D258" s="344"/>
      <c r="E258" s="344"/>
      <c r="F258" s="344"/>
      <c r="G258" s="344"/>
      <c r="H258" s="344"/>
      <c r="I258" s="344"/>
      <c r="J258" s="344"/>
      <c r="K258" s="344"/>
    </row>
    <row r="259" spans="2:11" x14ac:dyDescent="0.2">
      <c r="B259" s="344"/>
      <c r="C259" s="344"/>
      <c r="D259" s="344"/>
      <c r="E259" s="344"/>
      <c r="F259" s="344"/>
      <c r="G259" s="344"/>
      <c r="H259" s="344"/>
      <c r="I259" s="344"/>
      <c r="J259" s="344"/>
      <c r="K259" s="344"/>
    </row>
    <row r="260" spans="2:11" x14ac:dyDescent="0.2">
      <c r="B260" s="344"/>
      <c r="C260" s="344"/>
      <c r="D260" s="344"/>
      <c r="E260" s="344"/>
      <c r="F260" s="344"/>
      <c r="G260" s="344"/>
      <c r="H260" s="344"/>
      <c r="I260" s="344"/>
      <c r="J260" s="344"/>
      <c r="K260" s="344"/>
    </row>
    <row r="261" spans="2:11" x14ac:dyDescent="0.2">
      <c r="B261" s="344"/>
      <c r="C261" s="344"/>
      <c r="D261" s="344"/>
      <c r="E261" s="344"/>
      <c r="F261" s="344"/>
      <c r="G261" s="344"/>
      <c r="H261" s="344"/>
      <c r="I261" s="344"/>
      <c r="J261" s="344"/>
      <c r="K261" s="344"/>
    </row>
    <row r="262" spans="2:11" x14ac:dyDescent="0.2">
      <c r="B262" s="344"/>
      <c r="C262" s="344"/>
      <c r="D262" s="344"/>
      <c r="E262" s="344"/>
      <c r="F262" s="344"/>
      <c r="G262" s="344"/>
      <c r="H262" s="344"/>
      <c r="I262" s="344"/>
      <c r="J262" s="344"/>
      <c r="K262" s="344"/>
    </row>
    <row r="263" spans="2:11" x14ac:dyDescent="0.2">
      <c r="B263" s="344"/>
      <c r="C263" s="344"/>
      <c r="D263" s="344"/>
      <c r="E263" s="344"/>
      <c r="F263" s="344"/>
      <c r="G263" s="344"/>
      <c r="H263" s="344"/>
      <c r="I263" s="344"/>
      <c r="J263" s="344"/>
      <c r="K263" s="344"/>
    </row>
    <row r="264" spans="2:11" x14ac:dyDescent="0.2">
      <c r="B264" s="344"/>
      <c r="C264" s="344"/>
      <c r="D264" s="344"/>
      <c r="E264" s="344"/>
      <c r="F264" s="344"/>
      <c r="G264" s="344"/>
      <c r="H264" s="344"/>
      <c r="I264" s="344"/>
      <c r="J264" s="344"/>
      <c r="K264" s="344"/>
    </row>
    <row r="265" spans="2:11" x14ac:dyDescent="0.2">
      <c r="B265" s="344"/>
      <c r="C265" s="344"/>
      <c r="D265" s="344"/>
      <c r="E265" s="344"/>
      <c r="F265" s="344"/>
      <c r="G265" s="344"/>
      <c r="H265" s="344"/>
      <c r="I265" s="344"/>
      <c r="J265" s="344"/>
      <c r="K265" s="344"/>
    </row>
    <row r="266" spans="2:11" x14ac:dyDescent="0.2">
      <c r="B266" s="344"/>
      <c r="C266" s="344"/>
      <c r="D266" s="344"/>
      <c r="E266" s="344"/>
      <c r="F266" s="344"/>
      <c r="G266" s="344"/>
      <c r="H266" s="344"/>
      <c r="I266" s="344"/>
      <c r="J266" s="344"/>
      <c r="K266" s="344"/>
    </row>
    <row r="267" spans="2:11" x14ac:dyDescent="0.2">
      <c r="B267" s="344"/>
      <c r="C267" s="344"/>
      <c r="D267" s="344"/>
      <c r="E267" s="344"/>
      <c r="F267" s="344"/>
      <c r="G267" s="344"/>
      <c r="H267" s="344"/>
      <c r="I267" s="344"/>
      <c r="J267" s="344"/>
      <c r="K267" s="344"/>
    </row>
    <row r="268" spans="2:11" x14ac:dyDescent="0.2">
      <c r="B268" s="344"/>
      <c r="C268" s="344"/>
      <c r="D268" s="344"/>
      <c r="E268" s="344"/>
      <c r="F268" s="344"/>
      <c r="G268" s="344"/>
      <c r="H268" s="344"/>
      <c r="I268" s="344"/>
      <c r="J268" s="344"/>
      <c r="K268" s="344"/>
    </row>
    <row r="269" spans="2:11" x14ac:dyDescent="0.2">
      <c r="B269" s="344"/>
      <c r="C269" s="344"/>
      <c r="D269" s="344"/>
      <c r="E269" s="344"/>
      <c r="F269" s="344"/>
      <c r="G269" s="344"/>
      <c r="H269" s="344"/>
      <c r="I269" s="344"/>
      <c r="J269" s="344"/>
      <c r="K269" s="344"/>
    </row>
    <row r="270" spans="2:11" x14ac:dyDescent="0.2">
      <c r="B270" s="344"/>
      <c r="C270" s="344"/>
      <c r="D270" s="344"/>
      <c r="E270" s="344"/>
      <c r="F270" s="344"/>
      <c r="G270" s="344"/>
      <c r="H270" s="344"/>
      <c r="I270" s="344"/>
      <c r="J270" s="344"/>
      <c r="K270" s="344"/>
    </row>
    <row r="271" spans="2:11" x14ac:dyDescent="0.2">
      <c r="B271" s="344"/>
      <c r="C271" s="344"/>
      <c r="D271" s="344"/>
      <c r="E271" s="344"/>
      <c r="F271" s="344"/>
      <c r="G271" s="344"/>
      <c r="H271" s="344"/>
      <c r="I271" s="344"/>
      <c r="J271" s="344"/>
      <c r="K271" s="344"/>
    </row>
    <row r="272" spans="2:11" x14ac:dyDescent="0.2">
      <c r="B272" s="344"/>
      <c r="C272" s="344"/>
      <c r="D272" s="344"/>
      <c r="E272" s="344"/>
      <c r="F272" s="344"/>
      <c r="G272" s="344"/>
      <c r="H272" s="344"/>
      <c r="I272" s="344"/>
      <c r="J272" s="344"/>
      <c r="K272" s="344"/>
    </row>
    <row r="273" spans="2:11" x14ac:dyDescent="0.2">
      <c r="B273" s="344"/>
      <c r="C273" s="344"/>
      <c r="D273" s="344"/>
      <c r="E273" s="344"/>
      <c r="F273" s="344"/>
      <c r="G273" s="344"/>
      <c r="H273" s="344"/>
      <c r="I273" s="344"/>
      <c r="J273" s="344"/>
      <c r="K273" s="344"/>
    </row>
    <row r="274" spans="2:11" x14ac:dyDescent="0.2">
      <c r="B274" s="344"/>
      <c r="C274" s="344"/>
      <c r="D274" s="344"/>
      <c r="E274" s="344"/>
      <c r="F274" s="344"/>
      <c r="G274" s="344"/>
      <c r="H274" s="344"/>
      <c r="I274" s="344"/>
      <c r="J274" s="344"/>
      <c r="K274" s="344"/>
    </row>
    <row r="275" spans="2:11" x14ac:dyDescent="0.2">
      <c r="B275" s="344"/>
      <c r="C275" s="344"/>
      <c r="D275" s="344"/>
      <c r="E275" s="344"/>
      <c r="F275" s="344"/>
      <c r="G275" s="344"/>
      <c r="H275" s="344"/>
      <c r="I275" s="344"/>
      <c r="J275" s="344"/>
      <c r="K275" s="344"/>
    </row>
    <row r="276" spans="2:11" x14ac:dyDescent="0.2">
      <c r="B276" s="344"/>
      <c r="C276" s="344"/>
      <c r="D276" s="344"/>
      <c r="E276" s="344"/>
      <c r="F276" s="344"/>
      <c r="G276" s="344"/>
      <c r="H276" s="344"/>
      <c r="I276" s="344"/>
      <c r="J276" s="344"/>
      <c r="K276" s="344"/>
    </row>
    <row r="277" spans="2:11" x14ac:dyDescent="0.2">
      <c r="B277" s="344"/>
      <c r="C277" s="344"/>
      <c r="D277" s="344"/>
      <c r="E277" s="344"/>
      <c r="F277" s="344"/>
      <c r="G277" s="344"/>
      <c r="H277" s="344"/>
      <c r="I277" s="344"/>
      <c r="J277" s="344"/>
      <c r="K277" s="344"/>
    </row>
    <row r="278" spans="2:11" x14ac:dyDescent="0.2">
      <c r="B278" s="344"/>
      <c r="C278" s="344"/>
      <c r="D278" s="344"/>
      <c r="E278" s="344"/>
      <c r="F278" s="344"/>
      <c r="G278" s="344"/>
      <c r="H278" s="344"/>
      <c r="I278" s="344"/>
      <c r="J278" s="344"/>
      <c r="K278" s="344"/>
    </row>
    <row r="279" spans="2:11" x14ac:dyDescent="0.2">
      <c r="B279" s="344"/>
      <c r="C279" s="344"/>
      <c r="D279" s="344"/>
      <c r="E279" s="344"/>
      <c r="F279" s="344"/>
      <c r="G279" s="344"/>
      <c r="H279" s="344"/>
      <c r="I279" s="344"/>
      <c r="J279" s="344"/>
      <c r="K279" s="344"/>
    </row>
    <row r="280" spans="2:11" x14ac:dyDescent="0.2">
      <c r="B280" s="344"/>
      <c r="C280" s="344"/>
      <c r="D280" s="344"/>
      <c r="E280" s="344"/>
      <c r="F280" s="344"/>
      <c r="G280" s="344"/>
      <c r="H280" s="344"/>
      <c r="I280" s="344"/>
      <c r="J280" s="344"/>
      <c r="K280" s="344"/>
    </row>
    <row r="281" spans="2:11" x14ac:dyDescent="0.2">
      <c r="B281" s="344"/>
      <c r="C281" s="344"/>
      <c r="D281" s="344"/>
      <c r="E281" s="344"/>
      <c r="F281" s="344"/>
      <c r="G281" s="344"/>
      <c r="H281" s="344"/>
      <c r="I281" s="344"/>
      <c r="J281" s="344"/>
      <c r="K281" s="344"/>
    </row>
    <row r="282" spans="2:11" x14ac:dyDescent="0.2">
      <c r="B282" s="344"/>
      <c r="C282" s="344"/>
      <c r="D282" s="344"/>
      <c r="E282" s="344"/>
      <c r="F282" s="344"/>
      <c r="G282" s="344"/>
      <c r="H282" s="344"/>
      <c r="I282" s="344"/>
      <c r="J282" s="344"/>
      <c r="K282" s="344"/>
    </row>
    <row r="283" spans="2:11" x14ac:dyDescent="0.2">
      <c r="B283" s="344"/>
      <c r="C283" s="344"/>
      <c r="D283" s="344"/>
      <c r="E283" s="344"/>
      <c r="F283" s="344"/>
      <c r="G283" s="344"/>
      <c r="H283" s="344"/>
      <c r="I283" s="344"/>
      <c r="J283" s="344"/>
      <c r="K283" s="344"/>
    </row>
    <row r="284" spans="2:11" x14ac:dyDescent="0.2">
      <c r="B284" s="344"/>
      <c r="C284" s="344"/>
      <c r="D284" s="344"/>
      <c r="E284" s="344"/>
      <c r="F284" s="344"/>
      <c r="G284" s="344"/>
      <c r="H284" s="344"/>
      <c r="I284" s="344"/>
      <c r="J284" s="344"/>
      <c r="K284" s="344"/>
    </row>
    <row r="285" spans="2:11" x14ac:dyDescent="0.2">
      <c r="B285" s="344"/>
      <c r="C285" s="344"/>
      <c r="D285" s="344"/>
      <c r="E285" s="344"/>
      <c r="F285" s="344"/>
      <c r="G285" s="344"/>
      <c r="H285" s="344"/>
      <c r="I285" s="344"/>
      <c r="J285" s="344"/>
      <c r="K285" s="344"/>
    </row>
    <row r="286" spans="2:11" x14ac:dyDescent="0.2">
      <c r="B286" s="344"/>
      <c r="C286" s="344"/>
      <c r="D286" s="344"/>
      <c r="E286" s="344"/>
      <c r="F286" s="344"/>
      <c r="G286" s="344"/>
      <c r="H286" s="344"/>
      <c r="I286" s="344"/>
      <c r="J286" s="344"/>
      <c r="K286" s="344"/>
    </row>
    <row r="287" spans="2:11" x14ac:dyDescent="0.2">
      <c r="B287" s="344"/>
      <c r="C287" s="344"/>
      <c r="D287" s="344"/>
      <c r="E287" s="344"/>
      <c r="F287" s="344"/>
      <c r="G287" s="344"/>
      <c r="H287" s="344"/>
      <c r="I287" s="344"/>
      <c r="J287" s="344"/>
      <c r="K287" s="344"/>
    </row>
    <row r="288" spans="2:11" x14ac:dyDescent="0.2">
      <c r="B288" s="344"/>
      <c r="C288" s="344"/>
      <c r="D288" s="344"/>
      <c r="E288" s="344"/>
      <c r="F288" s="344"/>
      <c r="G288" s="344"/>
      <c r="H288" s="344"/>
      <c r="I288" s="344"/>
      <c r="J288" s="344"/>
      <c r="K288" s="344"/>
    </row>
    <row r="289" spans="2:11" x14ac:dyDescent="0.2">
      <c r="B289" s="344"/>
      <c r="C289" s="344"/>
      <c r="D289" s="344"/>
      <c r="E289" s="344"/>
      <c r="F289" s="344"/>
      <c r="G289" s="344"/>
      <c r="H289" s="344"/>
      <c r="I289" s="344"/>
      <c r="J289" s="344"/>
      <c r="K289" s="344"/>
    </row>
    <row r="290" spans="2:11" x14ac:dyDescent="0.2">
      <c r="B290" s="344"/>
      <c r="C290" s="344"/>
      <c r="D290" s="344"/>
      <c r="E290" s="344"/>
      <c r="F290" s="344"/>
      <c r="G290" s="344"/>
      <c r="H290" s="344"/>
      <c r="I290" s="344"/>
      <c r="J290" s="344"/>
      <c r="K290" s="344"/>
    </row>
    <row r="291" spans="2:11" x14ac:dyDescent="0.2">
      <c r="B291" s="344"/>
      <c r="C291" s="344"/>
      <c r="D291" s="344"/>
      <c r="E291" s="344"/>
      <c r="F291" s="344"/>
      <c r="G291" s="344"/>
      <c r="H291" s="344"/>
      <c r="I291" s="344"/>
      <c r="J291" s="344"/>
      <c r="K291" s="344"/>
    </row>
    <row r="292" spans="2:11" x14ac:dyDescent="0.2">
      <c r="B292" s="344"/>
      <c r="C292" s="344"/>
      <c r="D292" s="344"/>
      <c r="E292" s="344"/>
      <c r="F292" s="344"/>
      <c r="G292" s="344"/>
      <c r="H292" s="344"/>
      <c r="I292" s="344"/>
      <c r="J292" s="344"/>
      <c r="K292" s="344"/>
    </row>
    <row r="293" spans="2:11" x14ac:dyDescent="0.2">
      <c r="B293" s="344"/>
      <c r="C293" s="344"/>
      <c r="D293" s="344"/>
      <c r="E293" s="344"/>
      <c r="F293" s="344"/>
      <c r="G293" s="344"/>
      <c r="H293" s="344"/>
      <c r="I293" s="344"/>
      <c r="J293" s="344"/>
      <c r="K293" s="344"/>
    </row>
    <row r="294" spans="2:11" x14ac:dyDescent="0.2">
      <c r="B294" s="344"/>
      <c r="C294" s="344"/>
      <c r="D294" s="344"/>
      <c r="E294" s="344"/>
      <c r="F294" s="344"/>
      <c r="G294" s="344"/>
      <c r="H294" s="344"/>
      <c r="I294" s="344"/>
      <c r="J294" s="344"/>
      <c r="K294" s="34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C00000"/>
  </sheetPr>
  <dimension ref="A1:LG3"/>
  <sheetViews>
    <sheetView workbookViewId="0">
      <selection activeCell="LG4" sqref="LG4"/>
    </sheetView>
  </sheetViews>
  <sheetFormatPr defaultRowHeight="15" x14ac:dyDescent="0.25"/>
  <cols>
    <col min="1" max="1" width="7.140625" style="158" bestFit="1" customWidth="1"/>
    <col min="2" max="2" width="4.42578125" style="158" bestFit="1" customWidth="1"/>
    <col min="3" max="3" width="8" style="158" bestFit="1" customWidth="1"/>
    <col min="4" max="4" width="9" style="158" bestFit="1" customWidth="1"/>
    <col min="5" max="5" width="12.85546875" style="158" bestFit="1" customWidth="1"/>
    <col min="6" max="6" width="5.5703125" style="161" bestFit="1" customWidth="1"/>
    <col min="7" max="7" width="6.28515625" style="165" bestFit="1" customWidth="1"/>
    <col min="8" max="8" width="16.5703125" style="158" bestFit="1" customWidth="1"/>
    <col min="9" max="9" width="14.42578125" style="158" customWidth="1"/>
    <col min="10" max="10" width="18.5703125" style="158" bestFit="1" customWidth="1"/>
    <col min="11" max="11" width="12" style="158" bestFit="1" customWidth="1"/>
    <col min="12" max="12" width="13.5703125" style="158" bestFit="1" customWidth="1"/>
    <col min="13" max="13" width="14" style="163" bestFit="1" customWidth="1"/>
    <col min="14" max="14" width="9" style="163" bestFit="1" customWidth="1"/>
    <col min="15" max="15" width="14.7109375" style="163" bestFit="1" customWidth="1"/>
    <col min="16" max="16" width="9.7109375" style="163" customWidth="1"/>
    <col min="17" max="17" width="16.28515625" style="163" bestFit="1" customWidth="1"/>
    <col min="18" max="18" width="17" style="163" bestFit="1" customWidth="1"/>
    <col min="19" max="19" width="11.85546875" style="163" bestFit="1" customWidth="1"/>
    <col min="20" max="20" width="16.85546875" style="163" bestFit="1" customWidth="1"/>
    <col min="21" max="42" width="9.140625" style="158"/>
    <col min="43" max="53" width="9.140625" style="163"/>
    <col min="54" max="59" width="9.140625" style="158"/>
    <col min="60" max="76" width="9.140625" style="163"/>
    <col min="77" max="78" width="9.140625" style="158"/>
    <col min="79" max="79" width="10.140625" style="158" customWidth="1"/>
    <col min="80" max="82" width="9.140625" style="158"/>
    <col min="83" max="83" width="10.85546875" style="158" customWidth="1"/>
    <col min="84" max="84" width="10.42578125" style="158" customWidth="1"/>
    <col min="85" max="85" width="9.140625" style="158"/>
    <col min="86" max="86" width="10" style="158" customWidth="1"/>
    <col min="87" max="91" width="9.140625" style="158"/>
    <col min="92" max="106" width="9.140625" style="163"/>
    <col min="107" max="121" width="9.140625" style="158"/>
    <col min="122" max="122" width="9.140625" style="161"/>
    <col min="123" max="123" width="9.140625" style="179"/>
    <col min="124" max="124" width="9.140625" style="158"/>
    <col min="125" max="142" width="9.140625" style="163"/>
    <col min="143" max="143" width="9.140625" style="158"/>
    <col min="144" max="152" width="9.140625" style="163"/>
    <col min="153" max="153" width="9.140625" style="158"/>
    <col min="154" max="159" width="9.140625" style="163"/>
    <col min="160" max="160" width="9.140625" style="182"/>
    <col min="161" max="171" width="9.140625" style="158"/>
    <col min="172" max="185" width="9.140625" style="161"/>
    <col min="186" max="197" width="9.140625" style="163"/>
    <col min="198" max="202" width="9.140625" style="158"/>
    <col min="203" max="210" width="9.140625" style="163"/>
    <col min="211" max="212" width="9.140625" style="158"/>
    <col min="213" max="219" width="9.140625" style="163"/>
    <col min="220" max="221" width="9.140625" style="158"/>
    <col min="222" max="224" width="9.140625" style="156"/>
    <col min="225" max="225" width="9.140625" style="163"/>
    <col min="226" max="226" width="9.140625" style="158"/>
    <col min="227" max="244" width="9.140625" style="163"/>
    <col min="245" max="245" width="9.140625" style="158"/>
    <col min="246" max="254" width="9.140625" style="163"/>
    <col min="255" max="255" width="9.140625" style="158"/>
    <col min="256" max="261" width="9.140625" style="163"/>
    <col min="262" max="273" width="9.140625" style="158"/>
    <col min="274" max="287" width="9.140625" style="161"/>
    <col min="288" max="299" width="9.140625" style="163"/>
    <col min="300" max="300" width="9.140625" style="158"/>
    <col min="301" max="308" width="9.140625" style="163"/>
    <col min="309" max="310" width="9.140625" style="158"/>
    <col min="311" max="317" width="9.140625" style="163"/>
    <col min="318" max="319" width="9.140625" style="158"/>
    <col min="320" max="16384" width="9.140625" style="153"/>
  </cols>
  <sheetData>
    <row r="1" spans="1:319" s="154" customFormat="1" ht="33" customHeight="1" x14ac:dyDescent="0.25">
      <c r="A1" s="157">
        <v>1</v>
      </c>
      <c r="B1" s="157">
        <v>1</v>
      </c>
      <c r="C1" s="157">
        <v>1</v>
      </c>
      <c r="D1" s="157">
        <v>1</v>
      </c>
      <c r="E1" s="157">
        <v>1</v>
      </c>
      <c r="F1" s="160">
        <v>1</v>
      </c>
      <c r="G1" s="157">
        <v>1</v>
      </c>
      <c r="H1" s="157">
        <v>1</v>
      </c>
      <c r="I1" s="157">
        <v>1</v>
      </c>
      <c r="J1" s="157">
        <v>1</v>
      </c>
      <c r="K1" s="157">
        <v>1</v>
      </c>
      <c r="L1" s="157">
        <v>1</v>
      </c>
      <c r="M1" s="162">
        <v>2</v>
      </c>
      <c r="N1" s="162">
        <v>2</v>
      </c>
      <c r="O1" s="162">
        <v>2</v>
      </c>
      <c r="P1" s="162">
        <v>2</v>
      </c>
      <c r="Q1" s="162">
        <v>2</v>
      </c>
      <c r="R1" s="162">
        <v>2</v>
      </c>
      <c r="S1" s="162">
        <v>2</v>
      </c>
      <c r="T1" s="162">
        <v>2</v>
      </c>
      <c r="U1" s="157">
        <v>3.1</v>
      </c>
      <c r="V1" s="157"/>
      <c r="W1" s="157">
        <v>3.1</v>
      </c>
      <c r="X1" s="157"/>
      <c r="Y1" s="157">
        <v>3.1</v>
      </c>
      <c r="Z1" s="157"/>
      <c r="AA1" s="157">
        <v>3.1</v>
      </c>
      <c r="AB1" s="157"/>
      <c r="AC1" s="157">
        <v>3.1</v>
      </c>
      <c r="AD1" s="157"/>
      <c r="AE1" s="157">
        <v>3.1</v>
      </c>
      <c r="AF1" s="157"/>
      <c r="AG1" s="157">
        <v>3.1</v>
      </c>
      <c r="AH1" s="157"/>
      <c r="AI1" s="157">
        <v>3.1</v>
      </c>
      <c r="AJ1" s="157"/>
      <c r="AK1" s="157">
        <v>3.1</v>
      </c>
      <c r="AL1" s="157"/>
      <c r="AM1" s="157">
        <v>3.1</v>
      </c>
      <c r="AN1" s="157"/>
      <c r="AO1" s="157">
        <v>3.1</v>
      </c>
      <c r="AP1" s="157"/>
      <c r="AQ1" s="162">
        <v>3.2</v>
      </c>
      <c r="AR1" s="162">
        <v>3.2</v>
      </c>
      <c r="AS1" s="162">
        <v>3.2</v>
      </c>
      <c r="AT1" s="162">
        <v>3.2</v>
      </c>
      <c r="AU1" s="162">
        <v>3.2</v>
      </c>
      <c r="AV1" s="162">
        <v>3.2</v>
      </c>
      <c r="AW1" s="162">
        <v>3.2</v>
      </c>
      <c r="AX1" s="162">
        <v>3.2</v>
      </c>
      <c r="AY1" s="162">
        <v>3.2</v>
      </c>
      <c r="AZ1" s="162">
        <v>3.2</v>
      </c>
      <c r="BA1" s="162">
        <v>3.2</v>
      </c>
      <c r="BB1" s="157">
        <v>4</v>
      </c>
      <c r="BC1" s="157">
        <v>4</v>
      </c>
      <c r="BD1" s="157">
        <v>4</v>
      </c>
      <c r="BE1" s="157">
        <v>4</v>
      </c>
      <c r="BF1" s="157">
        <v>4</v>
      </c>
      <c r="BG1" s="157">
        <v>4</v>
      </c>
      <c r="BH1" s="162">
        <v>5</v>
      </c>
      <c r="BI1" s="162">
        <v>5</v>
      </c>
      <c r="BJ1" s="162">
        <v>5</v>
      </c>
      <c r="BK1" s="162">
        <v>5</v>
      </c>
      <c r="BL1" s="162">
        <v>5</v>
      </c>
      <c r="BM1" s="162">
        <v>5</v>
      </c>
      <c r="BN1" s="162">
        <v>5</v>
      </c>
      <c r="BO1" s="162">
        <v>5</v>
      </c>
      <c r="BP1" s="162">
        <v>5</v>
      </c>
      <c r="BQ1" s="162">
        <v>5</v>
      </c>
      <c r="BR1" s="162">
        <v>5</v>
      </c>
      <c r="BS1" s="162">
        <v>5</v>
      </c>
      <c r="BT1" s="162">
        <v>5</v>
      </c>
      <c r="BU1" s="162">
        <v>5</v>
      </c>
      <c r="BV1" s="162">
        <v>5</v>
      </c>
      <c r="BW1" s="162">
        <v>5</v>
      </c>
      <c r="BX1" s="162"/>
      <c r="BY1" s="157">
        <v>5</v>
      </c>
      <c r="BZ1" s="157">
        <v>5</v>
      </c>
      <c r="CA1" s="157">
        <v>5</v>
      </c>
      <c r="CB1" s="157">
        <v>5</v>
      </c>
      <c r="CC1" s="157">
        <v>5</v>
      </c>
      <c r="CD1" s="157">
        <v>5</v>
      </c>
      <c r="CE1" s="157">
        <v>5</v>
      </c>
      <c r="CF1" s="157">
        <v>5</v>
      </c>
      <c r="CG1" s="157">
        <v>5</v>
      </c>
      <c r="CH1" s="157">
        <v>5</v>
      </c>
      <c r="CI1" s="157">
        <v>5</v>
      </c>
      <c r="CJ1" s="157">
        <v>5</v>
      </c>
      <c r="CK1" s="157">
        <v>5</v>
      </c>
      <c r="CL1" s="157">
        <v>5</v>
      </c>
      <c r="CM1" s="157">
        <v>5</v>
      </c>
      <c r="CN1" s="162">
        <v>5</v>
      </c>
      <c r="CO1" s="162">
        <v>5</v>
      </c>
      <c r="CP1" s="162">
        <v>5</v>
      </c>
      <c r="CQ1" s="162">
        <v>5</v>
      </c>
      <c r="CR1" s="162">
        <v>5</v>
      </c>
      <c r="CS1" s="162">
        <v>5</v>
      </c>
      <c r="CT1" s="162">
        <v>5</v>
      </c>
      <c r="CU1" s="162">
        <v>5</v>
      </c>
      <c r="CV1" s="162">
        <v>5</v>
      </c>
      <c r="CW1" s="162">
        <v>5</v>
      </c>
      <c r="CX1" s="162">
        <v>5</v>
      </c>
      <c r="CY1" s="162">
        <v>5</v>
      </c>
      <c r="CZ1" s="162">
        <v>5</v>
      </c>
      <c r="DA1" s="162">
        <v>5</v>
      </c>
      <c r="DB1" s="162">
        <v>5</v>
      </c>
      <c r="DC1" s="157">
        <v>5</v>
      </c>
      <c r="DD1" s="157">
        <v>5</v>
      </c>
      <c r="DE1" s="157">
        <v>5</v>
      </c>
      <c r="DF1" s="157">
        <v>5</v>
      </c>
      <c r="DG1" s="157">
        <v>5</v>
      </c>
      <c r="DH1" s="157">
        <v>5</v>
      </c>
      <c r="DI1" s="157">
        <v>5</v>
      </c>
      <c r="DJ1" s="157">
        <v>5</v>
      </c>
      <c r="DK1" s="157">
        <v>5</v>
      </c>
      <c r="DL1" s="157">
        <v>5</v>
      </c>
      <c r="DM1" s="157">
        <v>5</v>
      </c>
      <c r="DN1" s="157">
        <v>5</v>
      </c>
      <c r="DO1" s="157">
        <v>5</v>
      </c>
      <c r="DP1" s="157">
        <v>5</v>
      </c>
      <c r="DQ1" s="157">
        <v>5</v>
      </c>
      <c r="DR1" s="160">
        <v>5</v>
      </c>
      <c r="DS1" s="178">
        <v>6</v>
      </c>
      <c r="DT1" s="157">
        <v>6</v>
      </c>
      <c r="DU1" s="162">
        <v>6</v>
      </c>
      <c r="DV1" s="162">
        <v>6</v>
      </c>
      <c r="DW1" s="162">
        <v>6</v>
      </c>
      <c r="DX1" s="162">
        <v>6</v>
      </c>
      <c r="DY1" s="162">
        <v>6</v>
      </c>
      <c r="DZ1" s="162">
        <v>6</v>
      </c>
      <c r="EA1" s="162">
        <v>6</v>
      </c>
      <c r="EB1" s="162">
        <v>6</v>
      </c>
      <c r="EC1" s="162">
        <v>6</v>
      </c>
      <c r="ED1" s="162">
        <v>6</v>
      </c>
      <c r="EE1" s="162">
        <v>6</v>
      </c>
      <c r="EF1" s="162">
        <v>6</v>
      </c>
      <c r="EG1" s="162">
        <v>6</v>
      </c>
      <c r="EH1" s="162">
        <v>6</v>
      </c>
      <c r="EI1" s="162">
        <v>6</v>
      </c>
      <c r="EJ1" s="162">
        <v>6</v>
      </c>
      <c r="EK1" s="162">
        <v>6</v>
      </c>
      <c r="EL1" s="162">
        <v>6</v>
      </c>
      <c r="EM1" s="157">
        <v>6</v>
      </c>
      <c r="EN1" s="162">
        <v>6</v>
      </c>
      <c r="EO1" s="162">
        <v>6</v>
      </c>
      <c r="EP1" s="162">
        <v>6</v>
      </c>
      <c r="EQ1" s="162">
        <v>6</v>
      </c>
      <c r="ER1" s="162">
        <v>6</v>
      </c>
      <c r="ES1" s="162">
        <v>6</v>
      </c>
      <c r="ET1" s="162">
        <v>6</v>
      </c>
      <c r="EU1" s="162">
        <v>6</v>
      </c>
      <c r="EV1" s="162">
        <v>6</v>
      </c>
      <c r="EW1" s="157">
        <v>6</v>
      </c>
      <c r="EX1" s="162">
        <v>6</v>
      </c>
      <c r="EY1" s="162">
        <v>6</v>
      </c>
      <c r="EZ1" s="162">
        <v>6</v>
      </c>
      <c r="FA1" s="162">
        <v>6</v>
      </c>
      <c r="FB1" s="162">
        <v>6</v>
      </c>
      <c r="FC1" s="162">
        <v>6</v>
      </c>
      <c r="FD1" s="181">
        <v>7</v>
      </c>
      <c r="FE1" s="157">
        <v>7</v>
      </c>
      <c r="FF1" s="157">
        <v>7</v>
      </c>
      <c r="FG1" s="157">
        <v>7</v>
      </c>
      <c r="FH1" s="157">
        <v>7</v>
      </c>
      <c r="FI1" s="157">
        <v>7</v>
      </c>
      <c r="FJ1" s="157">
        <v>7</v>
      </c>
      <c r="FK1" s="157">
        <v>7</v>
      </c>
      <c r="FL1" s="157">
        <v>7</v>
      </c>
      <c r="FM1" s="157">
        <v>7</v>
      </c>
      <c r="FN1" s="157">
        <v>7</v>
      </c>
      <c r="FO1" s="157">
        <v>7</v>
      </c>
      <c r="FP1" s="160">
        <v>8</v>
      </c>
      <c r="FQ1" s="160">
        <v>8</v>
      </c>
      <c r="FR1" s="160">
        <v>8</v>
      </c>
      <c r="FS1" s="160">
        <v>8</v>
      </c>
      <c r="FT1" s="160">
        <v>8</v>
      </c>
      <c r="FU1" s="160">
        <v>8</v>
      </c>
      <c r="FV1" s="160">
        <v>8</v>
      </c>
      <c r="FW1" s="160">
        <v>8</v>
      </c>
      <c r="FX1" s="160">
        <v>8</v>
      </c>
      <c r="FY1" s="160">
        <v>8</v>
      </c>
      <c r="FZ1" s="160">
        <v>8</v>
      </c>
      <c r="GA1" s="160">
        <v>8</v>
      </c>
      <c r="GB1" s="160">
        <v>8</v>
      </c>
      <c r="GC1" s="160">
        <v>8</v>
      </c>
      <c r="GD1" s="162">
        <v>9</v>
      </c>
      <c r="GE1" s="162">
        <v>9</v>
      </c>
      <c r="GF1" s="162">
        <v>9</v>
      </c>
      <c r="GG1" s="162">
        <v>9</v>
      </c>
      <c r="GH1" s="162">
        <v>9</v>
      </c>
      <c r="GI1" s="162">
        <v>9</v>
      </c>
      <c r="GJ1" s="162">
        <v>9</v>
      </c>
      <c r="GK1" s="162">
        <v>9</v>
      </c>
      <c r="GL1" s="162">
        <v>9</v>
      </c>
      <c r="GM1" s="162">
        <v>9</v>
      </c>
      <c r="GN1" s="162">
        <v>9</v>
      </c>
      <c r="GO1" s="162">
        <v>9</v>
      </c>
      <c r="GP1" s="157">
        <v>10</v>
      </c>
      <c r="GQ1" s="157">
        <v>10</v>
      </c>
      <c r="GR1" s="157">
        <v>10</v>
      </c>
      <c r="GS1" s="157">
        <v>10</v>
      </c>
      <c r="GT1" s="157">
        <v>10</v>
      </c>
      <c r="GU1" s="162">
        <v>11</v>
      </c>
      <c r="GV1" s="162">
        <v>11</v>
      </c>
      <c r="GW1" s="162">
        <v>11</v>
      </c>
      <c r="GX1" s="162">
        <v>11</v>
      </c>
      <c r="GY1" s="162">
        <v>11</v>
      </c>
      <c r="GZ1" s="162">
        <v>11</v>
      </c>
      <c r="HA1" s="162">
        <v>11</v>
      </c>
      <c r="HB1" s="162">
        <v>11</v>
      </c>
      <c r="HC1" s="157">
        <v>12</v>
      </c>
      <c r="HD1" s="157">
        <v>12</v>
      </c>
      <c r="HE1" s="162">
        <v>13</v>
      </c>
      <c r="HF1" s="162">
        <v>13</v>
      </c>
      <c r="HG1" s="162">
        <v>13</v>
      </c>
      <c r="HH1" s="162">
        <v>13</v>
      </c>
      <c r="HI1" s="162">
        <v>13</v>
      </c>
      <c r="HJ1" s="162">
        <v>13</v>
      </c>
      <c r="HK1" s="162">
        <v>13</v>
      </c>
      <c r="HL1" s="157">
        <v>14</v>
      </c>
      <c r="HM1" s="157">
        <v>14</v>
      </c>
      <c r="HN1" s="155"/>
      <c r="HO1" s="155"/>
      <c r="HP1" s="155"/>
      <c r="HQ1" s="162" t="s">
        <v>1724</v>
      </c>
      <c r="HR1" s="157" t="s">
        <v>1724</v>
      </c>
      <c r="HS1" s="162" t="s">
        <v>1724</v>
      </c>
      <c r="HT1" s="162" t="s">
        <v>1724</v>
      </c>
      <c r="HU1" s="162" t="s">
        <v>1724</v>
      </c>
      <c r="HV1" s="162" t="s">
        <v>1724</v>
      </c>
      <c r="HW1" s="162" t="s">
        <v>1724</v>
      </c>
      <c r="HX1" s="162" t="s">
        <v>1724</v>
      </c>
      <c r="HY1" s="162" t="s">
        <v>1724</v>
      </c>
      <c r="HZ1" s="162" t="s">
        <v>1724</v>
      </c>
      <c r="IA1" s="162" t="s">
        <v>1724</v>
      </c>
      <c r="IB1" s="162" t="s">
        <v>1724</v>
      </c>
      <c r="IC1" s="162" t="s">
        <v>1724</v>
      </c>
      <c r="ID1" s="162" t="s">
        <v>1724</v>
      </c>
      <c r="IE1" s="162" t="s">
        <v>1724</v>
      </c>
      <c r="IF1" s="162" t="s">
        <v>1724</v>
      </c>
      <c r="IG1" s="162" t="s">
        <v>1724</v>
      </c>
      <c r="IH1" s="162" t="s">
        <v>1724</v>
      </c>
      <c r="II1" s="162" t="s">
        <v>1724</v>
      </c>
      <c r="IJ1" s="162" t="s">
        <v>1724</v>
      </c>
      <c r="IK1" s="157" t="s">
        <v>1724</v>
      </c>
      <c r="IL1" s="162" t="s">
        <v>1724</v>
      </c>
      <c r="IM1" s="162" t="s">
        <v>1724</v>
      </c>
      <c r="IN1" s="162" t="s">
        <v>1724</v>
      </c>
      <c r="IO1" s="162" t="s">
        <v>1724</v>
      </c>
      <c r="IP1" s="162" t="s">
        <v>1724</v>
      </c>
      <c r="IQ1" s="162" t="s">
        <v>1724</v>
      </c>
      <c r="IR1" s="162" t="s">
        <v>1724</v>
      </c>
      <c r="IS1" s="162" t="s">
        <v>1724</v>
      </c>
      <c r="IT1" s="162" t="s">
        <v>1724</v>
      </c>
      <c r="IU1" s="157" t="s">
        <v>1724</v>
      </c>
      <c r="IV1" s="162" t="s">
        <v>1724</v>
      </c>
      <c r="IW1" s="162" t="s">
        <v>1724</v>
      </c>
      <c r="IX1" s="162" t="s">
        <v>1724</v>
      </c>
      <c r="IY1" s="162" t="s">
        <v>1724</v>
      </c>
      <c r="IZ1" s="162" t="s">
        <v>1724</v>
      </c>
      <c r="JA1" s="162" t="s">
        <v>1724</v>
      </c>
      <c r="JB1" s="157" t="s">
        <v>1725</v>
      </c>
      <c r="JC1" s="157" t="s">
        <v>1725</v>
      </c>
      <c r="JD1" s="157" t="s">
        <v>1725</v>
      </c>
      <c r="JE1" s="157" t="s">
        <v>1725</v>
      </c>
      <c r="JF1" s="157" t="s">
        <v>1725</v>
      </c>
      <c r="JG1" s="157" t="s">
        <v>1725</v>
      </c>
      <c r="JH1" s="157" t="s">
        <v>1725</v>
      </c>
      <c r="JI1" s="157" t="s">
        <v>1725</v>
      </c>
      <c r="JJ1" s="157" t="s">
        <v>1725</v>
      </c>
      <c r="JK1" s="157" t="s">
        <v>1725</v>
      </c>
      <c r="JL1" s="157" t="s">
        <v>1725</v>
      </c>
      <c r="JM1" s="157" t="s">
        <v>1725</v>
      </c>
      <c r="JN1" s="160" t="s">
        <v>1726</v>
      </c>
      <c r="JO1" s="160" t="s">
        <v>1726</v>
      </c>
      <c r="JP1" s="160" t="s">
        <v>1726</v>
      </c>
      <c r="JQ1" s="160" t="s">
        <v>1726</v>
      </c>
      <c r="JR1" s="160" t="s">
        <v>1726</v>
      </c>
      <c r="JS1" s="160" t="s">
        <v>1726</v>
      </c>
      <c r="JT1" s="160" t="s">
        <v>1726</v>
      </c>
      <c r="JU1" s="160" t="s">
        <v>1726</v>
      </c>
      <c r="JV1" s="160" t="s">
        <v>1726</v>
      </c>
      <c r="JW1" s="160" t="s">
        <v>1726</v>
      </c>
      <c r="JX1" s="160" t="s">
        <v>1726</v>
      </c>
      <c r="JY1" s="160" t="s">
        <v>1726</v>
      </c>
      <c r="JZ1" s="160" t="s">
        <v>1726</v>
      </c>
      <c r="KA1" s="160" t="s">
        <v>1726</v>
      </c>
      <c r="KB1" s="162" t="s">
        <v>1727</v>
      </c>
      <c r="KC1" s="162" t="s">
        <v>1727</v>
      </c>
      <c r="KD1" s="162" t="s">
        <v>1727</v>
      </c>
      <c r="KE1" s="162" t="s">
        <v>1727</v>
      </c>
      <c r="KF1" s="162" t="s">
        <v>1727</v>
      </c>
      <c r="KG1" s="162" t="s">
        <v>1727</v>
      </c>
      <c r="KH1" s="162" t="s">
        <v>1727</v>
      </c>
      <c r="KI1" s="162" t="s">
        <v>1727</v>
      </c>
      <c r="KJ1" s="162" t="s">
        <v>1727</v>
      </c>
      <c r="KK1" s="162" t="s">
        <v>1727</v>
      </c>
      <c r="KL1" s="162" t="s">
        <v>1727</v>
      </c>
      <c r="KM1" s="162" t="s">
        <v>1727</v>
      </c>
      <c r="KN1" s="157" t="s">
        <v>1728</v>
      </c>
      <c r="KO1" s="162" t="s">
        <v>1729</v>
      </c>
      <c r="KP1" s="162" t="s">
        <v>1729</v>
      </c>
      <c r="KQ1" s="162" t="s">
        <v>1729</v>
      </c>
      <c r="KR1" s="162" t="s">
        <v>1729</v>
      </c>
      <c r="KS1" s="162" t="s">
        <v>1729</v>
      </c>
      <c r="KT1" s="162" t="s">
        <v>1729</v>
      </c>
      <c r="KU1" s="162" t="s">
        <v>1729</v>
      </c>
      <c r="KV1" s="162" t="s">
        <v>1729</v>
      </c>
      <c r="KW1" s="157" t="s">
        <v>1730</v>
      </c>
      <c r="KX1" s="157" t="s">
        <v>1730</v>
      </c>
      <c r="KY1" s="162" t="s">
        <v>1731</v>
      </c>
      <c r="KZ1" s="162" t="s">
        <v>1731</v>
      </c>
      <c r="LA1" s="162" t="s">
        <v>1731</v>
      </c>
      <c r="LB1" s="162" t="s">
        <v>1731</v>
      </c>
      <c r="LC1" s="162" t="s">
        <v>1731</v>
      </c>
      <c r="LD1" s="162" t="s">
        <v>1731</v>
      </c>
      <c r="LE1" s="162" t="s">
        <v>1731</v>
      </c>
      <c r="LF1" s="157" t="s">
        <v>1732</v>
      </c>
      <c r="LG1" s="157" t="s">
        <v>1732</v>
      </c>
    </row>
    <row r="2" spans="1:319" x14ac:dyDescent="0.25">
      <c r="A2" s="165" t="s">
        <v>1029</v>
      </c>
      <c r="B2" s="165" t="s">
        <v>1030</v>
      </c>
      <c r="C2" s="165" t="s">
        <v>84</v>
      </c>
      <c r="D2" s="165" t="s">
        <v>1031</v>
      </c>
      <c r="E2" s="165" t="s">
        <v>1035</v>
      </c>
      <c r="F2" s="166" t="s">
        <v>1032</v>
      </c>
      <c r="G2" s="167" t="s">
        <v>1034</v>
      </c>
      <c r="H2" s="165" t="s">
        <v>1033</v>
      </c>
      <c r="I2" s="165" t="s">
        <v>68</v>
      </c>
      <c r="J2" s="165" t="s">
        <v>69</v>
      </c>
      <c r="K2" s="165" t="s">
        <v>70</v>
      </c>
      <c r="L2" s="165" t="s">
        <v>71</v>
      </c>
      <c r="M2" s="163" t="s">
        <v>1535</v>
      </c>
      <c r="N2" s="163" t="s">
        <v>1536</v>
      </c>
      <c r="O2" s="163" t="s">
        <v>1534</v>
      </c>
      <c r="P2" s="163" t="s">
        <v>1537</v>
      </c>
      <c r="Q2" s="163" t="s">
        <v>1538</v>
      </c>
      <c r="R2" s="163" t="s">
        <v>1539</v>
      </c>
      <c r="S2" s="163" t="s">
        <v>1540</v>
      </c>
      <c r="T2" s="163" t="s">
        <v>1541</v>
      </c>
      <c r="U2" s="158" t="s">
        <v>1542</v>
      </c>
      <c r="W2" s="158" t="s">
        <v>1543</v>
      </c>
      <c r="Y2" s="158" t="s">
        <v>1544</v>
      </c>
      <c r="AA2" s="158" t="s">
        <v>1545</v>
      </c>
      <c r="AC2" s="158" t="s">
        <v>1546</v>
      </c>
      <c r="AE2" s="158" t="s">
        <v>1547</v>
      </c>
      <c r="AG2" s="158" t="s">
        <v>1548</v>
      </c>
      <c r="AI2" s="158" t="s">
        <v>1549</v>
      </c>
      <c r="AK2" s="158" t="s">
        <v>1550</v>
      </c>
      <c r="AM2" s="158" t="s">
        <v>1551</v>
      </c>
      <c r="AO2" s="158" t="s">
        <v>1552</v>
      </c>
      <c r="AQ2" s="163" t="s">
        <v>1553</v>
      </c>
      <c r="AR2" s="163" t="s">
        <v>1554</v>
      </c>
      <c r="AS2" s="163" t="s">
        <v>1555</v>
      </c>
      <c r="AT2" s="163" t="s">
        <v>1556</v>
      </c>
      <c r="AU2" s="163" t="s">
        <v>1557</v>
      </c>
      <c r="AV2" s="163" t="s">
        <v>1558</v>
      </c>
      <c r="AW2" s="163" t="s">
        <v>1559</v>
      </c>
      <c r="AX2" s="163" t="s">
        <v>1560</v>
      </c>
      <c r="AY2" s="163" t="s">
        <v>1561</v>
      </c>
      <c r="AZ2" s="163" t="s">
        <v>1562</v>
      </c>
      <c r="BA2" s="163" t="s">
        <v>1563</v>
      </c>
      <c r="BB2" s="158" t="s">
        <v>1564</v>
      </c>
      <c r="BC2" s="158" t="s">
        <v>1565</v>
      </c>
      <c r="BD2" s="158" t="s">
        <v>1566</v>
      </c>
      <c r="BE2" s="158" t="s">
        <v>1567</v>
      </c>
      <c r="BF2" s="158" t="s">
        <v>1568</v>
      </c>
      <c r="BG2" s="158" t="s">
        <v>1569</v>
      </c>
      <c r="BH2" s="163" t="s">
        <v>1756</v>
      </c>
      <c r="BI2" s="163" t="s">
        <v>1622</v>
      </c>
      <c r="BJ2" s="163" t="s">
        <v>1570</v>
      </c>
      <c r="BK2" s="163" t="s">
        <v>1571</v>
      </c>
      <c r="BL2" s="163" t="s">
        <v>1572</v>
      </c>
      <c r="BM2" s="163" t="s">
        <v>1573</v>
      </c>
      <c r="BN2" s="163" t="s">
        <v>1574</v>
      </c>
      <c r="BO2" s="163" t="s">
        <v>1575</v>
      </c>
      <c r="BP2" s="163" t="s">
        <v>1576</v>
      </c>
      <c r="BQ2" s="163" t="s">
        <v>1577</v>
      </c>
      <c r="BR2" s="163" t="s">
        <v>1578</v>
      </c>
      <c r="BS2" s="163" t="s">
        <v>1579</v>
      </c>
      <c r="BT2" s="163" t="s">
        <v>1580</v>
      </c>
      <c r="BU2" s="163" t="s">
        <v>1581</v>
      </c>
      <c r="BV2" s="163" t="s">
        <v>1582</v>
      </c>
      <c r="BW2" s="163" t="s">
        <v>1759</v>
      </c>
      <c r="BX2" s="163" t="s">
        <v>1760</v>
      </c>
      <c r="BY2" s="158" t="s">
        <v>1583</v>
      </c>
      <c r="BZ2" s="158" t="s">
        <v>1584</v>
      </c>
      <c r="CA2" s="158" t="s">
        <v>1585</v>
      </c>
      <c r="CB2" s="158" t="s">
        <v>1586</v>
      </c>
      <c r="CC2" s="158" t="s">
        <v>1587</v>
      </c>
      <c r="CD2" s="158" t="s">
        <v>1588</v>
      </c>
      <c r="CE2" s="158" t="s">
        <v>1589</v>
      </c>
      <c r="CF2" s="158" t="s">
        <v>1590</v>
      </c>
      <c r="CG2" s="158" t="s">
        <v>1591</v>
      </c>
      <c r="CH2" s="158" t="s">
        <v>1592</v>
      </c>
      <c r="CI2" s="158" t="s">
        <v>1593</v>
      </c>
      <c r="CJ2" s="158" t="s">
        <v>1594</v>
      </c>
      <c r="CK2" s="158" t="s">
        <v>1595</v>
      </c>
      <c r="CL2" s="158" t="s">
        <v>1757</v>
      </c>
      <c r="CM2" s="158" t="s">
        <v>1758</v>
      </c>
      <c r="CN2" s="163" t="s">
        <v>1596</v>
      </c>
      <c r="CO2" s="163" t="s">
        <v>1597</v>
      </c>
      <c r="CP2" s="163" t="s">
        <v>1598</v>
      </c>
      <c r="CQ2" s="163" t="s">
        <v>1599</v>
      </c>
      <c r="CR2" s="163" t="s">
        <v>1600</v>
      </c>
      <c r="CS2" s="163" t="s">
        <v>1601</v>
      </c>
      <c r="CT2" s="163" t="s">
        <v>1602</v>
      </c>
      <c r="CU2" s="163" t="s">
        <v>1603</v>
      </c>
      <c r="CV2" s="163" t="s">
        <v>1604</v>
      </c>
      <c r="CW2" s="163" t="s">
        <v>1605</v>
      </c>
      <c r="CX2" s="163" t="s">
        <v>1606</v>
      </c>
      <c r="CY2" s="163" t="s">
        <v>1607</v>
      </c>
      <c r="CZ2" s="163" t="s">
        <v>1608</v>
      </c>
      <c r="DA2" s="163" t="s">
        <v>1761</v>
      </c>
      <c r="DB2" s="163" t="s">
        <v>1762</v>
      </c>
      <c r="DC2" s="158" t="s">
        <v>1609</v>
      </c>
      <c r="DD2" s="158" t="s">
        <v>1610</v>
      </c>
      <c r="DE2" s="158" t="s">
        <v>1611</v>
      </c>
      <c r="DF2" s="158" t="s">
        <v>1612</v>
      </c>
      <c r="DG2" s="158" t="s">
        <v>1613</v>
      </c>
      <c r="DH2" s="158" t="s">
        <v>1614</v>
      </c>
      <c r="DI2" s="158" t="s">
        <v>1615</v>
      </c>
      <c r="DJ2" s="158" t="s">
        <v>1616</v>
      </c>
      <c r="DK2" s="158" t="s">
        <v>1617</v>
      </c>
      <c r="DL2" s="158" t="s">
        <v>1618</v>
      </c>
      <c r="DM2" s="158" t="s">
        <v>1619</v>
      </c>
      <c r="DN2" s="158" t="s">
        <v>1620</v>
      </c>
      <c r="DO2" s="158" t="s">
        <v>1621</v>
      </c>
      <c r="DP2" s="158" t="s">
        <v>1763</v>
      </c>
      <c r="DQ2" s="158" t="s">
        <v>1764</v>
      </c>
      <c r="DR2" s="161" t="s">
        <v>1623</v>
      </c>
      <c r="DS2" s="179" t="s">
        <v>1624</v>
      </c>
      <c r="DT2" s="159" t="s">
        <v>1625</v>
      </c>
      <c r="DU2" s="163" t="s">
        <v>1626</v>
      </c>
      <c r="DV2" s="163" t="s">
        <v>1627</v>
      </c>
      <c r="DW2" s="163" t="s">
        <v>1628</v>
      </c>
      <c r="DX2" s="163" t="s">
        <v>1629</v>
      </c>
      <c r="DY2" s="163" t="s">
        <v>1630</v>
      </c>
      <c r="DZ2" s="163" t="s">
        <v>1631</v>
      </c>
      <c r="EA2" s="163" t="s">
        <v>1632</v>
      </c>
      <c r="EB2" s="163" t="s">
        <v>1633</v>
      </c>
      <c r="EC2" s="163" t="s">
        <v>1634</v>
      </c>
      <c r="ED2" s="163" t="s">
        <v>1635</v>
      </c>
      <c r="EE2" s="163" t="s">
        <v>1636</v>
      </c>
      <c r="EF2" s="163" t="s">
        <v>1637</v>
      </c>
      <c r="EG2" s="163" t="s">
        <v>1638</v>
      </c>
      <c r="EH2" s="163" t="s">
        <v>1639</v>
      </c>
      <c r="EI2" s="163" t="s">
        <v>1640</v>
      </c>
      <c r="EJ2" s="163" t="s">
        <v>1641</v>
      </c>
      <c r="EK2" s="163" t="s">
        <v>1642</v>
      </c>
      <c r="EL2" s="163" t="s">
        <v>1657</v>
      </c>
      <c r="EM2" s="159" t="s">
        <v>1643</v>
      </c>
      <c r="EN2" s="163" t="s">
        <v>1644</v>
      </c>
      <c r="EO2" s="163" t="s">
        <v>1765</v>
      </c>
      <c r="EP2" s="163" t="s">
        <v>1646</v>
      </c>
      <c r="EQ2" s="163" t="s">
        <v>1647</v>
      </c>
      <c r="ER2" s="163" t="s">
        <v>1648</v>
      </c>
      <c r="ES2" s="163" t="s">
        <v>1649</v>
      </c>
      <c r="ET2" s="163" t="s">
        <v>1650</v>
      </c>
      <c r="EU2" s="163" t="s">
        <v>1651</v>
      </c>
      <c r="EV2" s="163" t="s">
        <v>1658</v>
      </c>
      <c r="EW2" s="159" t="s">
        <v>1652</v>
      </c>
      <c r="EX2" s="163" t="s">
        <v>1653</v>
      </c>
      <c r="EY2" s="163" t="s">
        <v>1654</v>
      </c>
      <c r="EZ2" s="163" t="s">
        <v>1655</v>
      </c>
      <c r="FA2" s="163" t="s">
        <v>1656</v>
      </c>
      <c r="FB2" s="163" t="s">
        <v>1659</v>
      </c>
      <c r="FC2" s="163" t="s">
        <v>1660</v>
      </c>
      <c r="FD2" s="182" t="s">
        <v>1661</v>
      </c>
      <c r="FE2" s="158" t="s">
        <v>1662</v>
      </c>
      <c r="FF2" s="158" t="s">
        <v>1663</v>
      </c>
      <c r="FG2" s="158" t="s">
        <v>1664</v>
      </c>
      <c r="FH2" s="158" t="s">
        <v>1665</v>
      </c>
      <c r="FI2" s="158" t="s">
        <v>1666</v>
      </c>
      <c r="FJ2" s="158" t="s">
        <v>1667</v>
      </c>
      <c r="FK2" s="158" t="s">
        <v>1668</v>
      </c>
      <c r="FL2" s="158" t="s">
        <v>1669</v>
      </c>
      <c r="FM2" s="158" t="s">
        <v>1670</v>
      </c>
      <c r="FN2" s="158" t="s">
        <v>1671</v>
      </c>
      <c r="FO2" s="158" t="s">
        <v>1672</v>
      </c>
      <c r="FP2" s="164" t="s">
        <v>1673</v>
      </c>
      <c r="FQ2" s="164" t="s">
        <v>1674</v>
      </c>
      <c r="FR2" s="164" t="s">
        <v>1675</v>
      </c>
      <c r="FS2" s="164" t="s">
        <v>1676</v>
      </c>
      <c r="FT2" s="164" t="s">
        <v>1677</v>
      </c>
      <c r="FU2" s="164" t="s">
        <v>1678</v>
      </c>
      <c r="FV2" s="164" t="s">
        <v>1679</v>
      </c>
      <c r="FW2" s="164" t="s">
        <v>1680</v>
      </c>
      <c r="FX2" s="164" t="s">
        <v>1681</v>
      </c>
      <c r="FY2" s="164" t="s">
        <v>1682</v>
      </c>
      <c r="FZ2" s="164" t="s">
        <v>1683</v>
      </c>
      <c r="GA2" s="164" t="s">
        <v>1684</v>
      </c>
      <c r="GB2" s="164" t="s">
        <v>1685</v>
      </c>
      <c r="GC2" s="164" t="s">
        <v>1686</v>
      </c>
      <c r="GD2" s="163" t="s">
        <v>1687</v>
      </c>
      <c r="GE2" s="163" t="s">
        <v>1688</v>
      </c>
      <c r="GF2" s="163" t="s">
        <v>1689</v>
      </c>
      <c r="GG2" s="163" t="s">
        <v>1690</v>
      </c>
      <c r="GH2" s="163" t="s">
        <v>1691</v>
      </c>
      <c r="GI2" s="163" t="s">
        <v>1692</v>
      </c>
      <c r="GJ2" s="163" t="s">
        <v>1693</v>
      </c>
      <c r="GK2" s="163" t="s">
        <v>1694</v>
      </c>
      <c r="GL2" s="163" t="s">
        <v>1695</v>
      </c>
      <c r="GM2" s="163" t="s">
        <v>1696</v>
      </c>
      <c r="GN2" s="163" t="s">
        <v>1697</v>
      </c>
      <c r="GO2" s="163" t="s">
        <v>1698</v>
      </c>
      <c r="GP2" s="158" t="s">
        <v>1700</v>
      </c>
      <c r="GQ2" s="158" t="s">
        <v>1701</v>
      </c>
      <c r="GR2" s="158" t="s">
        <v>1702</v>
      </c>
      <c r="GS2" s="158" t="s">
        <v>1703</v>
      </c>
      <c r="GT2" s="158" t="s">
        <v>1704</v>
      </c>
      <c r="GU2" s="163" t="s">
        <v>1705</v>
      </c>
      <c r="GV2" s="163" t="s">
        <v>1706</v>
      </c>
      <c r="GW2" s="163" t="s">
        <v>1707</v>
      </c>
      <c r="GX2" s="163" t="s">
        <v>1708</v>
      </c>
      <c r="GY2" s="163" t="s">
        <v>1709</v>
      </c>
      <c r="GZ2" s="163" t="s">
        <v>1710</v>
      </c>
      <c r="HA2" s="163" t="s">
        <v>1711</v>
      </c>
      <c r="HB2" s="163" t="s">
        <v>1712</v>
      </c>
      <c r="HC2" s="158" t="s">
        <v>1713</v>
      </c>
      <c r="HD2" s="158" t="s">
        <v>1714</v>
      </c>
      <c r="HE2" s="163" t="s">
        <v>1715</v>
      </c>
      <c r="HF2" s="163" t="s">
        <v>1716</v>
      </c>
      <c r="HG2" s="163" t="s">
        <v>1717</v>
      </c>
      <c r="HH2" s="163" t="s">
        <v>1718</v>
      </c>
      <c r="HI2" s="163" t="s">
        <v>1719</v>
      </c>
      <c r="HJ2" s="163" t="s">
        <v>1720</v>
      </c>
      <c r="HK2" s="163" t="s">
        <v>1721</v>
      </c>
      <c r="HL2" s="158" t="s">
        <v>1722</v>
      </c>
      <c r="HM2" s="158" t="s">
        <v>1723</v>
      </c>
      <c r="HQ2" s="163" t="s">
        <v>1624</v>
      </c>
      <c r="HR2" s="159" t="s">
        <v>1625</v>
      </c>
      <c r="HS2" s="163" t="s">
        <v>1626</v>
      </c>
      <c r="HT2" s="163" t="s">
        <v>1627</v>
      </c>
      <c r="HU2" s="163" t="s">
        <v>1628</v>
      </c>
      <c r="HV2" s="163" t="s">
        <v>1629</v>
      </c>
      <c r="HW2" s="163" t="s">
        <v>1630</v>
      </c>
      <c r="HX2" s="163" t="s">
        <v>1631</v>
      </c>
      <c r="HY2" s="163" t="s">
        <v>1632</v>
      </c>
      <c r="HZ2" s="163" t="s">
        <v>1633</v>
      </c>
      <c r="IA2" s="163" t="s">
        <v>1634</v>
      </c>
      <c r="IB2" s="163" t="s">
        <v>1635</v>
      </c>
      <c r="IC2" s="163" t="s">
        <v>1636</v>
      </c>
      <c r="ID2" s="163" t="s">
        <v>1637</v>
      </c>
      <c r="IE2" s="163" t="s">
        <v>1638</v>
      </c>
      <c r="IF2" s="163" t="s">
        <v>1639</v>
      </c>
      <c r="IG2" s="163" t="s">
        <v>1640</v>
      </c>
      <c r="IH2" s="163" t="s">
        <v>1641</v>
      </c>
      <c r="II2" s="163" t="s">
        <v>1642</v>
      </c>
      <c r="IJ2" s="163" t="s">
        <v>1657</v>
      </c>
      <c r="IK2" s="159" t="s">
        <v>1643</v>
      </c>
      <c r="IL2" s="163" t="s">
        <v>1644</v>
      </c>
      <c r="IM2" s="163" t="s">
        <v>1645</v>
      </c>
      <c r="IN2" s="163" t="s">
        <v>1646</v>
      </c>
      <c r="IO2" s="163" t="s">
        <v>1647</v>
      </c>
      <c r="IP2" s="163" t="s">
        <v>1648</v>
      </c>
      <c r="IQ2" s="163" t="s">
        <v>1649</v>
      </c>
      <c r="IR2" s="163" t="s">
        <v>1650</v>
      </c>
      <c r="IS2" s="163" t="s">
        <v>1651</v>
      </c>
      <c r="IT2" s="163" t="s">
        <v>1658</v>
      </c>
      <c r="IU2" s="159" t="s">
        <v>1652</v>
      </c>
      <c r="IV2" s="163" t="s">
        <v>1653</v>
      </c>
      <c r="IW2" s="163" t="s">
        <v>1654</v>
      </c>
      <c r="IX2" s="163" t="s">
        <v>1655</v>
      </c>
      <c r="IY2" s="163" t="s">
        <v>1656</v>
      </c>
      <c r="IZ2" s="163" t="s">
        <v>1659</v>
      </c>
      <c r="JA2" s="163" t="s">
        <v>1660</v>
      </c>
      <c r="JB2" s="158" t="s">
        <v>1661</v>
      </c>
      <c r="JC2" s="158" t="s">
        <v>1662</v>
      </c>
      <c r="JD2" s="158" t="s">
        <v>1663</v>
      </c>
      <c r="JE2" s="158" t="s">
        <v>1664</v>
      </c>
      <c r="JF2" s="158" t="s">
        <v>1665</v>
      </c>
      <c r="JG2" s="158" t="s">
        <v>1666</v>
      </c>
      <c r="JH2" s="158" t="s">
        <v>1667</v>
      </c>
      <c r="JI2" s="158" t="s">
        <v>1668</v>
      </c>
      <c r="JJ2" s="158" t="s">
        <v>1669</v>
      </c>
      <c r="JK2" s="158" t="s">
        <v>1670</v>
      </c>
      <c r="JL2" s="158" t="s">
        <v>1671</v>
      </c>
      <c r="JM2" s="158" t="s">
        <v>1672</v>
      </c>
      <c r="JN2" s="164" t="s">
        <v>1673</v>
      </c>
      <c r="JO2" s="164" t="s">
        <v>1674</v>
      </c>
      <c r="JP2" s="164" t="s">
        <v>1675</v>
      </c>
      <c r="JQ2" s="164" t="s">
        <v>1676</v>
      </c>
      <c r="JR2" s="164" t="s">
        <v>1677</v>
      </c>
      <c r="JS2" s="164" t="s">
        <v>1678</v>
      </c>
      <c r="JT2" s="164" t="s">
        <v>1679</v>
      </c>
      <c r="JU2" s="164" t="s">
        <v>1680</v>
      </c>
      <c r="JV2" s="164" t="s">
        <v>1681</v>
      </c>
      <c r="JW2" s="164" t="s">
        <v>1682</v>
      </c>
      <c r="JX2" s="164" t="s">
        <v>1683</v>
      </c>
      <c r="JY2" s="164" t="s">
        <v>1684</v>
      </c>
      <c r="JZ2" s="164" t="s">
        <v>1685</v>
      </c>
      <c r="KA2" s="164" t="s">
        <v>1686</v>
      </c>
      <c r="KB2" s="163" t="s">
        <v>1687</v>
      </c>
      <c r="KC2" s="163" t="s">
        <v>1688</v>
      </c>
      <c r="KD2" s="163" t="s">
        <v>1689</v>
      </c>
      <c r="KE2" s="163" t="s">
        <v>1690</v>
      </c>
      <c r="KF2" s="163" t="s">
        <v>1691</v>
      </c>
      <c r="KG2" s="163" t="s">
        <v>1692</v>
      </c>
      <c r="KH2" s="163" t="s">
        <v>1693</v>
      </c>
      <c r="KI2" s="163" t="s">
        <v>1694</v>
      </c>
      <c r="KJ2" s="163" t="s">
        <v>1695</v>
      </c>
      <c r="KK2" s="163" t="s">
        <v>1696</v>
      </c>
      <c r="KL2" s="163" t="s">
        <v>1697</v>
      </c>
      <c r="KM2" s="163" t="s">
        <v>1698</v>
      </c>
      <c r="KN2" s="158" t="s">
        <v>1700</v>
      </c>
      <c r="KO2" s="163" t="s">
        <v>1705</v>
      </c>
      <c r="KP2" s="163" t="s">
        <v>1706</v>
      </c>
      <c r="KQ2" s="163" t="s">
        <v>1707</v>
      </c>
      <c r="KR2" s="163" t="s">
        <v>1708</v>
      </c>
      <c r="KS2" s="163" t="s">
        <v>1709</v>
      </c>
      <c r="KT2" s="163" t="s">
        <v>1710</v>
      </c>
      <c r="KU2" s="163" t="s">
        <v>1711</v>
      </c>
      <c r="KV2" s="163" t="s">
        <v>1712</v>
      </c>
      <c r="KW2" s="158" t="s">
        <v>1713</v>
      </c>
      <c r="KX2" s="158" t="s">
        <v>1714</v>
      </c>
      <c r="KY2" s="163" t="s">
        <v>1715</v>
      </c>
      <c r="KZ2" s="163" t="s">
        <v>1716</v>
      </c>
      <c r="LA2" s="163" t="s">
        <v>1717</v>
      </c>
      <c r="LB2" s="163" t="s">
        <v>1718</v>
      </c>
      <c r="LC2" s="163" t="s">
        <v>1719</v>
      </c>
      <c r="LD2" s="163" t="s">
        <v>1720</v>
      </c>
      <c r="LE2" s="163" t="s">
        <v>1721</v>
      </c>
      <c r="LF2" s="158" t="s">
        <v>1722</v>
      </c>
      <c r="LG2" s="158" t="s">
        <v>1723</v>
      </c>
    </row>
    <row r="3" spans="1:319" s="177" customFormat="1" x14ac:dyDescent="0.25">
      <c r="A3" s="172"/>
      <c r="B3" s="172"/>
      <c r="C3" s="172"/>
      <c r="D3" s="172"/>
      <c r="E3" s="172"/>
      <c r="F3" s="173" t="str">
        <f>IF(ISBLANK(ENGLISH!L27), "", ENGLISH!L27)</f>
        <v/>
      </c>
      <c r="G3" s="174" t="str">
        <f>IF(LEN(F3)=3, "1", "")</f>
        <v/>
      </c>
      <c r="H3" s="172" t="str">
        <f>IF(ISBLANK(ENGLISH!C27), "", ENGLISH!C27)</f>
        <v/>
      </c>
      <c r="I3" s="172" t="str">
        <f>IF(ISBLANK(ENGLISH!C29), "", ENGLISH!C29)</f>
        <v/>
      </c>
      <c r="J3" s="172" t="str">
        <f>IF(ISBLANK(ENGLISH!C31), "", ENGLISH!C31)</f>
        <v/>
      </c>
      <c r="K3" s="172" t="str">
        <f>IF(ISBLANK(ENGLISH!L29), "", ENGLISH!L29)</f>
        <v/>
      </c>
      <c r="L3" s="172" t="str">
        <f>IF(ISBLANK(ENGLISH!L31), "", ENGLISH!L31)</f>
        <v/>
      </c>
      <c r="M3" s="175" t="str">
        <f>IF(ISBLANK(ENGLISH!F39), "", ENGLISH!F39)</f>
        <v/>
      </c>
      <c r="N3" s="175" t="str">
        <f>IF(ISBLANK(ENGLISH!F41), "", ENGLISH!F41)</f>
        <v/>
      </c>
      <c r="O3" s="175" t="str">
        <f>IF(ISBLANK(ENGLISH!F43), "", ENGLISH!F43)</f>
        <v/>
      </c>
      <c r="P3" s="175" t="str">
        <f>IF(ISBLANK(ENGLISH!F45), "", ENGLISH!F45)</f>
        <v/>
      </c>
      <c r="Q3" s="175" t="str">
        <f>IF(ISBLANK(ENGLISH!O39), "", ENGLISH!O39)</f>
        <v/>
      </c>
      <c r="R3" s="175" t="str">
        <f>IF(ISBLANK(ENGLISH!O41), "", ENGLISH!O41)</f>
        <v/>
      </c>
      <c r="S3" s="175" t="str">
        <f>IF(ISBLANK(ENGLISH!O43), "", ENGLISH!O43)</f>
        <v/>
      </c>
      <c r="T3" s="175" t="str">
        <f>IF(ISBLANK(ENGLISH!O45), "", ENGLISH!O45)</f>
        <v/>
      </c>
      <c r="U3" s="172" t="str">
        <f>IF(ISBLANK(ENGLISH!J52), "", ENGLISH!J52)</f>
        <v/>
      </c>
      <c r="V3" s="172" t="str">
        <f>IF(ISBLANK(ENGLISH!M52), "", ENGLISH!M52)</f>
        <v/>
      </c>
      <c r="W3" s="172" t="str">
        <f>IF(ISBLANK(ENGLISH!J54), "", ENGLISH!J54)</f>
        <v/>
      </c>
      <c r="X3" s="172" t="str">
        <f>IF(ISBLANK(ENGLISH!M54), "", ENGLISH!M54)</f>
        <v/>
      </c>
      <c r="Y3" s="172" t="str">
        <f>IF(ISBLANK(ENGLISH!J55), "", ENGLISH!J55)</f>
        <v/>
      </c>
      <c r="Z3" s="172" t="str">
        <f>IF(ISBLANK(ENGLISH!M55), "", ENGLISH!M55)</f>
        <v/>
      </c>
      <c r="AA3" s="172" t="str">
        <f>IF(ISBLANK(ENGLISH!J57), "", ENGLISH!J57)</f>
        <v/>
      </c>
      <c r="AB3" s="172" t="str">
        <f>IF(ISBLANK(ENGLISH!M57), "", ENGLISH!M57)</f>
        <v/>
      </c>
      <c r="AC3" s="172" t="str">
        <f>IF(ISBLANK(ENGLISH!J59), "", ENGLISH!J59)</f>
        <v/>
      </c>
      <c r="AD3" s="172" t="str">
        <f>IF(ISBLANK(ENGLISH!M59), "", ENGLISH!M59)</f>
        <v/>
      </c>
      <c r="AE3" s="172" t="str">
        <f>IF(ISBLANK(ENGLISH!J60), "", ENGLISH!J60)</f>
        <v/>
      </c>
      <c r="AF3" s="172" t="str">
        <f>IF(ISBLANK(ENGLISH!M60), "", ENGLISH!M60)</f>
        <v/>
      </c>
      <c r="AG3" s="172" t="str">
        <f>IF(ISBLANK(ENGLISH!J62), "", ENGLISH!J62)</f>
        <v/>
      </c>
      <c r="AH3" s="172" t="str">
        <f>IF(ISBLANK(ENGLISH!M62), "", ENGLISH!M62)</f>
        <v/>
      </c>
      <c r="AI3" s="172" t="str">
        <f>IF(ISBLANK(ENGLISH!J64), "", ENGLISH!J64)</f>
        <v/>
      </c>
      <c r="AJ3" s="172" t="str">
        <f>IF(ISBLANK(ENGLISH!M64), "", ENGLISH!M64)</f>
        <v/>
      </c>
      <c r="AK3" s="172" t="str">
        <f>IF(ISBLANK(ENGLISH!J67), "", ENGLISH!J67)</f>
        <v/>
      </c>
      <c r="AL3" s="172" t="str">
        <f>IF(ISBLANK(ENGLISH!M67), "", ENGLISH!M67)</f>
        <v/>
      </c>
      <c r="AM3" s="172" t="str">
        <f>IF(ISBLANK(ENGLISH!J68), "", ENGLISH!J68)</f>
        <v/>
      </c>
      <c r="AN3" s="172" t="str">
        <f>IF(ISBLANK(ENGLISH!M68), "", ENGLISH!M68)</f>
        <v/>
      </c>
      <c r="AO3" s="172" t="str">
        <f>IF(ISBLANK(ENGLISH!J70), "", ENGLISH!J70)</f>
        <v/>
      </c>
      <c r="AP3" s="172" t="str">
        <f>IF(ISBLANK(ENGLISH!M70), "", ENGLISH!M70)</f>
        <v/>
      </c>
      <c r="AQ3" s="175" t="str">
        <f>IF(ISBLANK(ENGLISH!J77), "", ENGLISH!J77)</f>
        <v/>
      </c>
      <c r="AR3" s="175" t="str">
        <f>IF(ISBLANK(ENGLISH!J78), "", ENGLISH!J78)</f>
        <v/>
      </c>
      <c r="AS3" s="175" t="str">
        <f>IF(ISBLANK(ENGLISH!J79), "", ENGLISH!J79)</f>
        <v/>
      </c>
      <c r="AT3" s="175" t="str">
        <f>IF(ISBLANK(ENGLISH!J80), "", ENGLISH!J80)</f>
        <v/>
      </c>
      <c r="AU3" s="175" t="str">
        <f>IF(ISBLANK(ENGLISH!J81), "", ENGLISH!J81)</f>
        <v/>
      </c>
      <c r="AV3" s="175" t="str">
        <f>IF(ISBLANK(ENGLISH!J82), "", ENGLISH!J82)</f>
        <v/>
      </c>
      <c r="AW3" s="175" t="str">
        <f>IF(ISBLANK(ENGLISH!J83), "", ENGLISH!J83)</f>
        <v/>
      </c>
      <c r="AX3" s="175" t="str">
        <f>IF(ISBLANK(ENGLISH!J84), "", ENGLISH!J84)</f>
        <v/>
      </c>
      <c r="AY3" s="175" t="str">
        <f>IF(ISBLANK(ENGLISH!J85), "", ENGLISH!J85)</f>
        <v/>
      </c>
      <c r="AZ3" s="175" t="str">
        <f>IF(ISBLANK(ENGLISH!J87), "", ENGLISH!J87)</f>
        <v/>
      </c>
      <c r="BA3" s="175" t="str">
        <f>IF(ISBLANK(ENGLISH!J88), "", ENGLISH!J88)</f>
        <v/>
      </c>
      <c r="BB3" s="172" t="str">
        <f>IF(ISBLANK(ENGLISH!M94), "", ENGLISH!M94)</f>
        <v/>
      </c>
      <c r="BC3" s="172" t="str">
        <f>IF(ISBLANK(ENGLISH!M96), "", ENGLISH!M96)</f>
        <v/>
      </c>
      <c r="BD3" s="172" t="str">
        <f>IF(ISBLANK(ENGLISH!M98), "", ENGLISH!M98)</f>
        <v/>
      </c>
      <c r="BE3" s="172" t="str">
        <f>IF(ISBLANK(ENGLISH!M100), "", ENGLISH!M100)</f>
        <v/>
      </c>
      <c r="BF3" s="172" t="str">
        <f>IF(ISBLANK(ENGLISH!M102), "", ENGLISH!M102)</f>
        <v/>
      </c>
      <c r="BG3" s="172" t="str">
        <f>IF(ISBLANK(ENGLISH!M104), "", ENGLISH!M104)</f>
        <v/>
      </c>
      <c r="BH3" s="175" t="str">
        <f>IF(ISBLANK(ENGLISH!K115), "", ENGLISH!K115)</f>
        <v/>
      </c>
      <c r="BI3" s="175" t="str">
        <f>IF(ISBLANK(ENGLISH!O115), "", ENGLISH!O115)</f>
        <v/>
      </c>
      <c r="BJ3" s="175" t="b">
        <v>0</v>
      </c>
      <c r="BK3" s="175" t="b">
        <v>0</v>
      </c>
      <c r="BL3" s="175" t="b">
        <v>0</v>
      </c>
      <c r="BM3" s="175" t="b">
        <v>0</v>
      </c>
      <c r="BN3" s="175" t="b">
        <v>0</v>
      </c>
      <c r="BO3" s="175" t="b">
        <v>0</v>
      </c>
      <c r="BP3" s="175" t="b">
        <v>0</v>
      </c>
      <c r="BQ3" s="175" t="b">
        <v>0</v>
      </c>
      <c r="BR3" s="175" t="b">
        <v>0</v>
      </c>
      <c r="BS3" s="175" t="b">
        <v>0</v>
      </c>
      <c r="BT3" s="175" t="b">
        <v>0</v>
      </c>
      <c r="BU3" s="175" t="b">
        <v>0</v>
      </c>
      <c r="BV3" s="175" t="b">
        <v>0</v>
      </c>
      <c r="BW3" s="175" t="b">
        <v>0</v>
      </c>
      <c r="BX3" s="175" t="b">
        <v>0</v>
      </c>
      <c r="BY3" s="172" t="b">
        <v>0</v>
      </c>
      <c r="BZ3" s="172" t="b">
        <v>0</v>
      </c>
      <c r="CA3" s="172" t="b">
        <v>0</v>
      </c>
      <c r="CB3" s="172" t="b">
        <v>0</v>
      </c>
      <c r="CC3" s="172" t="b">
        <v>0</v>
      </c>
      <c r="CD3" s="172" t="b">
        <v>0</v>
      </c>
      <c r="CE3" s="172" t="b">
        <v>0</v>
      </c>
      <c r="CF3" s="172" t="b">
        <v>0</v>
      </c>
      <c r="CG3" s="172" t="b">
        <v>0</v>
      </c>
      <c r="CH3" s="172" t="b">
        <v>0</v>
      </c>
      <c r="CI3" s="172" t="b">
        <v>0</v>
      </c>
      <c r="CJ3" s="172" t="b">
        <v>0</v>
      </c>
      <c r="CK3" s="172" t="b">
        <v>0</v>
      </c>
      <c r="CL3" s="172" t="b">
        <v>0</v>
      </c>
      <c r="CM3" s="172" t="b">
        <v>0</v>
      </c>
      <c r="CN3" s="175" t="str">
        <f>IF(ISBLANK(ENGLISH!K119), "", ENGLISH!K119)</f>
        <v/>
      </c>
      <c r="CO3" s="175" t="str">
        <f>IF(ISBLANK(ENGLISH!K120), "", ENGLISH!K120)</f>
        <v/>
      </c>
      <c r="CP3" s="175" t="str">
        <f>IF(ISBLANK(ENGLISH!K122), "", ENGLISH!K122)</f>
        <v/>
      </c>
      <c r="CQ3" s="175" t="str">
        <f>IF(ISBLANK(ENGLISH!K123), "", ENGLISH!K123)</f>
        <v/>
      </c>
      <c r="CR3" s="175" t="str">
        <f>IF(ISBLANK(ENGLISH!K124), "", ENGLISH!K124)</f>
        <v/>
      </c>
      <c r="CS3" s="175" t="str">
        <f>IF(ISBLANK(ENGLISH!K125), "", ENGLISH!K125)</f>
        <v/>
      </c>
      <c r="CT3" s="175" t="str">
        <f>IF(ISBLANK(ENGLISH!K126), "", ENGLISH!K126)</f>
        <v/>
      </c>
      <c r="CU3" s="175" t="str">
        <f>IF(ISBLANK(ENGLISH!K127), "", ENGLISH!K127)</f>
        <v/>
      </c>
      <c r="CV3" s="175" t="str">
        <f>IF(ISBLANK(ENGLISH!K128), "", ENGLISH!K128)</f>
        <v/>
      </c>
      <c r="CW3" s="175" t="str">
        <f>IF(ISBLANK(ENGLISH!K129), "", ENGLISH!K129)</f>
        <v/>
      </c>
      <c r="CX3" s="175" t="str">
        <f>IF(ISBLANK(ENGLISH!K130), "", ENGLISH!K130)</f>
        <v/>
      </c>
      <c r="CY3" s="175" t="str">
        <f>IF(ISBLANK(ENGLISH!K132), "", ENGLISH!K132)</f>
        <v/>
      </c>
      <c r="CZ3" s="175" t="str">
        <f>IF(ISBLANK(ENGLISH!K133), "", ENGLISH!K133)</f>
        <v/>
      </c>
      <c r="DA3" s="175" t="str">
        <f>IF(ISBLANK(ENGLISH!K134), "", ENGLISH!K134)</f>
        <v/>
      </c>
      <c r="DB3" s="175" t="str">
        <f>IF(ISBLANK(ENGLISH!K135), "", ENGLISH!K135)</f>
        <v/>
      </c>
      <c r="DC3" s="172" t="str">
        <f>IF(ISBLANK(ENGLISH!O119), "", ENGLISH!O119)</f>
        <v/>
      </c>
      <c r="DD3" s="172" t="str">
        <f>IF(ISBLANK(ENGLISH!O120), "", ENGLISH!O120)</f>
        <v/>
      </c>
      <c r="DE3" s="172" t="str">
        <f>IF(ISBLANK(ENGLISH!O122), "", ENGLISH!O122)</f>
        <v/>
      </c>
      <c r="DF3" s="172" t="str">
        <f>IF(ISBLANK(ENGLISH!O123), "", ENGLISH!O123)</f>
        <v/>
      </c>
      <c r="DG3" s="172" t="str">
        <f>IF(ISBLANK(ENGLISH!O124), "", ENGLISH!O124)</f>
        <v/>
      </c>
      <c r="DH3" s="172" t="str">
        <f>IF(ISBLANK(ENGLISH!O125), "", ENGLISH!O125)</f>
        <v/>
      </c>
      <c r="DI3" s="172" t="str">
        <f>IF(ISBLANK(ENGLISH!O126), "", ENGLISH!O126)</f>
        <v/>
      </c>
      <c r="DJ3" s="172" t="str">
        <f>IF(ISBLANK(ENGLISH!O127), "", ENGLISH!O127)</f>
        <v/>
      </c>
      <c r="DK3" s="172" t="str">
        <f>IF(ISBLANK(ENGLISH!O128), "", ENGLISH!O128)</f>
        <v/>
      </c>
      <c r="DL3" s="172" t="str">
        <f>IF(ISBLANK(ENGLISH!O129), "", ENGLISH!O129)</f>
        <v/>
      </c>
      <c r="DM3" s="172" t="str">
        <f>IF(ISBLANK(ENGLISH!O130), "", ENGLISH!O130)</f>
        <v/>
      </c>
      <c r="DN3" s="172" t="str">
        <f>IF(ISBLANK(ENGLISH!O132), "", ENGLISH!O132)</f>
        <v/>
      </c>
      <c r="DO3" s="172" t="str">
        <f>IF(ISBLANK(ENGLISH!O133), "", ENGLISH!O133)</f>
        <v/>
      </c>
      <c r="DP3" s="172" t="str">
        <f>IF(ISBLANK(ENGLISH!O134), "", ENGLISH!O134)</f>
        <v/>
      </c>
      <c r="DQ3" s="172" t="str">
        <f>IF(ISBLANK(ENGLISH!O135), "", ENGLISH!O135)</f>
        <v/>
      </c>
      <c r="DR3" s="173" t="str">
        <f>IF(ISBLANK(ENGLISH!K138), "", ENGLISH!K138)</f>
        <v/>
      </c>
      <c r="DS3" s="180">
        <f>IF(ISBLANK(ENGLISH!K146), "", ENGLISH!K146)</f>
        <v>0</v>
      </c>
      <c r="DT3" s="172">
        <f>IF(ISBLANK(ENGLISH!K148), "", ENGLISH!K148)</f>
        <v>0</v>
      </c>
      <c r="DU3" s="175" t="str">
        <f>IF(ISBLANK(ENGLISH!K150), "", ENGLISH!K150)</f>
        <v/>
      </c>
      <c r="DV3" s="175" t="str">
        <f>IF(ISBLANK(ENGLISH!K151), "", ENGLISH!K151)</f>
        <v/>
      </c>
      <c r="DW3" s="175" t="str">
        <f>IF(ISBLANK(ENGLISH!K152), "", ENGLISH!K152)</f>
        <v/>
      </c>
      <c r="DX3" s="175" t="str">
        <f>IF(ISBLANK(ENGLISH!K153), "", ENGLISH!K153)</f>
        <v/>
      </c>
      <c r="DY3" s="175" t="str">
        <f>IF(ISBLANK(ENGLISH!K154), "", ENGLISH!K154)</f>
        <v/>
      </c>
      <c r="DZ3" s="175" t="str">
        <f>IF(ISBLANK(ENGLISH!K155), "", ENGLISH!K155)</f>
        <v/>
      </c>
      <c r="EA3" s="175" t="str">
        <f>IF(ISBLANK(ENGLISH!K156), "", ENGLISH!K156)</f>
        <v/>
      </c>
      <c r="EB3" s="175" t="str">
        <f>IF(ISBLANK(ENGLISH!K157), "", ENGLISH!K157)</f>
        <v/>
      </c>
      <c r="EC3" s="175" t="str">
        <f>IF(ISBLANK(ENGLISH!K158), "", ENGLISH!K158)</f>
        <v/>
      </c>
      <c r="ED3" s="175" t="str">
        <f>IF(ISBLANK(ENGLISH!K159), "", ENGLISH!K159)</f>
        <v/>
      </c>
      <c r="EE3" s="175" t="str">
        <f>IF(ISBLANK(ENGLISH!K160), "", ENGLISH!K160)</f>
        <v/>
      </c>
      <c r="EF3" s="175" t="str">
        <f>IF(ISBLANK(ENGLISH!K161), "", ENGLISH!K161)</f>
        <v/>
      </c>
      <c r="EG3" s="175" t="str">
        <f>IF(ISBLANK(ENGLISH!K162), "", ENGLISH!K162)</f>
        <v/>
      </c>
      <c r="EH3" s="175" t="str">
        <f>IF(ISBLANK(ENGLISH!K163), "", ENGLISH!K163)</f>
        <v/>
      </c>
      <c r="EI3" s="175" t="str">
        <f>IF(ISBLANK(ENGLISH!K164), "", ENGLISH!K164)</f>
        <v/>
      </c>
      <c r="EJ3" s="175" t="str">
        <f>IF(ISBLANK(ENGLISH!K165), "", ENGLISH!K165)</f>
        <v/>
      </c>
      <c r="EK3" s="175" t="str">
        <f>IF(ISBLANK(ENGLISH!K167), "", ENGLISH!K167)</f>
        <v/>
      </c>
      <c r="EL3" s="175" t="str">
        <f>IF(ISBLANK(ENGLISH!D167), "", ENGLISH!D167)</f>
        <v/>
      </c>
      <c r="EM3" s="172">
        <f>IF(ISBLANK(ENGLISH!K169), "", ENGLISH!K169)</f>
        <v>0</v>
      </c>
      <c r="EN3" s="175" t="str">
        <f>IF(ISBLANK(ENGLISH!K171), "", ENGLISH!K171)</f>
        <v/>
      </c>
      <c r="EO3" s="175" t="str">
        <f>IF(ISBLANK(ENGLISH!K172), "", ENGLISH!K172)</f>
        <v/>
      </c>
      <c r="EP3" s="175" t="str">
        <f>IF(ISBLANK(ENGLISH!K173), "", ENGLISH!K173)</f>
        <v/>
      </c>
      <c r="EQ3" s="175" t="str">
        <f>IF(ISBLANK(ENGLISH!K174), "", ENGLISH!K174)</f>
        <v/>
      </c>
      <c r="ER3" s="175" t="str">
        <f>IF(ISBLANK(ENGLISH!K175), "", ENGLISH!K175)</f>
        <v/>
      </c>
      <c r="ES3" s="175" t="str">
        <f>IF(ISBLANK(ENGLISH!K176), "", ENGLISH!K176)</f>
        <v/>
      </c>
      <c r="ET3" s="175" t="str">
        <f>IF(ISBLANK(ENGLISH!K177), "", ENGLISH!K177)</f>
        <v/>
      </c>
      <c r="EU3" s="175" t="str">
        <f>IF(ISBLANK(ENGLISH!K179), "", ENGLISH!K179)</f>
        <v/>
      </c>
      <c r="EV3" s="175" t="str">
        <f>IF(ISBLANK(ENGLISH!D179), "", ENGLISH!D179)</f>
        <v/>
      </c>
      <c r="EW3" s="172">
        <f>IF(ISBLANK(ENGLISH!K181), "", ENGLISH!K181)</f>
        <v>0</v>
      </c>
      <c r="EX3" s="175" t="str">
        <f>IF(ISBLANK(ENGLISH!K183), "", ENGLISH!K183)</f>
        <v/>
      </c>
      <c r="EY3" s="175" t="str">
        <f>IF(ISBLANK(ENGLISH!K184), "", ENGLISH!K184)</f>
        <v/>
      </c>
      <c r="EZ3" s="175" t="str">
        <f>IF(ISBLANK(ENGLISH!K185), "", ENGLISH!K185)</f>
        <v/>
      </c>
      <c r="FA3" s="175" t="str">
        <f>IF(ISBLANK(ENGLISH!K187), "", ENGLISH!K187)</f>
        <v/>
      </c>
      <c r="FB3" s="175" t="str">
        <f>IF(ISBLANK(ENGLISH!D187), "", ENGLISH!D187)</f>
        <v/>
      </c>
      <c r="FC3" s="175" t="str">
        <f>IF(ISBLANK(ENGLISH!D191), "", ENGLISH!D191)</f>
        <v/>
      </c>
      <c r="FD3" s="183">
        <f>IF(ISBLANK(ENGLISH!K199), "", ENGLISH!K199)</f>
        <v>0</v>
      </c>
      <c r="FE3" s="172" t="str">
        <f>IF(ISBLANK(ENGLISH!K201), "", ENGLISH!K201)</f>
        <v/>
      </c>
      <c r="FF3" s="172" t="str">
        <f>IF(ISBLANK(ENGLISH!K202), "", ENGLISH!K202)</f>
        <v/>
      </c>
      <c r="FG3" s="172" t="str">
        <f>IF(ISBLANK(ENGLISH!K203), "", ENGLISH!K203)</f>
        <v/>
      </c>
      <c r="FH3" s="172" t="str">
        <f>IF(ISBLANK(ENGLISH!K204), "", ENGLISH!K204)</f>
        <v/>
      </c>
      <c r="FI3" s="172" t="str">
        <f>IF(ISBLANK(ENGLISH!K205), "", ENGLISH!K205)</f>
        <v/>
      </c>
      <c r="FJ3" s="172" t="str">
        <f>IF(ISBLANK(ENGLISH!K206), "", ENGLISH!K206)</f>
        <v/>
      </c>
      <c r="FK3" s="172" t="str">
        <f>IF(ISBLANK(ENGLISH!K207), "", ENGLISH!K207)</f>
        <v/>
      </c>
      <c r="FL3" s="172" t="str">
        <f>IF(ISBLANK(ENGLISH!K208), "", ENGLISH!K208)</f>
        <v/>
      </c>
      <c r="FM3" s="172" t="str">
        <f>IF(ISBLANK(ENGLISH!K210), "", ENGLISH!K210)</f>
        <v/>
      </c>
      <c r="FN3" s="172" t="str">
        <f>IF(ISBLANK(ENGLISH!D210), "", ENGLISH!D210)</f>
        <v/>
      </c>
      <c r="FO3" s="172" t="str">
        <f>IF(ISBLANK(ENGLISH!D214), "", ENGLISH!D214)</f>
        <v/>
      </c>
      <c r="FP3" s="173">
        <f>IF(ISBLANK(ENGLISH!K222), "", ENGLISH!K222)</f>
        <v>0</v>
      </c>
      <c r="FQ3" s="173">
        <f>IF(ISBLANK(ENGLISH!K224), "", ENGLISH!K224)</f>
        <v>0</v>
      </c>
      <c r="FR3" s="173">
        <f>IF(ISBLANK(ENGLISH!K225), "", ENGLISH!K225)</f>
        <v>0</v>
      </c>
      <c r="FS3" s="173">
        <f>IF(ISBLANK(ENGLISH!K226), "", ENGLISH!K226)</f>
        <v>0</v>
      </c>
      <c r="FT3" s="173">
        <f>IF(ISBLANK(ENGLISH!K228), "", ENGLISH!K228)</f>
        <v>0</v>
      </c>
      <c r="FU3" s="173">
        <f>IF(ISBLANK(ENGLISH!K230), "", ENGLISH!K230)</f>
        <v>0</v>
      </c>
      <c r="FV3" s="173">
        <f>IF(ISBLANK(ENGLISH!K233), "", ENGLISH!K233)</f>
        <v>0</v>
      </c>
      <c r="FW3" s="173" t="str">
        <f>IF(ISBLANK(ENGLISH!K235), "", ENGLISH!K235)</f>
        <v/>
      </c>
      <c r="FX3" s="173" t="str">
        <f>IF(ISBLANK(ENGLISH!K236), "", ENGLISH!K236)</f>
        <v/>
      </c>
      <c r="FY3" s="173" t="str">
        <f>IF(ISBLANK(ENGLISH!K238), "", ENGLISH!K238)</f>
        <v/>
      </c>
      <c r="FZ3" s="173" t="str">
        <f>IF(ISBLANK(ENGLISH!D238), "", ENGLISH!D238)</f>
        <v/>
      </c>
      <c r="GA3" s="173" t="str">
        <f>IF(ISBLANK(ENGLISH!K240), "", ENGLISH!K240)</f>
        <v/>
      </c>
      <c r="GB3" s="173">
        <f>IF(ISBLANK(ENGLISH!K242), "", ENGLISH!K242)</f>
        <v>0</v>
      </c>
      <c r="GC3" s="173" t="str">
        <f>IF(ISBLANK(ENGLISH!D247), "", ENGLISH!D247)</f>
        <v/>
      </c>
      <c r="GD3" s="175">
        <f>IF(ISBLANK(ENGLISH!K255), "", ENGLISH!K255)</f>
        <v>0</v>
      </c>
      <c r="GE3" s="175">
        <f>IF(ISBLANK(ENGLISH!K257), "", ENGLISH!K257)</f>
        <v>0</v>
      </c>
      <c r="GF3" s="175" t="str">
        <f>IF(ISBLANK(ENGLISH!K258), "", ENGLISH!K258)</f>
        <v/>
      </c>
      <c r="GG3" s="175" t="str">
        <f>IF(ISBLANK(ENGLISH!K259), "", ENGLISH!K259)</f>
        <v/>
      </c>
      <c r="GH3" s="175">
        <f>IF(ISBLANK(ENGLISH!K261), "", ENGLISH!K261)</f>
        <v>0</v>
      </c>
      <c r="GI3" s="175" t="str">
        <f>IF(ISBLANK(ENGLISH!K262), "", ENGLISH!K262)</f>
        <v/>
      </c>
      <c r="GJ3" s="175" t="str">
        <f>IF(ISBLANK(ENGLISH!K264),"", ENGLISH!K264)</f>
        <v/>
      </c>
      <c r="GK3" s="175">
        <f>IF(ISBLANK(ENGLISH!K266), "", ENGLISH!K266)</f>
        <v>0</v>
      </c>
      <c r="GL3" s="175" t="str">
        <f>IF(ISBLANK(ENGLISH!K267), "", ENGLISH!K267)</f>
        <v/>
      </c>
      <c r="GM3" s="175" t="str">
        <f>IF(ISBLANK(ENGLISH!K268), "", ENGLISH!K268)</f>
        <v/>
      </c>
      <c r="GN3" s="175">
        <f>IF(ISBLANK(ENGLISH!K270), "", ENGLISH!K270)</f>
        <v>0</v>
      </c>
      <c r="GO3" s="175" t="str">
        <f>IF(ISBLANK(ENGLISH!K263), "", ENGLISH!K263)</f>
        <v/>
      </c>
      <c r="GP3" s="172" t="str">
        <f>IF(ISBLANK(ENGLISH!K276), "", ENGLISH!K276)</f>
        <v/>
      </c>
      <c r="GQ3" s="172" t="str">
        <f>IF(ISBLANK(ENGLISH!K279), "", ENGLISH!K279)</f>
        <v/>
      </c>
      <c r="GR3" s="172" t="str">
        <f>IF(ISBLANK(ENGLISH!M279), "", ENGLISH!M279)</f>
        <v/>
      </c>
      <c r="GS3" s="172" t="str">
        <f>IF(ISBLANK(ENGLISH!O279), "", ENGLISH!O279)</f>
        <v/>
      </c>
      <c r="GT3" s="172" t="str">
        <f>IF(ISBLANK(ENGLISH!Q279), "", ENGLISH!Q279)</f>
        <v/>
      </c>
      <c r="GU3" s="175">
        <f>IF(ISBLANK(ENGLISH!K285), "", ENGLISH!K285)</f>
        <v>0</v>
      </c>
      <c r="GV3" s="175" t="str">
        <f>IF(ISBLANK(ENGLISH!K287),"",ENGLISH!K287)</f>
        <v/>
      </c>
      <c r="GW3" s="175" t="str">
        <f>IF(ISBLANK(ENGLISH!K288),"",ENGLISH!K288)</f>
        <v/>
      </c>
      <c r="GX3" s="175" t="str">
        <f>IF(ISBLANK(ENGLISH!K289),"",ENGLISH!K289)</f>
        <v/>
      </c>
      <c r="GY3" s="175" t="str">
        <f>IF(ISBLANK(ENGLISH!K290),"",ENGLISH!K290)</f>
        <v/>
      </c>
      <c r="GZ3" s="175" t="str">
        <f>IF(ISBLANK(ENGLISH!K291),"",ENGLISH!K291)</f>
        <v/>
      </c>
      <c r="HA3" s="175" t="str">
        <f>IF(ISBLANK(ENGLISH!K293),"",ENGLISH!K293)</f>
        <v/>
      </c>
      <c r="HB3" s="175" t="str">
        <f>IF(ISBLANK(ENGLISH!D293), "", ENGLISH!D293)</f>
        <v/>
      </c>
      <c r="HC3" s="172" t="str">
        <f>IF(ISBLANK(ENGLISH!K299), "", ENGLISH!K299)</f>
        <v/>
      </c>
      <c r="HD3" s="172" t="str">
        <f>IF(ISBLANK(ENGLISH!K300), "", ENGLISH!K300)</f>
        <v/>
      </c>
      <c r="HE3" s="175">
        <f>IF(ISBLANK(ENGLISH!K306), "", ENGLISH!K306)</f>
        <v>0</v>
      </c>
      <c r="HF3" s="175" t="str">
        <f>IF(ISBLANK(ENGLISH!K308), "", ENGLISH!K308)</f>
        <v/>
      </c>
      <c r="HG3" s="175" t="str">
        <f>IF(ISBLANK(ENGLISH!K309), "", ENGLISH!K309)</f>
        <v/>
      </c>
      <c r="HH3" s="175" t="str">
        <f>IF(ISBLANK(ENGLISH!K310), "", ENGLISH!K31)</f>
        <v/>
      </c>
      <c r="HI3" s="175" t="str">
        <f>IF(ISBLANK(ENGLISH!K312), "", ENGLISH!K312)</f>
        <v/>
      </c>
      <c r="HJ3" s="175" t="str">
        <f>IF(ISBLANK(ENGLISH!D312), "", ENGLISH!D312)</f>
        <v/>
      </c>
      <c r="HK3" s="175" t="str">
        <f>IF(ISBLANK(ENGLISH!D316), "", ENGLISH!D316)</f>
        <v/>
      </c>
      <c r="HL3" s="172" t="str">
        <f>IF(ISBLANK(ENGLISH!K324), "", ENGLISH!K324)</f>
        <v/>
      </c>
      <c r="HM3" s="172" t="str">
        <f>IF(ISBLANK(ENGLISH!K325), "", ENGLISH!K325)</f>
        <v/>
      </c>
      <c r="HN3" s="176"/>
      <c r="HO3" s="176"/>
      <c r="HP3" s="176"/>
      <c r="HQ3" s="180">
        <f>IF(ISBLANK(ENGLISH!O146), "", ENGLISH!O146)</f>
        <v>0</v>
      </c>
      <c r="HR3" s="172">
        <f>IF(ISBLANK(ENGLISH!O148), "", ENGLISH!O148)</f>
        <v>0</v>
      </c>
      <c r="HS3" s="175" t="str">
        <f>IF(ISBLANK(ENGLISH!O150), "", ENGLISH!O150)</f>
        <v/>
      </c>
      <c r="HT3" s="175" t="str">
        <f>IF(ISBLANK(ENGLISH!O151), "", ENGLISH!O151)</f>
        <v/>
      </c>
      <c r="HU3" s="175" t="str">
        <f>IF(ISBLANK(ENGLISH!O152), "", ENGLISH!O152)</f>
        <v/>
      </c>
      <c r="HV3" s="175" t="str">
        <f>IF(ISBLANK(ENGLISH!O153), "", ENGLISH!O153)</f>
        <v/>
      </c>
      <c r="HW3" s="175" t="str">
        <f>IF(ISBLANK(ENGLISH!O154), "", ENGLISH!O154)</f>
        <v/>
      </c>
      <c r="HX3" s="175" t="str">
        <f>IF(ISBLANK(ENGLISH!O155), "", ENGLISH!O155)</f>
        <v/>
      </c>
      <c r="HY3" s="175" t="str">
        <f>IF(ISBLANK(ENGLISH!O156), "", ENGLISH!O156)</f>
        <v/>
      </c>
      <c r="HZ3" s="175" t="str">
        <f>IF(ISBLANK(ENGLISH!O157), "", ENGLISH!O157)</f>
        <v/>
      </c>
      <c r="IA3" s="175" t="str">
        <f>IF(ISBLANK(ENGLISH!O158), "", ENGLISH!O158)</f>
        <v/>
      </c>
      <c r="IB3" s="175" t="str">
        <f>IF(ISBLANK(ENGLISH!O159), "", ENGLISH!O159)</f>
        <v/>
      </c>
      <c r="IC3" s="175" t="str">
        <f>IF(ISBLANK(ENGLISH!O160), "", ENGLISH!O160)</f>
        <v/>
      </c>
      <c r="ID3" s="175" t="str">
        <f>IF(ISBLANK(ENGLISH!O161), "", ENGLISH!O161)</f>
        <v/>
      </c>
      <c r="IE3" s="175" t="str">
        <f>IF(ISBLANK(ENGLISH!O162), "", ENGLISH!O162)</f>
        <v/>
      </c>
      <c r="IF3" s="175" t="str">
        <f>IF(ISBLANK(ENGLISH!O163), "", ENGLISH!O163)</f>
        <v/>
      </c>
      <c r="IG3" s="175" t="str">
        <f>IF(ISBLANK(ENGLISH!O164), "", ENGLISH!O164)</f>
        <v/>
      </c>
      <c r="IH3" s="175" t="str">
        <f>IF(ISBLANK(ENGLISH!O165), "", ENGLISH!O165)</f>
        <v/>
      </c>
      <c r="II3" s="175" t="str">
        <f>IF(ISBLANK(ENGLISH!O167), "", ENGLISH!O167)</f>
        <v/>
      </c>
      <c r="IJ3" s="175" t="str">
        <f>IF(ISBLANK(ENGLISH!D167), "", ENGLISH!D167)</f>
        <v/>
      </c>
      <c r="IK3" s="172">
        <f>IF(ISBLANK(ENGLISH!O169), "", ENGLISH!O169)</f>
        <v>0</v>
      </c>
      <c r="IL3" s="175" t="str">
        <f>IF(ISBLANK(ENGLISH!O171), "", ENGLISH!O171)</f>
        <v/>
      </c>
      <c r="IM3" s="175" t="str">
        <f>IF(ISBLANK(ENGLISH!O172), "", ENGLISH!O172)</f>
        <v/>
      </c>
      <c r="IN3" s="175" t="str">
        <f>IF(ISBLANK(ENGLISH!O173), "", ENGLISH!O173)</f>
        <v/>
      </c>
      <c r="IO3" s="175" t="str">
        <f>IF(ISBLANK(ENGLISH!O174), "", ENGLISH!O174)</f>
        <v/>
      </c>
      <c r="IP3" s="175" t="str">
        <f>IF(ISBLANK(ENGLISH!O175), "", ENGLISH!O175)</f>
        <v/>
      </c>
      <c r="IQ3" s="175" t="str">
        <f>IF(ISBLANK(ENGLISH!O176), "", ENGLISH!O176)</f>
        <v/>
      </c>
      <c r="IR3" s="175" t="str">
        <f>IF(ISBLANK(ENGLISH!O177), "", ENGLISH!O177)</f>
        <v/>
      </c>
      <c r="IS3" s="175" t="str">
        <f>IF(ISBLANK(ENGLISH!O179), "", ENGLISH!O179)</f>
        <v/>
      </c>
      <c r="IT3" s="175" t="str">
        <f>IF(ISBLANK(ENGLISH!D179), "", ENGLISH!D179)</f>
        <v/>
      </c>
      <c r="IU3" s="172">
        <f>IF(ISBLANK(ENGLISH!O181), "", ENGLISH!O181)</f>
        <v>0</v>
      </c>
      <c r="IV3" s="175" t="str">
        <f>IF(ISBLANK(ENGLISH!O183), "", ENGLISH!O183)</f>
        <v/>
      </c>
      <c r="IW3" s="175" t="str">
        <f>IF(ISBLANK(ENGLISH!O184), "", ENGLISH!O184)</f>
        <v/>
      </c>
      <c r="IX3" s="175" t="str">
        <f>IF(ISBLANK(ENGLISH!O185), "", ENGLISH!O185)</f>
        <v/>
      </c>
      <c r="IY3" s="175" t="str">
        <f>IF(ISBLANK(ENGLISH!O187), "", ENGLISH!O187)</f>
        <v/>
      </c>
      <c r="IZ3" s="175" t="str">
        <f>IF(ISBLANK(ENGLISH!DB187), "", ENGLISH!DB187)</f>
        <v/>
      </c>
      <c r="JA3" s="175" t="str">
        <f>IF(ISBLANK(ENGLISH!D191), "", ENGLISH!D191)</f>
        <v/>
      </c>
      <c r="JB3" s="183">
        <f>IF(ISBLANK(ENGLISH!O199), "", ENGLISH!O199)</f>
        <v>0</v>
      </c>
      <c r="JC3" s="172" t="str">
        <f>IF(ISBLANK(ENGLISH!O201), "", ENGLISH!O201)</f>
        <v/>
      </c>
      <c r="JD3" s="172" t="str">
        <f>IF(ISBLANK(ENGLISH!O202), "", ENGLISH!O202)</f>
        <v/>
      </c>
      <c r="JE3" s="172" t="str">
        <f>IF(ISBLANK(ENGLISH!O203), "", ENGLISH!O203)</f>
        <v/>
      </c>
      <c r="JF3" s="172" t="str">
        <f>IF(ISBLANK(ENGLISH!O204), "", ENGLISH!O204)</f>
        <v/>
      </c>
      <c r="JG3" s="172" t="str">
        <f>IF(ISBLANK(ENGLISH!O205), "", ENGLISH!O205)</f>
        <v/>
      </c>
      <c r="JH3" s="172" t="str">
        <f>IF(ISBLANK(ENGLISH!O206), "", ENGLISH!O206)</f>
        <v/>
      </c>
      <c r="JI3" s="172" t="str">
        <f>IF(ISBLANK(ENGLISH!O207), "", ENGLISH!O207)</f>
        <v/>
      </c>
      <c r="JJ3" s="172" t="str">
        <f>IF(ISBLANK(ENGLISH!O208), "", ENGLISH!O208)</f>
        <v/>
      </c>
      <c r="JK3" s="172" t="str">
        <f>IF(ISBLANK(ENGLISH!O210), "", ENGLISH!O210)</f>
        <v/>
      </c>
      <c r="JL3" s="172" t="str">
        <f>IF(ISBLANK(ENGLISH!D210), "", ENGLISH!D210)</f>
        <v/>
      </c>
      <c r="JM3" s="172" t="str">
        <f>IF(ISBLANK(ENGLISH!D214), "", ENGLISH!D214)</f>
        <v/>
      </c>
      <c r="JN3" s="173">
        <f>IF(ISBLANK(ENGLISH!O222), "", ENGLISH!O222)</f>
        <v>0</v>
      </c>
      <c r="JO3" s="173">
        <f>IF(ISBLANK(ENGLISH!O224), "", ENGLISH!O224)</f>
        <v>0</v>
      </c>
      <c r="JP3" s="173">
        <f>IF(ISBLANK(ENGLISH!O225), "", ENGLISH!O225)</f>
        <v>0</v>
      </c>
      <c r="JQ3" s="173">
        <f>IF(ISBLANK(ENGLISH!O226), "", ENGLISH!O226)</f>
        <v>0</v>
      </c>
      <c r="JR3" s="173">
        <f>IF(ISBLANK(ENGLISH!O228), "", ENGLISH!O228)</f>
        <v>0</v>
      </c>
      <c r="JS3" s="173">
        <f>IF(ISBLANK(ENGLISH!O230), "", ENGLISH!O230)</f>
        <v>0</v>
      </c>
      <c r="JT3" s="173">
        <f>IF(ISBLANK(ENGLISH!O233), "", ENGLISH!O233)</f>
        <v>0</v>
      </c>
      <c r="JU3" s="173" t="str">
        <f>IF(ISBLANK(ENGLISH!O235), "", ENGLISH!O235)</f>
        <v/>
      </c>
      <c r="JV3" s="173" t="str">
        <f>IF(ISBLANK(ENGLISH!O236), "", ENGLISH!O236)</f>
        <v/>
      </c>
      <c r="JW3" s="173" t="str">
        <f>IF(ISBLANK(ENGLISH!O238), "", ENGLISH!O238)</f>
        <v/>
      </c>
      <c r="JX3" s="173" t="str">
        <f>IF(ISBLANK(ENGLISH!D238), "", ENGLISH!D238)</f>
        <v/>
      </c>
      <c r="JY3" s="173" t="str">
        <f>IF(ISBLANK(ENGLISH!O240), "", ENGLISH!O240)</f>
        <v/>
      </c>
      <c r="JZ3" s="173">
        <f>IF(ISBLANK(ENGLISH!O242), "", ENGLISH!O242)</f>
        <v>0</v>
      </c>
      <c r="KA3" s="173" t="str">
        <f>IF(ISBLANK(ENGLISH!D247), "", ENGLISH!D247)</f>
        <v/>
      </c>
      <c r="KB3" s="175">
        <f>IF(ISBLANK(ENGLISH!O255), "", ENGLISH!O255)</f>
        <v>0</v>
      </c>
      <c r="KC3" s="175">
        <f>IF(ISBLANK(ENGLISH!O257), "", ENGLISH!O257)</f>
        <v>0</v>
      </c>
      <c r="KD3" s="175" t="str">
        <f>IF(ISBLANK(ENGLISH!O258), "", ENGLISH!O258)</f>
        <v/>
      </c>
      <c r="KE3" s="175" t="str">
        <f>IF(ISBLANK(ENGLISH!O259), "", ENGLISH!O259)</f>
        <v/>
      </c>
      <c r="KF3" s="175">
        <f>IF(ISBLANK(ENGLISH!O261), "", ENGLISH!O261)</f>
        <v>0</v>
      </c>
      <c r="KG3" s="175" t="str">
        <f>IF(ISBLANK(ENGLISH!O262), "", ENGLISH!O262)</f>
        <v/>
      </c>
      <c r="KH3" s="175" t="str">
        <f>IF(ISBLANK(ENGLISH!O264),"", ENGLISH!O264)</f>
        <v/>
      </c>
      <c r="KI3" s="175">
        <f>IF(ISBLANK(ENGLISH!O266), "", ENGLISH!O266)</f>
        <v>0</v>
      </c>
      <c r="KJ3" s="175" t="str">
        <f>IF(ISBLANK(ENGLISH!O267), "", ENGLISH!O267)</f>
        <v/>
      </c>
      <c r="KK3" s="175" t="str">
        <f>IF(ISBLANK(ENGLISH!O268), "", ENGLISH!O268)</f>
        <v/>
      </c>
      <c r="KL3" s="175">
        <f>IF(ISBLANK(ENGLISH!O270), "", ENGLISH!O270)</f>
        <v>0</v>
      </c>
      <c r="KM3" s="175" t="str">
        <f>IF(ISBLANK(ENGLISH!O263), "", ENGLISH!O263)</f>
        <v/>
      </c>
      <c r="KN3" s="172" t="str">
        <f>IF(ISBLANK(ENGLISH!O276), "", ENGLISH!O276)</f>
        <v/>
      </c>
      <c r="KO3" s="175">
        <f>IF(ISBLANK(ENGLISH!O285), "", ENGLISH!O285)</f>
        <v>0</v>
      </c>
      <c r="KP3" s="175" t="str">
        <f>IF(ISBLANK(ENGLISH!O287),"",ENGLISH!O287)</f>
        <v/>
      </c>
      <c r="KQ3" s="175" t="str">
        <f>IF(ISBLANK(ENGLISH!O288),"",ENGLISH!O288)</f>
        <v/>
      </c>
      <c r="KR3" s="175" t="str">
        <f>IF(ISBLANK(ENGLISH!O289),"",ENGLISH!O289)</f>
        <v/>
      </c>
      <c r="KS3" s="175" t="str">
        <f>IF(ISBLANK(ENGLISH!O290),"",ENGLISH!O290)</f>
        <v/>
      </c>
      <c r="KT3" s="175" t="str">
        <f>IF(ISBLANK(ENGLISH!O291),"",ENGLISH!O291)</f>
        <v/>
      </c>
      <c r="KU3" s="175" t="str">
        <f>IF(ISBLANK(ENGLISH!O293),"",ENGLISH!O293)</f>
        <v/>
      </c>
      <c r="KV3" s="175" t="str">
        <f>IF(ISBLANK(ENGLISH!D293), "", ENGLISH!D293)</f>
        <v/>
      </c>
      <c r="KW3" s="172" t="str">
        <f>IF(ISBLANK(ENGLISH!O299), "", ENGLISH!O299)</f>
        <v/>
      </c>
      <c r="KX3" s="172" t="str">
        <f>IF(ISBLANK(ENGLISH!O300), "", ENGLISH!O300)</f>
        <v/>
      </c>
      <c r="KY3" s="175">
        <f>IF(ISBLANK(ENGLISH!O306), "", ENGLISH!O306)</f>
        <v>0</v>
      </c>
      <c r="KZ3" s="175" t="str">
        <f>IF(ISBLANK(ENGLISH!O308), "", ENGLISH!O308)</f>
        <v/>
      </c>
      <c r="LA3" s="175" t="str">
        <f>IF(ISBLANK(ENGLISH!O309), "", ENGLISH!O309)</f>
        <v/>
      </c>
      <c r="LB3" s="175" t="str">
        <f>IF(ISBLANK(ENGLISH!O310), "", ENGLISH!O31)</f>
        <v/>
      </c>
      <c r="LC3" s="175" t="str">
        <f>IF(ISBLANK(ENGLISH!O312), "", ENGLISH!O312)</f>
        <v/>
      </c>
      <c r="LD3" s="175" t="str">
        <f>IF(ISBLANK(ENGLISH!D312), "", ENGLISH!D312)</f>
        <v/>
      </c>
      <c r="LE3" s="175" t="str">
        <f>IF(ISBLANK(ENGLISH!D316), "", ENGLISH!D316)</f>
        <v/>
      </c>
      <c r="LF3" s="172" t="str">
        <f>IF(ISBLANK(ENGLISH!O324), "", ENGLISH!O324)</f>
        <v/>
      </c>
      <c r="LG3" s="172" t="str">
        <f>IF(ISBLANK(ENGLISH!O325), "", ENGLISH!O325)</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C00000"/>
  </sheetPr>
  <dimension ref="A1:LG3"/>
  <sheetViews>
    <sheetView workbookViewId="0">
      <selection activeCell="BY9" sqref="BY9"/>
    </sheetView>
  </sheetViews>
  <sheetFormatPr defaultRowHeight="15" x14ac:dyDescent="0.25"/>
  <cols>
    <col min="1" max="1" width="7.140625" style="158" bestFit="1" customWidth="1"/>
    <col min="2" max="2" width="4.42578125" style="158" bestFit="1" customWidth="1"/>
    <col min="3" max="3" width="8" style="158" bestFit="1" customWidth="1"/>
    <col min="4" max="4" width="9" style="158" bestFit="1" customWidth="1"/>
    <col min="5" max="5" width="12.85546875" style="158" bestFit="1" customWidth="1"/>
    <col min="6" max="6" width="5.5703125" style="161" bestFit="1" customWidth="1"/>
    <col min="7" max="7" width="6.28515625" style="165" bestFit="1" customWidth="1"/>
    <col min="8" max="8" width="16.5703125" style="158" bestFit="1" customWidth="1"/>
    <col min="9" max="9" width="14.42578125" style="158" customWidth="1"/>
    <col min="10" max="10" width="18.5703125" style="158" bestFit="1" customWidth="1"/>
    <col min="11" max="11" width="12" style="158" bestFit="1" customWidth="1"/>
    <col min="12" max="12" width="13.5703125" style="158" bestFit="1" customWidth="1"/>
    <col min="13" max="13" width="14" style="163" bestFit="1" customWidth="1"/>
    <col min="14" max="14" width="9" style="163" bestFit="1" customWidth="1"/>
    <col min="15" max="15" width="14.7109375" style="163" bestFit="1" customWidth="1"/>
    <col min="16" max="16" width="9.7109375" style="163" customWidth="1"/>
    <col min="17" max="17" width="16.28515625" style="163" bestFit="1" customWidth="1"/>
    <col min="18" max="18" width="17" style="163" bestFit="1" customWidth="1"/>
    <col min="19" max="19" width="11.85546875" style="163" bestFit="1" customWidth="1"/>
    <col min="20" max="20" width="16.85546875" style="163" bestFit="1" customWidth="1"/>
    <col min="21" max="42" width="9.140625" style="158"/>
    <col min="43" max="53" width="9.140625" style="163"/>
    <col min="54" max="59" width="9.140625" style="158"/>
    <col min="60" max="76" width="9.140625" style="163"/>
    <col min="77" max="88" width="10.42578125" style="158" customWidth="1"/>
    <col min="89" max="91" width="9.140625" style="158"/>
    <col min="92" max="106" width="9.140625" style="163"/>
    <col min="107" max="121" width="9.140625" style="158"/>
    <col min="122" max="122" width="9.140625" style="161"/>
    <col min="123" max="123" width="9.140625" style="179"/>
    <col min="124" max="124" width="9.140625" style="158"/>
    <col min="125" max="142" width="9.140625" style="163"/>
    <col min="143" max="143" width="9.140625" style="158"/>
    <col min="144" max="152" width="9.140625" style="163"/>
    <col min="153" max="153" width="9.140625" style="158"/>
    <col min="154" max="159" width="9.140625" style="163"/>
    <col min="160" max="160" width="9.140625" style="182"/>
    <col min="161" max="171" width="9.140625" style="158"/>
    <col min="172" max="185" width="9.140625" style="161"/>
    <col min="186" max="197" width="9.140625" style="163"/>
    <col min="198" max="202" width="9.140625" style="158"/>
    <col min="203" max="210" width="9.140625" style="163"/>
    <col min="211" max="212" width="9.140625" style="158"/>
    <col min="213" max="219" width="9.140625" style="163"/>
    <col min="220" max="221" width="9.140625" style="158"/>
    <col min="222" max="224" width="9.140625" style="156"/>
    <col min="225" max="225" width="9.140625" style="163"/>
    <col min="226" max="226" width="9.140625" style="158"/>
    <col min="227" max="244" width="9.140625" style="163"/>
    <col min="245" max="245" width="9.140625" style="158"/>
    <col min="246" max="254" width="9.140625" style="163"/>
    <col min="255" max="255" width="9.140625" style="158"/>
    <col min="256" max="261" width="9.140625" style="163"/>
    <col min="262" max="273" width="9.140625" style="158"/>
    <col min="274" max="287" width="9.140625" style="161"/>
    <col min="288" max="299" width="9.140625" style="163"/>
    <col min="300" max="300" width="9.140625" style="158"/>
    <col min="301" max="308" width="9.140625" style="163"/>
    <col min="309" max="310" width="9.140625" style="158"/>
    <col min="311" max="317" width="9.140625" style="163"/>
    <col min="318" max="319" width="9.140625" style="158"/>
    <col min="320" max="16384" width="9.140625" style="153"/>
  </cols>
  <sheetData>
    <row r="1" spans="1:319" s="154" customFormat="1" ht="33" customHeight="1" x14ac:dyDescent="0.25">
      <c r="A1" s="157">
        <v>1</v>
      </c>
      <c r="B1" s="157">
        <v>1</v>
      </c>
      <c r="C1" s="157">
        <v>1</v>
      </c>
      <c r="D1" s="157">
        <v>1</v>
      </c>
      <c r="E1" s="157">
        <v>1</v>
      </c>
      <c r="F1" s="160">
        <v>1</v>
      </c>
      <c r="G1" s="157">
        <v>1</v>
      </c>
      <c r="H1" s="157">
        <v>1</v>
      </c>
      <c r="I1" s="157">
        <v>1</v>
      </c>
      <c r="J1" s="157">
        <v>1</v>
      </c>
      <c r="K1" s="157">
        <v>1</v>
      </c>
      <c r="L1" s="157">
        <v>1</v>
      </c>
      <c r="M1" s="162">
        <v>2</v>
      </c>
      <c r="N1" s="162">
        <v>2</v>
      </c>
      <c r="O1" s="162">
        <v>2</v>
      </c>
      <c r="P1" s="162">
        <v>2</v>
      </c>
      <c r="Q1" s="162">
        <v>2</v>
      </c>
      <c r="R1" s="162">
        <v>2</v>
      </c>
      <c r="S1" s="162">
        <v>2</v>
      </c>
      <c r="T1" s="162">
        <v>2</v>
      </c>
      <c r="U1" s="157">
        <v>3.1</v>
      </c>
      <c r="V1" s="157"/>
      <c r="W1" s="157">
        <v>3.1</v>
      </c>
      <c r="X1" s="157"/>
      <c r="Y1" s="157">
        <v>3.1</v>
      </c>
      <c r="Z1" s="157"/>
      <c r="AA1" s="157">
        <v>3.1</v>
      </c>
      <c r="AB1" s="157"/>
      <c r="AC1" s="157">
        <v>3.1</v>
      </c>
      <c r="AD1" s="157"/>
      <c r="AE1" s="157">
        <v>3.1</v>
      </c>
      <c r="AF1" s="157"/>
      <c r="AG1" s="157">
        <v>3.1</v>
      </c>
      <c r="AH1" s="157"/>
      <c r="AI1" s="157">
        <v>3.1</v>
      </c>
      <c r="AJ1" s="157"/>
      <c r="AK1" s="157">
        <v>3.1</v>
      </c>
      <c r="AL1" s="157"/>
      <c r="AM1" s="157">
        <v>3.1</v>
      </c>
      <c r="AN1" s="157"/>
      <c r="AO1" s="157">
        <v>3.1</v>
      </c>
      <c r="AP1" s="157"/>
      <c r="AQ1" s="162">
        <v>3.2</v>
      </c>
      <c r="AR1" s="162">
        <v>3.2</v>
      </c>
      <c r="AS1" s="162">
        <v>3.2</v>
      </c>
      <c r="AT1" s="162">
        <v>3.2</v>
      </c>
      <c r="AU1" s="162">
        <v>3.2</v>
      </c>
      <c r="AV1" s="162">
        <v>3.2</v>
      </c>
      <c r="AW1" s="162">
        <v>3.2</v>
      </c>
      <c r="AX1" s="162">
        <v>3.2</v>
      </c>
      <c r="AY1" s="162">
        <v>3.2</v>
      </c>
      <c r="AZ1" s="162">
        <v>3.2</v>
      </c>
      <c r="BA1" s="162">
        <v>3.2</v>
      </c>
      <c r="BB1" s="157">
        <v>4</v>
      </c>
      <c r="BC1" s="157">
        <v>4</v>
      </c>
      <c r="BD1" s="157">
        <v>4</v>
      </c>
      <c r="BE1" s="157">
        <v>4</v>
      </c>
      <c r="BF1" s="157">
        <v>4</v>
      </c>
      <c r="BG1" s="157">
        <v>4</v>
      </c>
      <c r="BH1" s="162">
        <v>5</v>
      </c>
      <c r="BI1" s="162">
        <v>5</v>
      </c>
      <c r="BJ1" s="162">
        <v>5</v>
      </c>
      <c r="BK1" s="162">
        <v>5</v>
      </c>
      <c r="BL1" s="162">
        <v>5</v>
      </c>
      <c r="BM1" s="162">
        <v>5</v>
      </c>
      <c r="BN1" s="162">
        <v>5</v>
      </c>
      <c r="BO1" s="162">
        <v>5</v>
      </c>
      <c r="BP1" s="162">
        <v>5</v>
      </c>
      <c r="BQ1" s="162">
        <v>5</v>
      </c>
      <c r="BR1" s="162">
        <v>5</v>
      </c>
      <c r="BS1" s="162">
        <v>5</v>
      </c>
      <c r="BT1" s="162">
        <v>5</v>
      </c>
      <c r="BU1" s="162">
        <v>5</v>
      </c>
      <c r="BV1" s="162">
        <v>5</v>
      </c>
      <c r="BW1" s="162">
        <v>5</v>
      </c>
      <c r="BX1" s="162"/>
      <c r="BY1" s="157">
        <v>5</v>
      </c>
      <c r="BZ1" s="157">
        <v>5</v>
      </c>
      <c r="CA1" s="157">
        <v>5</v>
      </c>
      <c r="CB1" s="157">
        <v>5</v>
      </c>
      <c r="CC1" s="157">
        <v>5</v>
      </c>
      <c r="CD1" s="157">
        <v>5</v>
      </c>
      <c r="CE1" s="157">
        <v>5</v>
      </c>
      <c r="CF1" s="157">
        <v>5</v>
      </c>
      <c r="CG1" s="157">
        <v>5</v>
      </c>
      <c r="CH1" s="157">
        <v>5</v>
      </c>
      <c r="CI1" s="157">
        <v>5</v>
      </c>
      <c r="CJ1" s="157">
        <v>5</v>
      </c>
      <c r="CK1" s="157">
        <v>5</v>
      </c>
      <c r="CL1" s="157">
        <v>5</v>
      </c>
      <c r="CM1" s="157">
        <v>5</v>
      </c>
      <c r="CN1" s="162">
        <v>5</v>
      </c>
      <c r="CO1" s="162">
        <v>5</v>
      </c>
      <c r="CP1" s="162">
        <v>5</v>
      </c>
      <c r="CQ1" s="162">
        <v>5</v>
      </c>
      <c r="CR1" s="162">
        <v>5</v>
      </c>
      <c r="CS1" s="162">
        <v>5</v>
      </c>
      <c r="CT1" s="162">
        <v>5</v>
      </c>
      <c r="CU1" s="162">
        <v>5</v>
      </c>
      <c r="CV1" s="162">
        <v>5</v>
      </c>
      <c r="CW1" s="162">
        <v>5</v>
      </c>
      <c r="CX1" s="162">
        <v>5</v>
      </c>
      <c r="CY1" s="162">
        <v>5</v>
      </c>
      <c r="CZ1" s="162">
        <v>5</v>
      </c>
      <c r="DA1" s="162">
        <v>5</v>
      </c>
      <c r="DB1" s="162">
        <v>5</v>
      </c>
      <c r="DC1" s="157">
        <v>5</v>
      </c>
      <c r="DD1" s="157">
        <v>5</v>
      </c>
      <c r="DE1" s="157">
        <v>5</v>
      </c>
      <c r="DF1" s="157">
        <v>5</v>
      </c>
      <c r="DG1" s="157">
        <v>5</v>
      </c>
      <c r="DH1" s="157">
        <v>5</v>
      </c>
      <c r="DI1" s="157">
        <v>5</v>
      </c>
      <c r="DJ1" s="157">
        <v>5</v>
      </c>
      <c r="DK1" s="157">
        <v>5</v>
      </c>
      <c r="DL1" s="157">
        <v>5</v>
      </c>
      <c r="DM1" s="157">
        <v>5</v>
      </c>
      <c r="DN1" s="157">
        <v>5</v>
      </c>
      <c r="DO1" s="157">
        <v>5</v>
      </c>
      <c r="DP1" s="157">
        <v>5</v>
      </c>
      <c r="DQ1" s="157">
        <v>5</v>
      </c>
      <c r="DR1" s="160">
        <v>5</v>
      </c>
      <c r="DS1" s="178">
        <v>6</v>
      </c>
      <c r="DT1" s="157">
        <v>6</v>
      </c>
      <c r="DU1" s="162">
        <v>6</v>
      </c>
      <c r="DV1" s="162">
        <v>6</v>
      </c>
      <c r="DW1" s="162">
        <v>6</v>
      </c>
      <c r="DX1" s="162">
        <v>6</v>
      </c>
      <c r="DY1" s="162">
        <v>6</v>
      </c>
      <c r="DZ1" s="162">
        <v>6</v>
      </c>
      <c r="EA1" s="162">
        <v>6</v>
      </c>
      <c r="EB1" s="162">
        <v>6</v>
      </c>
      <c r="EC1" s="162">
        <v>6</v>
      </c>
      <c r="ED1" s="162">
        <v>6</v>
      </c>
      <c r="EE1" s="162">
        <v>6</v>
      </c>
      <c r="EF1" s="162">
        <v>6</v>
      </c>
      <c r="EG1" s="162">
        <v>6</v>
      </c>
      <c r="EH1" s="162">
        <v>6</v>
      </c>
      <c r="EI1" s="162">
        <v>6</v>
      </c>
      <c r="EJ1" s="162">
        <v>6</v>
      </c>
      <c r="EK1" s="162">
        <v>6</v>
      </c>
      <c r="EL1" s="162">
        <v>6</v>
      </c>
      <c r="EM1" s="157">
        <v>6</v>
      </c>
      <c r="EN1" s="162">
        <v>6</v>
      </c>
      <c r="EO1" s="162">
        <v>6</v>
      </c>
      <c r="EP1" s="162">
        <v>6</v>
      </c>
      <c r="EQ1" s="162">
        <v>6</v>
      </c>
      <c r="ER1" s="162">
        <v>6</v>
      </c>
      <c r="ES1" s="162">
        <v>6</v>
      </c>
      <c r="ET1" s="162">
        <v>6</v>
      </c>
      <c r="EU1" s="162">
        <v>6</v>
      </c>
      <c r="EV1" s="162">
        <v>6</v>
      </c>
      <c r="EW1" s="157">
        <v>6</v>
      </c>
      <c r="EX1" s="162">
        <v>6</v>
      </c>
      <c r="EY1" s="162">
        <v>6</v>
      </c>
      <c r="EZ1" s="162">
        <v>6</v>
      </c>
      <c r="FA1" s="162">
        <v>6</v>
      </c>
      <c r="FB1" s="162">
        <v>6</v>
      </c>
      <c r="FC1" s="162">
        <v>6</v>
      </c>
      <c r="FD1" s="181">
        <v>7</v>
      </c>
      <c r="FE1" s="157">
        <v>7</v>
      </c>
      <c r="FF1" s="157">
        <v>7</v>
      </c>
      <c r="FG1" s="157">
        <v>7</v>
      </c>
      <c r="FH1" s="157">
        <v>7</v>
      </c>
      <c r="FI1" s="157">
        <v>7</v>
      </c>
      <c r="FJ1" s="157">
        <v>7</v>
      </c>
      <c r="FK1" s="157">
        <v>7</v>
      </c>
      <c r="FL1" s="157">
        <v>7</v>
      </c>
      <c r="FM1" s="157">
        <v>7</v>
      </c>
      <c r="FN1" s="157">
        <v>7</v>
      </c>
      <c r="FO1" s="157">
        <v>7</v>
      </c>
      <c r="FP1" s="160">
        <v>8</v>
      </c>
      <c r="FQ1" s="160">
        <v>8</v>
      </c>
      <c r="FR1" s="160">
        <v>8</v>
      </c>
      <c r="FS1" s="160">
        <v>8</v>
      </c>
      <c r="FT1" s="160">
        <v>8</v>
      </c>
      <c r="FU1" s="160">
        <v>8</v>
      </c>
      <c r="FV1" s="160">
        <v>8</v>
      </c>
      <c r="FW1" s="160">
        <v>8</v>
      </c>
      <c r="FX1" s="160">
        <v>8</v>
      </c>
      <c r="FY1" s="160">
        <v>8</v>
      </c>
      <c r="FZ1" s="160">
        <v>8</v>
      </c>
      <c r="GA1" s="160">
        <v>8</v>
      </c>
      <c r="GB1" s="160">
        <v>8</v>
      </c>
      <c r="GC1" s="160">
        <v>8</v>
      </c>
      <c r="GD1" s="162">
        <v>9</v>
      </c>
      <c r="GE1" s="162">
        <v>9</v>
      </c>
      <c r="GF1" s="162">
        <v>9</v>
      </c>
      <c r="GG1" s="162">
        <v>9</v>
      </c>
      <c r="GH1" s="162">
        <v>9</v>
      </c>
      <c r="GI1" s="162">
        <v>9</v>
      </c>
      <c r="GJ1" s="162">
        <v>9</v>
      </c>
      <c r="GK1" s="162">
        <v>9</v>
      </c>
      <c r="GL1" s="162">
        <v>9</v>
      </c>
      <c r="GM1" s="162">
        <v>9</v>
      </c>
      <c r="GN1" s="162">
        <v>9</v>
      </c>
      <c r="GO1" s="162">
        <v>9</v>
      </c>
      <c r="GP1" s="157">
        <v>10</v>
      </c>
      <c r="GQ1" s="157">
        <v>10</v>
      </c>
      <c r="GR1" s="157">
        <v>10</v>
      </c>
      <c r="GS1" s="157">
        <v>10</v>
      </c>
      <c r="GT1" s="157">
        <v>10</v>
      </c>
      <c r="GU1" s="162">
        <v>11</v>
      </c>
      <c r="GV1" s="162">
        <v>11</v>
      </c>
      <c r="GW1" s="162">
        <v>11</v>
      </c>
      <c r="GX1" s="162">
        <v>11</v>
      </c>
      <c r="GY1" s="162">
        <v>11</v>
      </c>
      <c r="GZ1" s="162">
        <v>11</v>
      </c>
      <c r="HA1" s="162">
        <v>11</v>
      </c>
      <c r="HB1" s="162">
        <v>11</v>
      </c>
      <c r="HC1" s="157">
        <v>12</v>
      </c>
      <c r="HD1" s="157">
        <v>12</v>
      </c>
      <c r="HE1" s="162">
        <v>13</v>
      </c>
      <c r="HF1" s="162">
        <v>13</v>
      </c>
      <c r="HG1" s="162">
        <v>13</v>
      </c>
      <c r="HH1" s="162">
        <v>13</v>
      </c>
      <c r="HI1" s="162">
        <v>13</v>
      </c>
      <c r="HJ1" s="162">
        <v>13</v>
      </c>
      <c r="HK1" s="162">
        <v>13</v>
      </c>
      <c r="HL1" s="157">
        <v>14</v>
      </c>
      <c r="HM1" s="157">
        <v>14</v>
      </c>
      <c r="HN1" s="155"/>
      <c r="HO1" s="155"/>
      <c r="HP1" s="155"/>
      <c r="HQ1" s="162" t="s">
        <v>1724</v>
      </c>
      <c r="HR1" s="157" t="s">
        <v>1724</v>
      </c>
      <c r="HS1" s="162" t="s">
        <v>1724</v>
      </c>
      <c r="HT1" s="162" t="s">
        <v>1724</v>
      </c>
      <c r="HU1" s="162" t="s">
        <v>1724</v>
      </c>
      <c r="HV1" s="162" t="s">
        <v>1724</v>
      </c>
      <c r="HW1" s="162" t="s">
        <v>1724</v>
      </c>
      <c r="HX1" s="162" t="s">
        <v>1724</v>
      </c>
      <c r="HY1" s="162" t="s">
        <v>1724</v>
      </c>
      <c r="HZ1" s="162" t="s">
        <v>1724</v>
      </c>
      <c r="IA1" s="162" t="s">
        <v>1724</v>
      </c>
      <c r="IB1" s="162" t="s">
        <v>1724</v>
      </c>
      <c r="IC1" s="162" t="s">
        <v>1724</v>
      </c>
      <c r="ID1" s="162" t="s">
        <v>1724</v>
      </c>
      <c r="IE1" s="162" t="s">
        <v>1724</v>
      </c>
      <c r="IF1" s="162" t="s">
        <v>1724</v>
      </c>
      <c r="IG1" s="162" t="s">
        <v>1724</v>
      </c>
      <c r="IH1" s="162" t="s">
        <v>1724</v>
      </c>
      <c r="II1" s="162" t="s">
        <v>1724</v>
      </c>
      <c r="IJ1" s="162" t="s">
        <v>1724</v>
      </c>
      <c r="IK1" s="157" t="s">
        <v>1724</v>
      </c>
      <c r="IL1" s="162" t="s">
        <v>1724</v>
      </c>
      <c r="IM1" s="162" t="s">
        <v>1724</v>
      </c>
      <c r="IN1" s="162" t="s">
        <v>1724</v>
      </c>
      <c r="IO1" s="162" t="s">
        <v>1724</v>
      </c>
      <c r="IP1" s="162" t="s">
        <v>1724</v>
      </c>
      <c r="IQ1" s="162" t="s">
        <v>1724</v>
      </c>
      <c r="IR1" s="162" t="s">
        <v>1724</v>
      </c>
      <c r="IS1" s="162" t="s">
        <v>1724</v>
      </c>
      <c r="IT1" s="162" t="s">
        <v>1724</v>
      </c>
      <c r="IU1" s="157" t="s">
        <v>1724</v>
      </c>
      <c r="IV1" s="162" t="s">
        <v>1724</v>
      </c>
      <c r="IW1" s="162" t="s">
        <v>1724</v>
      </c>
      <c r="IX1" s="162" t="s">
        <v>1724</v>
      </c>
      <c r="IY1" s="162" t="s">
        <v>1724</v>
      </c>
      <c r="IZ1" s="162" t="s">
        <v>1724</v>
      </c>
      <c r="JA1" s="162" t="s">
        <v>1724</v>
      </c>
      <c r="JB1" s="157" t="s">
        <v>1725</v>
      </c>
      <c r="JC1" s="157" t="s">
        <v>1725</v>
      </c>
      <c r="JD1" s="157" t="s">
        <v>1725</v>
      </c>
      <c r="JE1" s="157" t="s">
        <v>1725</v>
      </c>
      <c r="JF1" s="157" t="s">
        <v>1725</v>
      </c>
      <c r="JG1" s="157" t="s">
        <v>1725</v>
      </c>
      <c r="JH1" s="157" t="s">
        <v>1725</v>
      </c>
      <c r="JI1" s="157" t="s">
        <v>1725</v>
      </c>
      <c r="JJ1" s="157" t="s">
        <v>1725</v>
      </c>
      <c r="JK1" s="157" t="s">
        <v>1725</v>
      </c>
      <c r="JL1" s="157" t="s">
        <v>1725</v>
      </c>
      <c r="JM1" s="157" t="s">
        <v>1725</v>
      </c>
      <c r="JN1" s="160" t="s">
        <v>1726</v>
      </c>
      <c r="JO1" s="160" t="s">
        <v>1726</v>
      </c>
      <c r="JP1" s="160" t="s">
        <v>1726</v>
      </c>
      <c r="JQ1" s="160" t="s">
        <v>1726</v>
      </c>
      <c r="JR1" s="160" t="s">
        <v>1726</v>
      </c>
      <c r="JS1" s="160" t="s">
        <v>1726</v>
      </c>
      <c r="JT1" s="160" t="s">
        <v>1726</v>
      </c>
      <c r="JU1" s="160" t="s">
        <v>1726</v>
      </c>
      <c r="JV1" s="160" t="s">
        <v>1726</v>
      </c>
      <c r="JW1" s="160" t="s">
        <v>1726</v>
      </c>
      <c r="JX1" s="160" t="s">
        <v>1726</v>
      </c>
      <c r="JY1" s="160" t="s">
        <v>1726</v>
      </c>
      <c r="JZ1" s="160" t="s">
        <v>1726</v>
      </c>
      <c r="KA1" s="160" t="s">
        <v>1726</v>
      </c>
      <c r="KB1" s="162" t="s">
        <v>1727</v>
      </c>
      <c r="KC1" s="162" t="s">
        <v>1727</v>
      </c>
      <c r="KD1" s="162" t="s">
        <v>1727</v>
      </c>
      <c r="KE1" s="162" t="s">
        <v>1727</v>
      </c>
      <c r="KF1" s="162" t="s">
        <v>1727</v>
      </c>
      <c r="KG1" s="162" t="s">
        <v>1727</v>
      </c>
      <c r="KH1" s="162" t="s">
        <v>1727</v>
      </c>
      <c r="KI1" s="162" t="s">
        <v>1727</v>
      </c>
      <c r="KJ1" s="162" t="s">
        <v>1727</v>
      </c>
      <c r="KK1" s="162" t="s">
        <v>1727</v>
      </c>
      <c r="KL1" s="162" t="s">
        <v>1727</v>
      </c>
      <c r="KM1" s="162" t="s">
        <v>1727</v>
      </c>
      <c r="KN1" s="157" t="s">
        <v>1728</v>
      </c>
      <c r="KO1" s="162" t="s">
        <v>1729</v>
      </c>
      <c r="KP1" s="162" t="s">
        <v>1729</v>
      </c>
      <c r="KQ1" s="162" t="s">
        <v>1729</v>
      </c>
      <c r="KR1" s="162" t="s">
        <v>1729</v>
      </c>
      <c r="KS1" s="162" t="s">
        <v>1729</v>
      </c>
      <c r="KT1" s="162" t="s">
        <v>1729</v>
      </c>
      <c r="KU1" s="162" t="s">
        <v>1729</v>
      </c>
      <c r="KV1" s="162" t="s">
        <v>1729</v>
      </c>
      <c r="KW1" s="157" t="s">
        <v>1730</v>
      </c>
      <c r="KX1" s="157" t="s">
        <v>1730</v>
      </c>
      <c r="KY1" s="162" t="s">
        <v>1731</v>
      </c>
      <c r="KZ1" s="162" t="s">
        <v>1731</v>
      </c>
      <c r="LA1" s="162" t="s">
        <v>1731</v>
      </c>
      <c r="LB1" s="162" t="s">
        <v>1731</v>
      </c>
      <c r="LC1" s="162" t="s">
        <v>1731</v>
      </c>
      <c r="LD1" s="162" t="s">
        <v>1731</v>
      </c>
      <c r="LE1" s="162" t="s">
        <v>1731</v>
      </c>
      <c r="LF1" s="157" t="s">
        <v>1732</v>
      </c>
      <c r="LG1" s="157" t="s">
        <v>1732</v>
      </c>
    </row>
    <row r="2" spans="1:319" x14ac:dyDescent="0.25">
      <c r="A2" s="165" t="s">
        <v>1029</v>
      </c>
      <c r="B2" s="165" t="s">
        <v>1030</v>
      </c>
      <c r="C2" s="165" t="s">
        <v>84</v>
      </c>
      <c r="D2" s="165" t="s">
        <v>1031</v>
      </c>
      <c r="E2" s="165" t="s">
        <v>1035</v>
      </c>
      <c r="F2" s="166" t="s">
        <v>1032</v>
      </c>
      <c r="G2" s="167" t="s">
        <v>1034</v>
      </c>
      <c r="H2" s="165" t="s">
        <v>1033</v>
      </c>
      <c r="I2" s="165" t="s">
        <v>68</v>
      </c>
      <c r="J2" s="165" t="s">
        <v>69</v>
      </c>
      <c r="K2" s="165" t="s">
        <v>70</v>
      </c>
      <c r="L2" s="165" t="s">
        <v>71</v>
      </c>
      <c r="M2" s="163" t="s">
        <v>1535</v>
      </c>
      <c r="N2" s="163" t="s">
        <v>1536</v>
      </c>
      <c r="O2" s="163" t="s">
        <v>1534</v>
      </c>
      <c r="P2" s="163" t="s">
        <v>1537</v>
      </c>
      <c r="Q2" s="163" t="s">
        <v>1538</v>
      </c>
      <c r="R2" s="163" t="s">
        <v>1539</v>
      </c>
      <c r="S2" s="163" t="s">
        <v>1540</v>
      </c>
      <c r="T2" s="163" t="s">
        <v>1541</v>
      </c>
      <c r="U2" s="158" t="s">
        <v>1542</v>
      </c>
      <c r="W2" s="158" t="s">
        <v>1543</v>
      </c>
      <c r="Y2" s="158" t="s">
        <v>1544</v>
      </c>
      <c r="AA2" s="158" t="s">
        <v>1545</v>
      </c>
      <c r="AC2" s="158" t="s">
        <v>1546</v>
      </c>
      <c r="AE2" s="158" t="s">
        <v>1547</v>
      </c>
      <c r="AG2" s="158" t="s">
        <v>1548</v>
      </c>
      <c r="AI2" s="158" t="s">
        <v>1549</v>
      </c>
      <c r="AK2" s="158" t="s">
        <v>1550</v>
      </c>
      <c r="AM2" s="158" t="s">
        <v>1551</v>
      </c>
      <c r="AO2" s="158" t="s">
        <v>1552</v>
      </c>
      <c r="AQ2" s="163" t="s">
        <v>1553</v>
      </c>
      <c r="AR2" s="163" t="s">
        <v>1554</v>
      </c>
      <c r="AS2" s="163" t="s">
        <v>1555</v>
      </c>
      <c r="AT2" s="163" t="s">
        <v>1556</v>
      </c>
      <c r="AU2" s="163" t="s">
        <v>1557</v>
      </c>
      <c r="AV2" s="163" t="s">
        <v>1558</v>
      </c>
      <c r="AW2" s="163" t="s">
        <v>1559</v>
      </c>
      <c r="AX2" s="163" t="s">
        <v>1560</v>
      </c>
      <c r="AY2" s="163" t="s">
        <v>1561</v>
      </c>
      <c r="AZ2" s="163" t="s">
        <v>1562</v>
      </c>
      <c r="BA2" s="163" t="s">
        <v>1563</v>
      </c>
      <c r="BB2" s="158" t="s">
        <v>1564</v>
      </c>
      <c r="BC2" s="158" t="s">
        <v>1565</v>
      </c>
      <c r="BD2" s="158" t="s">
        <v>1566</v>
      </c>
      <c r="BE2" s="158" t="s">
        <v>1567</v>
      </c>
      <c r="BF2" s="158" t="s">
        <v>1568</v>
      </c>
      <c r="BG2" s="158" t="s">
        <v>1569</v>
      </c>
      <c r="BH2" s="163" t="s">
        <v>1756</v>
      </c>
      <c r="BI2" s="163" t="s">
        <v>1622</v>
      </c>
      <c r="BJ2" s="163" t="s">
        <v>1570</v>
      </c>
      <c r="BK2" s="163" t="s">
        <v>1571</v>
      </c>
      <c r="BL2" s="163" t="s">
        <v>1572</v>
      </c>
      <c r="BM2" s="163" t="s">
        <v>1573</v>
      </c>
      <c r="BN2" s="163" t="s">
        <v>1574</v>
      </c>
      <c r="BO2" s="163" t="s">
        <v>1575</v>
      </c>
      <c r="BP2" s="163" t="s">
        <v>1576</v>
      </c>
      <c r="BQ2" s="163" t="s">
        <v>1577</v>
      </c>
      <c r="BR2" s="163" t="s">
        <v>1578</v>
      </c>
      <c r="BS2" s="163" t="s">
        <v>1579</v>
      </c>
      <c r="BT2" s="163" t="s">
        <v>1580</v>
      </c>
      <c r="BU2" s="163" t="s">
        <v>1581</v>
      </c>
      <c r="BV2" s="163" t="s">
        <v>1582</v>
      </c>
      <c r="BW2" s="163" t="s">
        <v>1759</v>
      </c>
      <c r="BX2" s="163" t="s">
        <v>1760</v>
      </c>
      <c r="BY2" s="340" t="s">
        <v>1583</v>
      </c>
      <c r="BZ2" s="158" t="s">
        <v>1584</v>
      </c>
      <c r="CA2" s="158" t="s">
        <v>1585</v>
      </c>
      <c r="CB2" s="158" t="s">
        <v>1586</v>
      </c>
      <c r="CC2" s="158" t="s">
        <v>1587</v>
      </c>
      <c r="CD2" s="158" t="s">
        <v>1588</v>
      </c>
      <c r="CE2" s="158" t="s">
        <v>1589</v>
      </c>
      <c r="CF2" s="158" t="s">
        <v>1590</v>
      </c>
      <c r="CG2" s="158" t="s">
        <v>1591</v>
      </c>
      <c r="CH2" s="158" t="s">
        <v>1592</v>
      </c>
      <c r="CI2" s="158" t="s">
        <v>1593</v>
      </c>
      <c r="CJ2" s="158" t="s">
        <v>1594</v>
      </c>
      <c r="CK2" s="158" t="s">
        <v>1595</v>
      </c>
      <c r="CL2" s="158" t="s">
        <v>1757</v>
      </c>
      <c r="CM2" s="158" t="s">
        <v>1758</v>
      </c>
      <c r="CN2" s="163" t="s">
        <v>1596</v>
      </c>
      <c r="CO2" s="163" t="s">
        <v>1597</v>
      </c>
      <c r="CP2" s="163" t="s">
        <v>1598</v>
      </c>
      <c r="CQ2" s="163" t="s">
        <v>1599</v>
      </c>
      <c r="CR2" s="163" t="s">
        <v>1600</v>
      </c>
      <c r="CS2" s="163" t="s">
        <v>1601</v>
      </c>
      <c r="CT2" s="163" t="s">
        <v>1602</v>
      </c>
      <c r="CU2" s="163" t="s">
        <v>1603</v>
      </c>
      <c r="CV2" s="163" t="s">
        <v>1604</v>
      </c>
      <c r="CW2" s="163" t="s">
        <v>1605</v>
      </c>
      <c r="CX2" s="163" t="s">
        <v>1606</v>
      </c>
      <c r="CY2" s="163" t="s">
        <v>1607</v>
      </c>
      <c r="CZ2" s="163" t="s">
        <v>1608</v>
      </c>
      <c r="DA2" s="163" t="s">
        <v>1761</v>
      </c>
      <c r="DB2" s="163" t="s">
        <v>1762</v>
      </c>
      <c r="DC2" s="158" t="s">
        <v>1609</v>
      </c>
      <c r="DD2" s="158" t="s">
        <v>1610</v>
      </c>
      <c r="DE2" s="158" t="s">
        <v>1611</v>
      </c>
      <c r="DF2" s="158" t="s">
        <v>1612</v>
      </c>
      <c r="DG2" s="158" t="s">
        <v>1613</v>
      </c>
      <c r="DH2" s="158" t="s">
        <v>1614</v>
      </c>
      <c r="DI2" s="158" t="s">
        <v>1615</v>
      </c>
      <c r="DJ2" s="158" t="s">
        <v>1616</v>
      </c>
      <c r="DK2" s="158" t="s">
        <v>1617</v>
      </c>
      <c r="DL2" s="158" t="s">
        <v>1618</v>
      </c>
      <c r="DM2" s="158" t="s">
        <v>1619</v>
      </c>
      <c r="DN2" s="158" t="s">
        <v>1620</v>
      </c>
      <c r="DO2" s="158" t="s">
        <v>1621</v>
      </c>
      <c r="DP2" s="158" t="s">
        <v>1763</v>
      </c>
      <c r="DQ2" s="158" t="s">
        <v>1764</v>
      </c>
      <c r="DR2" s="161" t="s">
        <v>1623</v>
      </c>
      <c r="DS2" s="179" t="s">
        <v>1624</v>
      </c>
      <c r="DT2" s="159" t="s">
        <v>1625</v>
      </c>
      <c r="DU2" s="163" t="s">
        <v>1626</v>
      </c>
      <c r="DV2" s="163" t="s">
        <v>1627</v>
      </c>
      <c r="DW2" s="163" t="s">
        <v>1628</v>
      </c>
      <c r="DX2" s="163" t="s">
        <v>1629</v>
      </c>
      <c r="DY2" s="163" t="s">
        <v>1630</v>
      </c>
      <c r="DZ2" s="163" t="s">
        <v>1631</v>
      </c>
      <c r="EA2" s="163" t="s">
        <v>1632</v>
      </c>
      <c r="EB2" s="163" t="s">
        <v>1633</v>
      </c>
      <c r="EC2" s="163" t="s">
        <v>1634</v>
      </c>
      <c r="ED2" s="163" t="s">
        <v>1635</v>
      </c>
      <c r="EE2" s="163" t="s">
        <v>1636</v>
      </c>
      <c r="EF2" s="163" t="s">
        <v>1637</v>
      </c>
      <c r="EG2" s="163" t="s">
        <v>1638</v>
      </c>
      <c r="EH2" s="163" t="s">
        <v>1639</v>
      </c>
      <c r="EI2" s="163" t="s">
        <v>1640</v>
      </c>
      <c r="EJ2" s="163" t="s">
        <v>1641</v>
      </c>
      <c r="EK2" s="163" t="s">
        <v>1642</v>
      </c>
      <c r="EL2" s="163" t="s">
        <v>1657</v>
      </c>
      <c r="EM2" s="159" t="s">
        <v>1643</v>
      </c>
      <c r="EN2" s="163" t="s">
        <v>1644</v>
      </c>
      <c r="EO2" s="163" t="s">
        <v>1765</v>
      </c>
      <c r="EP2" s="163" t="s">
        <v>1646</v>
      </c>
      <c r="EQ2" s="163" t="s">
        <v>1647</v>
      </c>
      <c r="ER2" s="163" t="s">
        <v>1648</v>
      </c>
      <c r="ES2" s="163" t="s">
        <v>1649</v>
      </c>
      <c r="ET2" s="163" t="s">
        <v>1650</v>
      </c>
      <c r="EU2" s="163" t="s">
        <v>1651</v>
      </c>
      <c r="EV2" s="163" t="s">
        <v>1658</v>
      </c>
      <c r="EW2" s="159" t="s">
        <v>1652</v>
      </c>
      <c r="EX2" s="163" t="s">
        <v>1653</v>
      </c>
      <c r="EY2" s="163" t="s">
        <v>1654</v>
      </c>
      <c r="EZ2" s="163" t="s">
        <v>1655</v>
      </c>
      <c r="FA2" s="163" t="s">
        <v>1656</v>
      </c>
      <c r="FB2" s="163" t="s">
        <v>1659</v>
      </c>
      <c r="FC2" s="163" t="s">
        <v>1660</v>
      </c>
      <c r="FD2" s="182" t="s">
        <v>1661</v>
      </c>
      <c r="FE2" s="158" t="s">
        <v>1662</v>
      </c>
      <c r="FF2" s="158" t="s">
        <v>1663</v>
      </c>
      <c r="FG2" s="158" t="s">
        <v>1664</v>
      </c>
      <c r="FH2" s="158" t="s">
        <v>1665</v>
      </c>
      <c r="FI2" s="158" t="s">
        <v>1666</v>
      </c>
      <c r="FJ2" s="158" t="s">
        <v>1667</v>
      </c>
      <c r="FK2" s="158" t="s">
        <v>1668</v>
      </c>
      <c r="FL2" s="158" t="s">
        <v>1669</v>
      </c>
      <c r="FM2" s="158" t="s">
        <v>1670</v>
      </c>
      <c r="FN2" s="158" t="s">
        <v>1671</v>
      </c>
      <c r="FO2" s="158" t="s">
        <v>1672</v>
      </c>
      <c r="FP2" s="164" t="s">
        <v>1673</v>
      </c>
      <c r="FQ2" s="164" t="s">
        <v>1674</v>
      </c>
      <c r="FR2" s="164" t="s">
        <v>1675</v>
      </c>
      <c r="FS2" s="164" t="s">
        <v>1676</v>
      </c>
      <c r="FT2" s="164" t="s">
        <v>1677</v>
      </c>
      <c r="FU2" s="164" t="s">
        <v>1678</v>
      </c>
      <c r="FV2" s="164" t="s">
        <v>1679</v>
      </c>
      <c r="FW2" s="164" t="s">
        <v>1680</v>
      </c>
      <c r="FX2" s="164" t="s">
        <v>1681</v>
      </c>
      <c r="FY2" s="164" t="s">
        <v>1682</v>
      </c>
      <c r="FZ2" s="164" t="s">
        <v>1683</v>
      </c>
      <c r="GA2" s="164" t="s">
        <v>1684</v>
      </c>
      <c r="GB2" s="164" t="s">
        <v>1685</v>
      </c>
      <c r="GC2" s="164" t="s">
        <v>1686</v>
      </c>
      <c r="GD2" s="163" t="s">
        <v>1687</v>
      </c>
      <c r="GE2" s="163" t="s">
        <v>1688</v>
      </c>
      <c r="GF2" s="163" t="s">
        <v>1689</v>
      </c>
      <c r="GG2" s="163" t="s">
        <v>1690</v>
      </c>
      <c r="GH2" s="163" t="s">
        <v>1691</v>
      </c>
      <c r="GI2" s="163" t="s">
        <v>1692</v>
      </c>
      <c r="GJ2" s="163" t="s">
        <v>1693</v>
      </c>
      <c r="GK2" s="163" t="s">
        <v>1694</v>
      </c>
      <c r="GL2" s="163" t="s">
        <v>1695</v>
      </c>
      <c r="GM2" s="163" t="s">
        <v>1696</v>
      </c>
      <c r="GN2" s="163" t="s">
        <v>1697</v>
      </c>
      <c r="GO2" s="163" t="s">
        <v>1698</v>
      </c>
      <c r="GP2" s="158" t="s">
        <v>1700</v>
      </c>
      <c r="GQ2" s="158" t="s">
        <v>1701</v>
      </c>
      <c r="GR2" s="158" t="s">
        <v>1702</v>
      </c>
      <c r="GS2" s="158" t="s">
        <v>1703</v>
      </c>
      <c r="GT2" s="158" t="s">
        <v>1704</v>
      </c>
      <c r="GU2" s="163" t="s">
        <v>1705</v>
      </c>
      <c r="GV2" s="163" t="s">
        <v>1706</v>
      </c>
      <c r="GW2" s="163" t="s">
        <v>1707</v>
      </c>
      <c r="GX2" s="163" t="s">
        <v>1708</v>
      </c>
      <c r="GY2" s="163" t="s">
        <v>1709</v>
      </c>
      <c r="GZ2" s="163" t="s">
        <v>1710</v>
      </c>
      <c r="HA2" s="163" t="s">
        <v>1711</v>
      </c>
      <c r="HB2" s="163" t="s">
        <v>1712</v>
      </c>
      <c r="HC2" s="158" t="s">
        <v>1713</v>
      </c>
      <c r="HD2" s="158" t="s">
        <v>1714</v>
      </c>
      <c r="HE2" s="163" t="s">
        <v>1715</v>
      </c>
      <c r="HF2" s="163" t="s">
        <v>1716</v>
      </c>
      <c r="HG2" s="163" t="s">
        <v>1717</v>
      </c>
      <c r="HH2" s="163" t="s">
        <v>1718</v>
      </c>
      <c r="HI2" s="163" t="s">
        <v>1719</v>
      </c>
      <c r="HJ2" s="163" t="s">
        <v>1720</v>
      </c>
      <c r="HK2" s="163" t="s">
        <v>1721</v>
      </c>
      <c r="HL2" s="158" t="s">
        <v>1722</v>
      </c>
      <c r="HM2" s="158" t="s">
        <v>1723</v>
      </c>
      <c r="HQ2" s="163" t="s">
        <v>1624</v>
      </c>
      <c r="HR2" s="159" t="s">
        <v>1625</v>
      </c>
      <c r="HS2" s="163" t="s">
        <v>1626</v>
      </c>
      <c r="HT2" s="163" t="s">
        <v>1627</v>
      </c>
      <c r="HU2" s="163" t="s">
        <v>1628</v>
      </c>
      <c r="HV2" s="163" t="s">
        <v>1629</v>
      </c>
      <c r="HW2" s="163" t="s">
        <v>1630</v>
      </c>
      <c r="HX2" s="163" t="s">
        <v>1631</v>
      </c>
      <c r="HY2" s="163" t="s">
        <v>1632</v>
      </c>
      <c r="HZ2" s="163" t="s">
        <v>1633</v>
      </c>
      <c r="IA2" s="163" t="s">
        <v>1634</v>
      </c>
      <c r="IB2" s="163" t="s">
        <v>1635</v>
      </c>
      <c r="IC2" s="163" t="s">
        <v>1636</v>
      </c>
      <c r="ID2" s="163" t="s">
        <v>1637</v>
      </c>
      <c r="IE2" s="163" t="s">
        <v>1638</v>
      </c>
      <c r="IF2" s="163" t="s">
        <v>1639</v>
      </c>
      <c r="IG2" s="163" t="s">
        <v>1640</v>
      </c>
      <c r="IH2" s="163" t="s">
        <v>1641</v>
      </c>
      <c r="II2" s="163" t="s">
        <v>1642</v>
      </c>
      <c r="IJ2" s="163" t="s">
        <v>1657</v>
      </c>
      <c r="IK2" s="159" t="s">
        <v>1643</v>
      </c>
      <c r="IL2" s="163" t="s">
        <v>1644</v>
      </c>
      <c r="IM2" s="163" t="s">
        <v>1645</v>
      </c>
      <c r="IN2" s="163" t="s">
        <v>1646</v>
      </c>
      <c r="IO2" s="163" t="s">
        <v>1647</v>
      </c>
      <c r="IP2" s="163" t="s">
        <v>1648</v>
      </c>
      <c r="IQ2" s="163" t="s">
        <v>1649</v>
      </c>
      <c r="IR2" s="163" t="s">
        <v>1650</v>
      </c>
      <c r="IS2" s="163" t="s">
        <v>1651</v>
      </c>
      <c r="IT2" s="163" t="s">
        <v>1658</v>
      </c>
      <c r="IU2" s="159" t="s">
        <v>1652</v>
      </c>
      <c r="IV2" s="163" t="s">
        <v>1653</v>
      </c>
      <c r="IW2" s="163" t="s">
        <v>1654</v>
      </c>
      <c r="IX2" s="163" t="s">
        <v>1655</v>
      </c>
      <c r="IY2" s="163" t="s">
        <v>1656</v>
      </c>
      <c r="IZ2" s="163" t="s">
        <v>1659</v>
      </c>
      <c r="JA2" s="163" t="s">
        <v>1660</v>
      </c>
      <c r="JB2" s="158" t="s">
        <v>1661</v>
      </c>
      <c r="JC2" s="158" t="s">
        <v>1662</v>
      </c>
      <c r="JD2" s="158" t="s">
        <v>1663</v>
      </c>
      <c r="JE2" s="158" t="s">
        <v>1664</v>
      </c>
      <c r="JF2" s="158" t="s">
        <v>1665</v>
      </c>
      <c r="JG2" s="158" t="s">
        <v>1666</v>
      </c>
      <c r="JH2" s="158" t="s">
        <v>1667</v>
      </c>
      <c r="JI2" s="158" t="s">
        <v>1668</v>
      </c>
      <c r="JJ2" s="158" t="s">
        <v>1669</v>
      </c>
      <c r="JK2" s="158" t="s">
        <v>1670</v>
      </c>
      <c r="JL2" s="158" t="s">
        <v>1671</v>
      </c>
      <c r="JM2" s="158" t="s">
        <v>1672</v>
      </c>
      <c r="JN2" s="164" t="s">
        <v>1673</v>
      </c>
      <c r="JO2" s="164" t="s">
        <v>1674</v>
      </c>
      <c r="JP2" s="164" t="s">
        <v>1675</v>
      </c>
      <c r="JQ2" s="164" t="s">
        <v>1676</v>
      </c>
      <c r="JR2" s="164" t="s">
        <v>1677</v>
      </c>
      <c r="JS2" s="164" t="s">
        <v>1678</v>
      </c>
      <c r="JT2" s="164" t="s">
        <v>1679</v>
      </c>
      <c r="JU2" s="164" t="s">
        <v>1680</v>
      </c>
      <c r="JV2" s="164" t="s">
        <v>1681</v>
      </c>
      <c r="JW2" s="164" t="s">
        <v>1682</v>
      </c>
      <c r="JX2" s="164" t="s">
        <v>1683</v>
      </c>
      <c r="JY2" s="164" t="s">
        <v>1684</v>
      </c>
      <c r="JZ2" s="164" t="s">
        <v>1685</v>
      </c>
      <c r="KA2" s="164" t="s">
        <v>1686</v>
      </c>
      <c r="KB2" s="163" t="s">
        <v>1687</v>
      </c>
      <c r="KC2" s="163" t="s">
        <v>1688</v>
      </c>
      <c r="KD2" s="163" t="s">
        <v>1689</v>
      </c>
      <c r="KE2" s="163" t="s">
        <v>1690</v>
      </c>
      <c r="KF2" s="163" t="s">
        <v>1691</v>
      </c>
      <c r="KG2" s="163" t="s">
        <v>1692</v>
      </c>
      <c r="KH2" s="163" t="s">
        <v>1693</v>
      </c>
      <c r="KI2" s="163" t="s">
        <v>1694</v>
      </c>
      <c r="KJ2" s="163" t="s">
        <v>1695</v>
      </c>
      <c r="KK2" s="163" t="s">
        <v>1696</v>
      </c>
      <c r="KL2" s="163" t="s">
        <v>1697</v>
      </c>
      <c r="KM2" s="163" t="s">
        <v>1698</v>
      </c>
      <c r="KN2" s="158" t="s">
        <v>1700</v>
      </c>
      <c r="KO2" s="163" t="s">
        <v>1705</v>
      </c>
      <c r="KP2" s="163" t="s">
        <v>1706</v>
      </c>
      <c r="KQ2" s="163" t="s">
        <v>1707</v>
      </c>
      <c r="KR2" s="163" t="s">
        <v>1708</v>
      </c>
      <c r="KS2" s="163" t="s">
        <v>1709</v>
      </c>
      <c r="KT2" s="163" t="s">
        <v>1710</v>
      </c>
      <c r="KU2" s="163" t="s">
        <v>1711</v>
      </c>
      <c r="KV2" s="163" t="s">
        <v>1712</v>
      </c>
      <c r="KW2" s="158" t="s">
        <v>1713</v>
      </c>
      <c r="KX2" s="158" t="s">
        <v>1714</v>
      </c>
      <c r="KY2" s="163" t="s">
        <v>1715</v>
      </c>
      <c r="KZ2" s="163" t="s">
        <v>1716</v>
      </c>
      <c r="LA2" s="163" t="s">
        <v>1717</v>
      </c>
      <c r="LB2" s="163" t="s">
        <v>1718</v>
      </c>
      <c r="LC2" s="163" t="s">
        <v>1719</v>
      </c>
      <c r="LD2" s="163" t="s">
        <v>1720</v>
      </c>
      <c r="LE2" s="163" t="s">
        <v>1721</v>
      </c>
      <c r="LF2" s="158" t="s">
        <v>1722</v>
      </c>
      <c r="LG2" s="158" t="s">
        <v>1723</v>
      </c>
    </row>
    <row r="3" spans="1:319" s="177" customFormat="1" x14ac:dyDescent="0.25">
      <c r="A3" s="172"/>
      <c r="B3" s="172"/>
      <c r="C3" s="172"/>
      <c r="D3" s="172"/>
      <c r="E3" s="172"/>
      <c r="F3" s="173" t="str">
        <f>IF(ISBLANK(FRANÇAIS!L27), "", FRANÇAIS!L27)</f>
        <v/>
      </c>
      <c r="G3" s="174" t="str">
        <f>IF(LEN(F3)=3, "1", "")</f>
        <v/>
      </c>
      <c r="H3" s="172" t="str">
        <f>IF(ISBLANK(FRANÇAIS!C27), "", FRANÇAIS!C27)</f>
        <v/>
      </c>
      <c r="I3" s="172" t="str">
        <f>IF(ISBLANK(FRANÇAIS!C29), "", FRANÇAIS!C29)</f>
        <v/>
      </c>
      <c r="J3" s="172" t="str">
        <f>IF(ISBLANK(FRANÇAIS!C31), "", FRANÇAIS!C31)</f>
        <v/>
      </c>
      <c r="K3" s="172" t="str">
        <f>IF(ISBLANK(FRANÇAIS!L29), "", FRANÇAIS!L29)</f>
        <v/>
      </c>
      <c r="L3" s="172" t="str">
        <f>IF(ISBLANK(FRANÇAIS!L31), "", FRANÇAIS!L31)</f>
        <v/>
      </c>
      <c r="M3" s="175" t="str">
        <f>IF(ISBLANK(FRANÇAIS!F39), "", FRANÇAIS!F39)</f>
        <v/>
      </c>
      <c r="N3" s="175" t="str">
        <f>IF(ISBLANK(FRANÇAIS!F41), "", FRANÇAIS!F41)</f>
        <v/>
      </c>
      <c r="O3" s="175" t="str">
        <f>IF(ISBLANK(FRANÇAIS!F43), "", FRANÇAIS!F43)</f>
        <v/>
      </c>
      <c r="P3" s="175" t="str">
        <f>IF(ISBLANK(FRANÇAIS!F45), "", FRANÇAIS!F45)</f>
        <v/>
      </c>
      <c r="Q3" s="175" t="str">
        <f>IF(ISBLANK(FRANÇAIS!O39), "", FRANÇAIS!O39)</f>
        <v/>
      </c>
      <c r="R3" s="175" t="str">
        <f>IF(ISBLANK(FRANÇAIS!O41), "", FRANÇAIS!O41)</f>
        <v/>
      </c>
      <c r="S3" s="175" t="str">
        <f>IF(ISBLANK(FRANÇAIS!O43), "", FRANÇAIS!O43)</f>
        <v/>
      </c>
      <c r="T3" s="175" t="str">
        <f>IF(ISBLANK(FRANÇAIS!O45), "", FRANÇAIS!O45)</f>
        <v/>
      </c>
      <c r="U3" s="172" t="str">
        <f>IF(ISBLANK(FRANÇAIS!J52), "", FRANÇAIS!J52)</f>
        <v/>
      </c>
      <c r="V3" s="172" t="str">
        <f>IF(ISBLANK(FRANÇAIS!M52), "", FRANÇAIS!M52)</f>
        <v/>
      </c>
      <c r="W3" s="172" t="str">
        <f>IF(ISBLANK(FRANÇAIS!J54), "", FRANÇAIS!J54)</f>
        <v/>
      </c>
      <c r="X3" s="172" t="str">
        <f>IF(ISBLANK(FRANÇAIS!M54), "", FRANÇAIS!M54)</f>
        <v/>
      </c>
      <c r="Y3" s="172" t="str">
        <f>IF(ISBLANK(FRANÇAIS!J55), "", FRANÇAIS!J55)</f>
        <v/>
      </c>
      <c r="Z3" s="172" t="str">
        <f>IF(ISBLANK(FRANÇAIS!M55), "", FRANÇAIS!M55)</f>
        <v/>
      </c>
      <c r="AA3" s="172" t="str">
        <f>IF(ISBLANK(FRANÇAIS!J57), "", FRANÇAIS!J57)</f>
        <v/>
      </c>
      <c r="AB3" s="172" t="str">
        <f>IF(ISBLANK(FRANÇAIS!M57), "", FRANÇAIS!M57)</f>
        <v/>
      </c>
      <c r="AC3" s="172" t="str">
        <f>IF(ISBLANK(FRANÇAIS!J59), "", FRANÇAIS!J59)</f>
        <v/>
      </c>
      <c r="AD3" s="172" t="str">
        <f>IF(ISBLANK(FRANÇAIS!M59), "", FRANÇAIS!M59)</f>
        <v/>
      </c>
      <c r="AE3" s="172" t="str">
        <f>IF(ISBLANK(FRANÇAIS!J60), "", FRANÇAIS!J60)</f>
        <v/>
      </c>
      <c r="AF3" s="172" t="str">
        <f>IF(ISBLANK(FRANÇAIS!M60), "", FRANÇAIS!M60)</f>
        <v/>
      </c>
      <c r="AG3" s="172" t="str">
        <f>IF(ISBLANK(FRANÇAIS!J62), "", FRANÇAIS!J62)</f>
        <v/>
      </c>
      <c r="AH3" s="172" t="str">
        <f>IF(ISBLANK(FRANÇAIS!M62), "", FRANÇAIS!M62)</f>
        <v/>
      </c>
      <c r="AI3" s="172" t="str">
        <f>IF(ISBLANK(FRANÇAIS!J64), "", FRANÇAIS!J64)</f>
        <v/>
      </c>
      <c r="AJ3" s="172" t="str">
        <f>IF(ISBLANK(FRANÇAIS!M64), "", FRANÇAIS!M64)</f>
        <v/>
      </c>
      <c r="AK3" s="172" t="str">
        <f>IF(ISBLANK(FRANÇAIS!J67), "", FRANÇAIS!J67)</f>
        <v/>
      </c>
      <c r="AL3" s="172" t="str">
        <f>IF(ISBLANK(FRANÇAIS!M67), "", FRANÇAIS!M67)</f>
        <v/>
      </c>
      <c r="AM3" s="172" t="str">
        <f>IF(ISBLANK(FRANÇAIS!J68), "", FRANÇAIS!J68)</f>
        <v/>
      </c>
      <c r="AN3" s="172" t="str">
        <f>IF(ISBLANK(FRANÇAIS!M68), "", FRANÇAIS!M68)</f>
        <v/>
      </c>
      <c r="AO3" s="172" t="str">
        <f>IF(ISBLANK(FRANÇAIS!J70), "", FRANÇAIS!J70)</f>
        <v/>
      </c>
      <c r="AP3" s="172" t="str">
        <f>IF(ISBLANK(FRANÇAIS!M70), "", FRANÇAIS!M70)</f>
        <v/>
      </c>
      <c r="AQ3" s="175" t="str">
        <f>IF(ISBLANK(FRANÇAIS!J77), "", FRANÇAIS!J77)</f>
        <v/>
      </c>
      <c r="AR3" s="175" t="str">
        <f>IF(ISBLANK(FRANÇAIS!J78), "", FRANÇAIS!J78)</f>
        <v/>
      </c>
      <c r="AS3" s="175" t="str">
        <f>IF(ISBLANK(FRANÇAIS!J79), "", FRANÇAIS!J79)</f>
        <v/>
      </c>
      <c r="AT3" s="175" t="str">
        <f>IF(ISBLANK(FRANÇAIS!J80), "", FRANÇAIS!J80)</f>
        <v/>
      </c>
      <c r="AU3" s="175" t="str">
        <f>IF(ISBLANK(FRANÇAIS!J81), "", FRANÇAIS!J81)</f>
        <v/>
      </c>
      <c r="AV3" s="175" t="str">
        <f>IF(ISBLANK(FRANÇAIS!J82), "", FRANÇAIS!J82)</f>
        <v/>
      </c>
      <c r="AW3" s="175" t="str">
        <f>IF(ISBLANK(FRANÇAIS!J83), "", FRANÇAIS!J83)</f>
        <v/>
      </c>
      <c r="AX3" s="175" t="str">
        <f>IF(ISBLANK(FRANÇAIS!J84), "", FRANÇAIS!J84)</f>
        <v/>
      </c>
      <c r="AY3" s="175" t="str">
        <f>IF(ISBLANK(FRANÇAIS!J85), "", FRANÇAIS!J85)</f>
        <v/>
      </c>
      <c r="AZ3" s="175" t="str">
        <f>IF(ISBLANK(FRANÇAIS!J87), "", FRANÇAIS!J87)</f>
        <v/>
      </c>
      <c r="BA3" s="175" t="str">
        <f>IF(ISBLANK(FRANÇAIS!J88), "", FRANÇAIS!J88)</f>
        <v/>
      </c>
      <c r="BB3" s="172" t="str">
        <f>IF(ISBLANK(FRANÇAIS!M94), "", FRANÇAIS!M94)</f>
        <v/>
      </c>
      <c r="BC3" s="172" t="str">
        <f>IF(ISBLANK(FRANÇAIS!M96), "", FRANÇAIS!M96)</f>
        <v/>
      </c>
      <c r="BD3" s="172" t="str">
        <f>IF(ISBLANK(FRANÇAIS!M98), "", FRANÇAIS!M98)</f>
        <v/>
      </c>
      <c r="BE3" s="172" t="str">
        <f>IF(ISBLANK(FRANÇAIS!M100), "", FRANÇAIS!M100)</f>
        <v/>
      </c>
      <c r="BF3" s="172" t="str">
        <f>IF(ISBLANK(FRANÇAIS!M102), "", FRANÇAIS!M102)</f>
        <v/>
      </c>
      <c r="BG3" s="172" t="str">
        <f>IF(ISBLANK(FRANÇAIS!M104), "", FRANÇAIS!M104)</f>
        <v/>
      </c>
      <c r="BH3" s="175" t="str">
        <f>IF(ISBLANK(FRANÇAIS!K115), "", FRANÇAIS!K115)</f>
        <v/>
      </c>
      <c r="BI3" s="175" t="str">
        <f>IF(ISBLANK(FRANÇAIS!O115), "", FRANÇAIS!O115)</f>
        <v/>
      </c>
      <c r="BJ3" s="175" t="b">
        <v>0</v>
      </c>
      <c r="BK3" s="175" t="b">
        <v>0</v>
      </c>
      <c r="BL3" s="175" t="b">
        <v>0</v>
      </c>
      <c r="BM3" s="175" t="b">
        <v>0</v>
      </c>
      <c r="BN3" s="175" t="b">
        <v>0</v>
      </c>
      <c r="BO3" s="175" t="b">
        <v>0</v>
      </c>
      <c r="BP3" s="175" t="b">
        <v>0</v>
      </c>
      <c r="BQ3" s="175" t="b">
        <v>0</v>
      </c>
      <c r="BR3" s="175" t="b">
        <v>0</v>
      </c>
      <c r="BS3" s="175" t="b">
        <v>0</v>
      </c>
      <c r="BT3" s="175" t="b">
        <v>0</v>
      </c>
      <c r="BU3" s="175" t="b">
        <v>0</v>
      </c>
      <c r="BV3" s="175" t="b">
        <v>0</v>
      </c>
      <c r="BW3" s="175" t="b">
        <v>0</v>
      </c>
      <c r="BX3" s="175" t="b">
        <v>0</v>
      </c>
      <c r="BY3" s="172" t="b">
        <v>0</v>
      </c>
      <c r="BZ3" s="172" t="b">
        <v>0</v>
      </c>
      <c r="CA3" s="172" t="b">
        <v>0</v>
      </c>
      <c r="CB3" s="172" t="b">
        <v>0</v>
      </c>
      <c r="CC3" s="172" t="b">
        <v>0</v>
      </c>
      <c r="CD3" s="172" t="b">
        <v>0</v>
      </c>
      <c r="CE3" s="172" t="b">
        <v>0</v>
      </c>
      <c r="CF3" s="172" t="b">
        <v>0</v>
      </c>
      <c r="CG3" s="172" t="b">
        <v>0</v>
      </c>
      <c r="CH3" s="172" t="b">
        <v>0</v>
      </c>
      <c r="CI3" s="172" t="b">
        <v>0</v>
      </c>
      <c r="CJ3" s="172" t="b">
        <v>0</v>
      </c>
      <c r="CK3" s="172" t="b">
        <v>0</v>
      </c>
      <c r="CL3" s="172" t="b">
        <v>0</v>
      </c>
      <c r="CM3" s="172" t="b">
        <v>0</v>
      </c>
      <c r="CN3" s="175" t="str">
        <f>IF(ISBLANK(FRANÇAIS!K119), "", FRANÇAIS!K119)</f>
        <v/>
      </c>
      <c r="CO3" s="175" t="str">
        <f>IF(ISBLANK(FRANÇAIS!K120), "", FRANÇAIS!K120)</f>
        <v/>
      </c>
      <c r="CP3" s="175" t="str">
        <f>IF(ISBLANK(FRANÇAIS!K122), "", FRANÇAIS!K122)</f>
        <v/>
      </c>
      <c r="CQ3" s="175" t="str">
        <f>IF(ISBLANK(FRANÇAIS!K123), "", FRANÇAIS!K123)</f>
        <v/>
      </c>
      <c r="CR3" s="175" t="str">
        <f>IF(ISBLANK(FRANÇAIS!K124), "", FRANÇAIS!K124)</f>
        <v/>
      </c>
      <c r="CS3" s="175" t="str">
        <f>IF(ISBLANK(FRANÇAIS!K125), "", FRANÇAIS!K125)</f>
        <v/>
      </c>
      <c r="CT3" s="175" t="str">
        <f>IF(ISBLANK(FRANÇAIS!K126), "", FRANÇAIS!K126)</f>
        <v/>
      </c>
      <c r="CU3" s="175" t="str">
        <f>IF(ISBLANK(FRANÇAIS!K127), "", FRANÇAIS!K127)</f>
        <v/>
      </c>
      <c r="CV3" s="175" t="str">
        <f>IF(ISBLANK(FRANÇAIS!K128), "", FRANÇAIS!K128)</f>
        <v/>
      </c>
      <c r="CW3" s="175" t="str">
        <f>IF(ISBLANK(FRANÇAIS!K129), "", FRANÇAIS!K129)</f>
        <v/>
      </c>
      <c r="CX3" s="175" t="str">
        <f>IF(ISBLANK(FRANÇAIS!K130), "", FRANÇAIS!K130)</f>
        <v/>
      </c>
      <c r="CY3" s="175" t="str">
        <f>IF(ISBLANK(FRANÇAIS!K132), "", FRANÇAIS!K132)</f>
        <v/>
      </c>
      <c r="CZ3" s="175" t="str">
        <f>IF(ISBLANK(FRANÇAIS!K133), "", FRANÇAIS!K133)</f>
        <v/>
      </c>
      <c r="DA3" s="175" t="str">
        <f>IF(ISBLANK(FRANÇAIS!K134), "", FRANÇAIS!K134)</f>
        <v/>
      </c>
      <c r="DB3" s="175" t="str">
        <f>IF(ISBLANK(FRANÇAIS!K135), "", FRANÇAIS!K135)</f>
        <v/>
      </c>
      <c r="DC3" s="172" t="str">
        <f>IF(ISBLANK(FRANÇAIS!O119), "", FRANÇAIS!O119)</f>
        <v/>
      </c>
      <c r="DD3" s="172" t="str">
        <f>IF(ISBLANK(FRANÇAIS!O120), "", FRANÇAIS!O120)</f>
        <v/>
      </c>
      <c r="DE3" s="172" t="str">
        <f>IF(ISBLANK(FRANÇAIS!O122), "", FRANÇAIS!O122)</f>
        <v/>
      </c>
      <c r="DF3" s="172" t="str">
        <f>IF(ISBLANK(FRANÇAIS!O123), "", FRANÇAIS!O123)</f>
        <v/>
      </c>
      <c r="DG3" s="172" t="str">
        <f>IF(ISBLANK(FRANÇAIS!O124), "", FRANÇAIS!O124)</f>
        <v/>
      </c>
      <c r="DH3" s="172" t="str">
        <f>IF(ISBLANK(FRANÇAIS!O125), "", FRANÇAIS!O125)</f>
        <v/>
      </c>
      <c r="DI3" s="172" t="str">
        <f>IF(ISBLANK(FRANÇAIS!O126), "", FRANÇAIS!O126)</f>
        <v/>
      </c>
      <c r="DJ3" s="172" t="str">
        <f>IF(ISBLANK(FRANÇAIS!O127), "", FRANÇAIS!O127)</f>
        <v/>
      </c>
      <c r="DK3" s="172" t="str">
        <f>IF(ISBLANK(FRANÇAIS!O128), "", FRANÇAIS!O128)</f>
        <v/>
      </c>
      <c r="DL3" s="172" t="str">
        <f>IF(ISBLANK(FRANÇAIS!O129), "", FRANÇAIS!O129)</f>
        <v/>
      </c>
      <c r="DM3" s="172" t="str">
        <f>IF(ISBLANK(FRANÇAIS!O130), "", FRANÇAIS!O130)</f>
        <v/>
      </c>
      <c r="DN3" s="172" t="str">
        <f>IF(ISBLANK(FRANÇAIS!O132), "", FRANÇAIS!O132)</f>
        <v/>
      </c>
      <c r="DO3" s="172" t="str">
        <f>IF(ISBLANK(FRANÇAIS!O133), "", FRANÇAIS!O133)</f>
        <v/>
      </c>
      <c r="DP3" s="172" t="str">
        <f>IF(ISBLANK(FRANÇAIS!O134), "", FRANÇAIS!O134)</f>
        <v/>
      </c>
      <c r="DQ3" s="172" t="str">
        <f>IF(ISBLANK(FRANÇAIS!O135), "", FRANÇAIS!O135)</f>
        <v/>
      </c>
      <c r="DR3" s="173" t="str">
        <f>IF(ISBLANK(FRANÇAIS!K138), "", FRANÇAIS!K138)</f>
        <v/>
      </c>
      <c r="DS3" s="180">
        <f>IF(ISBLANK(FRANÇAIS!K146), "", FRANÇAIS!K146)</f>
        <v>0</v>
      </c>
      <c r="DT3" s="172">
        <f>IF(ISBLANK(FRANÇAIS!K148), "", FRANÇAIS!K148)</f>
        <v>0</v>
      </c>
      <c r="DU3" s="175" t="str">
        <f>IF(ISBLANK(FRANÇAIS!K150), "", FRANÇAIS!K150)</f>
        <v/>
      </c>
      <c r="DV3" s="175" t="str">
        <f>IF(ISBLANK(FRANÇAIS!K151), "", FRANÇAIS!K151)</f>
        <v/>
      </c>
      <c r="DW3" s="175" t="str">
        <f>IF(ISBLANK(FRANÇAIS!K152), "", FRANÇAIS!K152)</f>
        <v/>
      </c>
      <c r="DX3" s="175" t="str">
        <f>IF(ISBLANK(FRANÇAIS!K153), "", FRANÇAIS!K153)</f>
        <v/>
      </c>
      <c r="DY3" s="175" t="str">
        <f>IF(ISBLANK(FRANÇAIS!K154), "", FRANÇAIS!K154)</f>
        <v/>
      </c>
      <c r="DZ3" s="175" t="str">
        <f>IF(ISBLANK(FRANÇAIS!K155), "", FRANÇAIS!K155)</f>
        <v/>
      </c>
      <c r="EA3" s="175" t="str">
        <f>IF(ISBLANK(FRANÇAIS!K156), "", FRANÇAIS!K156)</f>
        <v/>
      </c>
      <c r="EB3" s="175" t="str">
        <f>IF(ISBLANK(FRANÇAIS!K157), "", FRANÇAIS!K157)</f>
        <v/>
      </c>
      <c r="EC3" s="175" t="str">
        <f>IF(ISBLANK(FRANÇAIS!K158), "", FRANÇAIS!K158)</f>
        <v/>
      </c>
      <c r="ED3" s="175" t="str">
        <f>IF(ISBLANK(FRANÇAIS!K159), "", FRANÇAIS!K159)</f>
        <v/>
      </c>
      <c r="EE3" s="175" t="str">
        <f>IF(ISBLANK(FRANÇAIS!K160), "", FRANÇAIS!K160)</f>
        <v/>
      </c>
      <c r="EF3" s="175" t="str">
        <f>IF(ISBLANK(FRANÇAIS!K161), "", FRANÇAIS!K161)</f>
        <v/>
      </c>
      <c r="EG3" s="175" t="str">
        <f>IF(ISBLANK(FRANÇAIS!K162), "", FRANÇAIS!K162)</f>
        <v/>
      </c>
      <c r="EH3" s="175" t="str">
        <f>IF(ISBLANK(FRANÇAIS!K163), "", FRANÇAIS!K163)</f>
        <v/>
      </c>
      <c r="EI3" s="175" t="str">
        <f>IF(ISBLANK(FRANÇAIS!K164), "", FRANÇAIS!K164)</f>
        <v/>
      </c>
      <c r="EJ3" s="175" t="str">
        <f>IF(ISBLANK(FRANÇAIS!K165), "", FRANÇAIS!K165)</f>
        <v/>
      </c>
      <c r="EK3" s="175" t="str">
        <f>IF(ISBLANK(FRANÇAIS!K167), "", FRANÇAIS!K167)</f>
        <v/>
      </c>
      <c r="EL3" s="175" t="str">
        <f>IF(ISBLANK(FRANÇAIS!D167), "", FRANÇAIS!D167)</f>
        <v/>
      </c>
      <c r="EM3" s="172">
        <f>IF(ISBLANK(FRANÇAIS!K169), "", FRANÇAIS!K169)</f>
        <v>0</v>
      </c>
      <c r="EN3" s="175" t="str">
        <f>IF(ISBLANK(FRANÇAIS!K171), "", FRANÇAIS!K171)</f>
        <v/>
      </c>
      <c r="EO3" s="175" t="str">
        <f>IF(ISBLANK(FRANÇAIS!K172), "", FRANÇAIS!K172)</f>
        <v/>
      </c>
      <c r="EP3" s="175" t="str">
        <f>IF(ISBLANK(FRANÇAIS!K173), "", FRANÇAIS!K173)</f>
        <v/>
      </c>
      <c r="EQ3" s="175" t="str">
        <f>IF(ISBLANK(FRANÇAIS!K174), "", FRANÇAIS!K174)</f>
        <v/>
      </c>
      <c r="ER3" s="175" t="str">
        <f>IF(ISBLANK(FRANÇAIS!K175), "", FRANÇAIS!K175)</f>
        <v/>
      </c>
      <c r="ES3" s="175" t="str">
        <f>IF(ISBLANK(FRANÇAIS!K176), "", FRANÇAIS!K176)</f>
        <v/>
      </c>
      <c r="ET3" s="175" t="str">
        <f>IF(ISBLANK(FRANÇAIS!K177), "", FRANÇAIS!K177)</f>
        <v/>
      </c>
      <c r="EU3" s="175" t="str">
        <f>IF(ISBLANK(FRANÇAIS!K179), "", FRANÇAIS!K179)</f>
        <v/>
      </c>
      <c r="EV3" s="175" t="str">
        <f>IF(ISBLANK(FRANÇAIS!D179), "", FRANÇAIS!D179)</f>
        <v/>
      </c>
      <c r="EW3" s="172">
        <f>IF(ISBLANK(FRANÇAIS!K181), "", FRANÇAIS!K181)</f>
        <v>0</v>
      </c>
      <c r="EX3" s="175" t="str">
        <f>IF(ISBLANK(FRANÇAIS!K183), "", FRANÇAIS!K183)</f>
        <v/>
      </c>
      <c r="EY3" s="175" t="str">
        <f>IF(ISBLANK(FRANÇAIS!K184), "", FRANÇAIS!K184)</f>
        <v/>
      </c>
      <c r="EZ3" s="175" t="str">
        <f>IF(ISBLANK(FRANÇAIS!K185), "", FRANÇAIS!K185)</f>
        <v/>
      </c>
      <c r="FA3" s="175" t="str">
        <f>IF(ISBLANK(FRANÇAIS!K187), "", FRANÇAIS!K187)</f>
        <v/>
      </c>
      <c r="FB3" s="175" t="str">
        <f>IF(ISBLANK(FRANÇAIS!D187), "", FRANÇAIS!D187)</f>
        <v/>
      </c>
      <c r="FC3" s="175" t="str">
        <f>IF(ISBLANK(FRANÇAIS!D191), "", FRANÇAIS!D191)</f>
        <v/>
      </c>
      <c r="FD3" s="183">
        <f>IF(ISBLANK(FRANÇAIS!K199), "", FRANÇAIS!K199)</f>
        <v>0</v>
      </c>
      <c r="FE3" s="172" t="str">
        <f>IF(ISBLANK(FRANÇAIS!K201), "", FRANÇAIS!K201)</f>
        <v/>
      </c>
      <c r="FF3" s="172" t="str">
        <f>IF(ISBLANK(FRANÇAIS!K202), "", FRANÇAIS!K202)</f>
        <v/>
      </c>
      <c r="FG3" s="172" t="str">
        <f>IF(ISBLANK(FRANÇAIS!K203), "", FRANÇAIS!K203)</f>
        <v/>
      </c>
      <c r="FH3" s="172" t="str">
        <f>IF(ISBLANK(FRANÇAIS!K204), "", FRANÇAIS!K204)</f>
        <v/>
      </c>
      <c r="FI3" s="172" t="str">
        <f>IF(ISBLANK(FRANÇAIS!K205), "", FRANÇAIS!K205)</f>
        <v/>
      </c>
      <c r="FJ3" s="172" t="str">
        <f>IF(ISBLANK(FRANÇAIS!K206), "", FRANÇAIS!K206)</f>
        <v/>
      </c>
      <c r="FK3" s="172" t="str">
        <f>IF(ISBLANK(FRANÇAIS!K207), "", FRANÇAIS!K207)</f>
        <v/>
      </c>
      <c r="FL3" s="172" t="str">
        <f>IF(ISBLANK(FRANÇAIS!K208), "", FRANÇAIS!K208)</f>
        <v/>
      </c>
      <c r="FM3" s="172" t="str">
        <f>IF(ISBLANK(FRANÇAIS!K210), "", FRANÇAIS!K210)</f>
        <v/>
      </c>
      <c r="FN3" s="172" t="str">
        <f>IF(ISBLANK(FRANÇAIS!D210), "", FRANÇAIS!D210)</f>
        <v/>
      </c>
      <c r="FO3" s="172" t="str">
        <f>IF(ISBLANK(FRANÇAIS!D214), "", FRANÇAIS!D214)</f>
        <v/>
      </c>
      <c r="FP3" s="173">
        <f>IF(ISBLANK(FRANÇAIS!K222), "", FRANÇAIS!K222)</f>
        <v>0</v>
      </c>
      <c r="FQ3" s="173">
        <f>IF(ISBLANK(FRANÇAIS!K224), "", FRANÇAIS!K224)</f>
        <v>0</v>
      </c>
      <c r="FR3" s="173">
        <f>IF(ISBLANK(FRANÇAIS!K225), "", FRANÇAIS!K225)</f>
        <v>0</v>
      </c>
      <c r="FS3" s="173">
        <f>IF(ISBLANK(FRANÇAIS!K226), "", FRANÇAIS!K226)</f>
        <v>0</v>
      </c>
      <c r="FT3" s="173">
        <f>IF(ISBLANK(FRANÇAIS!K228), "", FRANÇAIS!K228)</f>
        <v>0</v>
      </c>
      <c r="FU3" s="173">
        <f>IF(ISBLANK(FRANÇAIS!K230), "", FRANÇAIS!K230)</f>
        <v>0</v>
      </c>
      <c r="FV3" s="173">
        <f>IF(ISBLANK(FRANÇAIS!K233), "", FRANÇAIS!K233)</f>
        <v>0</v>
      </c>
      <c r="FW3" s="173" t="str">
        <f>IF(ISBLANK(FRANÇAIS!K235), "", FRANÇAIS!K235)</f>
        <v/>
      </c>
      <c r="FX3" s="173" t="str">
        <f>IF(ISBLANK(FRANÇAIS!K236), "", FRANÇAIS!K236)</f>
        <v/>
      </c>
      <c r="FY3" s="173" t="str">
        <f>IF(ISBLANK(FRANÇAIS!K238), "", FRANÇAIS!K238)</f>
        <v/>
      </c>
      <c r="FZ3" s="173" t="str">
        <f>IF(ISBLANK(FRANÇAIS!D238), "", FRANÇAIS!D238)</f>
        <v/>
      </c>
      <c r="GA3" s="173" t="str">
        <f>IF(ISBLANK(FRANÇAIS!K240), "", FRANÇAIS!K240)</f>
        <v/>
      </c>
      <c r="GB3" s="173">
        <f>IF(ISBLANK(FRANÇAIS!K242), "", FRANÇAIS!K242)</f>
        <v>0</v>
      </c>
      <c r="GC3" s="173" t="str">
        <f>IF(ISBLANK(FRANÇAIS!D247), "", FRANÇAIS!D247)</f>
        <v/>
      </c>
      <c r="GD3" s="175">
        <f>IF(ISBLANK(FRANÇAIS!K255), "", FRANÇAIS!K255)</f>
        <v>0</v>
      </c>
      <c r="GE3" s="175">
        <f>IF(ISBLANK(FRANÇAIS!K257), "", FRANÇAIS!K257)</f>
        <v>0</v>
      </c>
      <c r="GF3" s="175" t="str">
        <f>IF(ISBLANK(FRANÇAIS!K258), "", FRANÇAIS!K258)</f>
        <v/>
      </c>
      <c r="GG3" s="175" t="str">
        <f>IF(ISBLANK(FRANÇAIS!K259), "", FRANÇAIS!K259)</f>
        <v/>
      </c>
      <c r="GH3" s="175">
        <f>IF(ISBLANK(FRANÇAIS!K261), "", FRANÇAIS!K261)</f>
        <v>0</v>
      </c>
      <c r="GI3" s="175" t="str">
        <f>IF(ISBLANK(FRANÇAIS!K262), "", FRANÇAIS!K262)</f>
        <v/>
      </c>
      <c r="GJ3" s="175" t="str">
        <f>IF(ISBLANK(FRANÇAIS!K264),"", FRANÇAIS!K264)</f>
        <v/>
      </c>
      <c r="GK3" s="175">
        <f>IF(ISBLANK(FRANÇAIS!K266), "", FRANÇAIS!K266)</f>
        <v>0</v>
      </c>
      <c r="GL3" s="175" t="str">
        <f>IF(ISBLANK(FRANÇAIS!K267), "", FRANÇAIS!K267)</f>
        <v/>
      </c>
      <c r="GM3" s="175" t="str">
        <f>IF(ISBLANK(FRANÇAIS!K268), "", FRANÇAIS!K268)</f>
        <v/>
      </c>
      <c r="GN3" s="175">
        <f>IF(ISBLANK(FRANÇAIS!K270), "", FRANÇAIS!K270)</f>
        <v>0</v>
      </c>
      <c r="GO3" s="175" t="str">
        <f>IF(ISBLANK(FRANÇAIS!K263), "", FRANÇAIS!K263)</f>
        <v/>
      </c>
      <c r="GP3" s="172" t="str">
        <f>IF(ISBLANK(FRANÇAIS!K276), "", FRANÇAIS!K276)</f>
        <v/>
      </c>
      <c r="GQ3" s="172" t="str">
        <f>IF(ISBLANK(FRANÇAIS!K279), "", FRANÇAIS!K279)</f>
        <v/>
      </c>
      <c r="GR3" s="172" t="str">
        <f>IF(ISBLANK(FRANÇAIS!M279), "", FRANÇAIS!M279)</f>
        <v/>
      </c>
      <c r="GS3" s="172" t="str">
        <f>IF(ISBLANK(FRANÇAIS!O279), "", FRANÇAIS!O279)</f>
        <v/>
      </c>
      <c r="GT3" s="172" t="str">
        <f>IF(ISBLANK(FRANÇAIS!Q279), "", FRANÇAIS!Q279)</f>
        <v/>
      </c>
      <c r="GU3" s="175">
        <f>IF(ISBLANK(FRANÇAIS!K285), "", FRANÇAIS!K285)</f>
        <v>0</v>
      </c>
      <c r="GV3" s="175" t="str">
        <f>IF(ISBLANK(FRANÇAIS!K287),"",FRANÇAIS!K287)</f>
        <v/>
      </c>
      <c r="GW3" s="175" t="str">
        <f>IF(ISBLANK(FRANÇAIS!K288),"",FRANÇAIS!K288)</f>
        <v/>
      </c>
      <c r="GX3" s="175" t="str">
        <f>IF(ISBLANK(FRANÇAIS!K289),"",FRANÇAIS!K289)</f>
        <v/>
      </c>
      <c r="GY3" s="175" t="str">
        <f>IF(ISBLANK(FRANÇAIS!K290),"",FRANÇAIS!K290)</f>
        <v/>
      </c>
      <c r="GZ3" s="175" t="str">
        <f>IF(ISBLANK(FRANÇAIS!K291),"",FRANÇAIS!K291)</f>
        <v/>
      </c>
      <c r="HA3" s="175" t="str">
        <f>IF(ISBLANK(FRANÇAIS!K293),"",FRANÇAIS!K293)</f>
        <v/>
      </c>
      <c r="HB3" s="175" t="str">
        <f>IF(ISBLANK(FRANÇAIS!D293), "", FRANÇAIS!D293)</f>
        <v/>
      </c>
      <c r="HC3" s="172" t="str">
        <f>IF(ISBLANK(FRANÇAIS!K299), "", FRANÇAIS!K299)</f>
        <v/>
      </c>
      <c r="HD3" s="172" t="str">
        <f>IF(ISBLANK(FRANÇAIS!K300), "", FRANÇAIS!K300)</f>
        <v/>
      </c>
      <c r="HE3" s="175">
        <f>IF(ISBLANK(FRANÇAIS!K306), "", FRANÇAIS!K306)</f>
        <v>0</v>
      </c>
      <c r="HF3" s="175" t="str">
        <f>IF(ISBLANK(FRANÇAIS!K308), "", FRANÇAIS!K308)</f>
        <v/>
      </c>
      <c r="HG3" s="175" t="str">
        <f>IF(ISBLANK(FRANÇAIS!K309), "", FRANÇAIS!K309)</f>
        <v/>
      </c>
      <c r="HH3" s="175" t="str">
        <f>IF(ISBLANK(FRANÇAIS!K310), "", FRANÇAIS!K31)</f>
        <v/>
      </c>
      <c r="HI3" s="175" t="str">
        <f>IF(ISBLANK(FRANÇAIS!K312), "", FRANÇAIS!K312)</f>
        <v/>
      </c>
      <c r="HJ3" s="175" t="str">
        <f>IF(ISBLANK(FRANÇAIS!D312), "", FRANÇAIS!D312)</f>
        <v/>
      </c>
      <c r="HK3" s="175" t="str">
        <f>IF(ISBLANK(FRANÇAIS!D316), "", FRANÇAIS!D316)</f>
        <v/>
      </c>
      <c r="HL3" s="172" t="str">
        <f>IF(ISBLANK(FRANÇAIS!K324), "", FRANÇAIS!K324)</f>
        <v/>
      </c>
      <c r="HM3" s="172" t="str">
        <f>IF(ISBLANK(FRANÇAIS!K325), "", FRANÇAIS!K325)</f>
        <v/>
      </c>
      <c r="HN3" s="176"/>
      <c r="HO3" s="176"/>
      <c r="HP3" s="176"/>
      <c r="HQ3" s="180">
        <f>IF(ISBLANK(FRANÇAIS!O146), "", FRANÇAIS!O146)</f>
        <v>0</v>
      </c>
      <c r="HR3" s="172">
        <f>IF(ISBLANK(FRANÇAIS!O148), "", FRANÇAIS!O148)</f>
        <v>0</v>
      </c>
      <c r="HS3" s="175" t="str">
        <f>IF(ISBLANK(FRANÇAIS!O150), "", FRANÇAIS!O150)</f>
        <v/>
      </c>
      <c r="HT3" s="175" t="str">
        <f>IF(ISBLANK(FRANÇAIS!O151), "", FRANÇAIS!O151)</f>
        <v/>
      </c>
      <c r="HU3" s="175" t="str">
        <f>IF(ISBLANK(FRANÇAIS!O152), "", FRANÇAIS!O152)</f>
        <v/>
      </c>
      <c r="HV3" s="175" t="str">
        <f>IF(ISBLANK(FRANÇAIS!O153), "", FRANÇAIS!O153)</f>
        <v/>
      </c>
      <c r="HW3" s="175" t="str">
        <f>IF(ISBLANK(FRANÇAIS!O154), "", FRANÇAIS!O154)</f>
        <v/>
      </c>
      <c r="HX3" s="175" t="str">
        <f>IF(ISBLANK(FRANÇAIS!O155), "", FRANÇAIS!O155)</f>
        <v/>
      </c>
      <c r="HY3" s="175" t="str">
        <f>IF(ISBLANK(FRANÇAIS!O156), "", FRANÇAIS!O156)</f>
        <v/>
      </c>
      <c r="HZ3" s="175" t="str">
        <f>IF(ISBLANK(FRANÇAIS!O157), "", FRANÇAIS!O157)</f>
        <v/>
      </c>
      <c r="IA3" s="175" t="str">
        <f>IF(ISBLANK(FRANÇAIS!O158), "", FRANÇAIS!O158)</f>
        <v/>
      </c>
      <c r="IB3" s="175" t="str">
        <f>IF(ISBLANK(FRANÇAIS!O159), "", FRANÇAIS!O159)</f>
        <v/>
      </c>
      <c r="IC3" s="175" t="str">
        <f>IF(ISBLANK(FRANÇAIS!O160), "", FRANÇAIS!O160)</f>
        <v/>
      </c>
      <c r="ID3" s="175" t="str">
        <f>IF(ISBLANK(FRANÇAIS!O161), "", FRANÇAIS!O161)</f>
        <v/>
      </c>
      <c r="IE3" s="175" t="str">
        <f>IF(ISBLANK(FRANÇAIS!O162), "", FRANÇAIS!O162)</f>
        <v/>
      </c>
      <c r="IF3" s="175" t="str">
        <f>IF(ISBLANK(FRANÇAIS!O163), "", FRANÇAIS!O163)</f>
        <v/>
      </c>
      <c r="IG3" s="175" t="str">
        <f>IF(ISBLANK(FRANÇAIS!O164), "", FRANÇAIS!O164)</f>
        <v/>
      </c>
      <c r="IH3" s="175" t="str">
        <f>IF(ISBLANK(FRANÇAIS!O165), "", FRANÇAIS!O165)</f>
        <v/>
      </c>
      <c r="II3" s="175" t="str">
        <f>IF(ISBLANK(FRANÇAIS!O167), "", FRANÇAIS!O167)</f>
        <v/>
      </c>
      <c r="IJ3" s="175" t="str">
        <f>IF(ISBLANK(FRANÇAIS!D167), "", FRANÇAIS!D167)</f>
        <v/>
      </c>
      <c r="IK3" s="172">
        <f>IF(ISBLANK(FRANÇAIS!O169), "", FRANÇAIS!O169)</f>
        <v>0</v>
      </c>
      <c r="IL3" s="175" t="str">
        <f>IF(ISBLANK(FRANÇAIS!O171), "", FRANÇAIS!O171)</f>
        <v/>
      </c>
      <c r="IM3" s="175" t="str">
        <f>IF(ISBLANK(FRANÇAIS!O172), "", FRANÇAIS!O172)</f>
        <v/>
      </c>
      <c r="IN3" s="175" t="str">
        <f>IF(ISBLANK(FRANÇAIS!O173), "", FRANÇAIS!O173)</f>
        <v/>
      </c>
      <c r="IO3" s="175" t="str">
        <f>IF(ISBLANK(FRANÇAIS!O174), "", FRANÇAIS!O174)</f>
        <v/>
      </c>
      <c r="IP3" s="175" t="str">
        <f>IF(ISBLANK(FRANÇAIS!O175), "", FRANÇAIS!O175)</f>
        <v/>
      </c>
      <c r="IQ3" s="175" t="str">
        <f>IF(ISBLANK(FRANÇAIS!O176), "", FRANÇAIS!O176)</f>
        <v/>
      </c>
      <c r="IR3" s="175" t="str">
        <f>IF(ISBLANK(FRANÇAIS!O177), "", FRANÇAIS!O177)</f>
        <v/>
      </c>
      <c r="IS3" s="175" t="str">
        <f>IF(ISBLANK(FRANÇAIS!O179), "", FRANÇAIS!O179)</f>
        <v/>
      </c>
      <c r="IT3" s="175" t="str">
        <f>IF(ISBLANK(FRANÇAIS!D179), "", FRANÇAIS!D179)</f>
        <v/>
      </c>
      <c r="IU3" s="172">
        <f>IF(ISBLANK(FRANÇAIS!O181), "", FRANÇAIS!O181)</f>
        <v>0</v>
      </c>
      <c r="IV3" s="175" t="str">
        <f>IF(ISBLANK(FRANÇAIS!O183), "", FRANÇAIS!O183)</f>
        <v/>
      </c>
      <c r="IW3" s="175" t="str">
        <f>IF(ISBLANK(FRANÇAIS!O184), "", FRANÇAIS!O184)</f>
        <v/>
      </c>
      <c r="IX3" s="175" t="str">
        <f>IF(ISBLANK(FRANÇAIS!O185), "", FRANÇAIS!O185)</f>
        <v/>
      </c>
      <c r="IY3" s="175" t="str">
        <f>IF(ISBLANK(FRANÇAIS!O187), "", FRANÇAIS!O187)</f>
        <v/>
      </c>
      <c r="IZ3" s="175" t="str">
        <f>IF(ISBLANK(FRANÇAIS!DB187), "", FRANÇAIS!DB187)</f>
        <v/>
      </c>
      <c r="JA3" s="175" t="str">
        <f>IF(ISBLANK(FRANÇAIS!D191), "", FRANÇAIS!D191)</f>
        <v/>
      </c>
      <c r="JB3" s="183">
        <f>IF(ISBLANK(FRANÇAIS!O199), "", FRANÇAIS!O199)</f>
        <v>0</v>
      </c>
      <c r="JC3" s="172" t="str">
        <f>IF(ISBLANK(FRANÇAIS!O201), "", FRANÇAIS!O201)</f>
        <v/>
      </c>
      <c r="JD3" s="172" t="str">
        <f>IF(ISBLANK(FRANÇAIS!O202), "", FRANÇAIS!O202)</f>
        <v/>
      </c>
      <c r="JE3" s="172" t="str">
        <f>IF(ISBLANK(FRANÇAIS!O203), "", FRANÇAIS!O203)</f>
        <v/>
      </c>
      <c r="JF3" s="172" t="str">
        <f>IF(ISBLANK(FRANÇAIS!O204), "", FRANÇAIS!O204)</f>
        <v/>
      </c>
      <c r="JG3" s="172" t="str">
        <f>IF(ISBLANK(FRANÇAIS!O205), "", FRANÇAIS!O205)</f>
        <v/>
      </c>
      <c r="JH3" s="172" t="str">
        <f>IF(ISBLANK(FRANÇAIS!O206), "", FRANÇAIS!O206)</f>
        <v/>
      </c>
      <c r="JI3" s="172" t="str">
        <f>IF(ISBLANK(FRANÇAIS!O207), "", FRANÇAIS!O207)</f>
        <v/>
      </c>
      <c r="JJ3" s="172" t="str">
        <f>IF(ISBLANK(FRANÇAIS!O208), "", FRANÇAIS!O208)</f>
        <v/>
      </c>
      <c r="JK3" s="172" t="str">
        <f>IF(ISBLANK(FRANÇAIS!O210), "", FRANÇAIS!O210)</f>
        <v/>
      </c>
      <c r="JL3" s="172" t="str">
        <f>IF(ISBLANK(FRANÇAIS!D210), "", FRANÇAIS!D210)</f>
        <v/>
      </c>
      <c r="JM3" s="172" t="str">
        <f>IF(ISBLANK(FRANÇAIS!D214), "", FRANÇAIS!D214)</f>
        <v/>
      </c>
      <c r="JN3" s="173">
        <f>IF(ISBLANK(FRANÇAIS!O222), "", FRANÇAIS!O222)</f>
        <v>0</v>
      </c>
      <c r="JO3" s="173">
        <f>IF(ISBLANK(FRANÇAIS!O224), "", FRANÇAIS!O224)</f>
        <v>0</v>
      </c>
      <c r="JP3" s="173">
        <f>IF(ISBLANK(FRANÇAIS!O225), "", FRANÇAIS!O225)</f>
        <v>0</v>
      </c>
      <c r="JQ3" s="173">
        <f>IF(ISBLANK(FRANÇAIS!O226), "", FRANÇAIS!O226)</f>
        <v>0</v>
      </c>
      <c r="JR3" s="173">
        <f>IF(ISBLANK(FRANÇAIS!O228), "", FRANÇAIS!O228)</f>
        <v>0</v>
      </c>
      <c r="JS3" s="173">
        <f>IF(ISBLANK(FRANÇAIS!O230), "", FRANÇAIS!O230)</f>
        <v>0</v>
      </c>
      <c r="JT3" s="173">
        <f>IF(ISBLANK(FRANÇAIS!O233), "", FRANÇAIS!O233)</f>
        <v>0</v>
      </c>
      <c r="JU3" s="173" t="str">
        <f>IF(ISBLANK(FRANÇAIS!O235), "", FRANÇAIS!O235)</f>
        <v/>
      </c>
      <c r="JV3" s="173" t="str">
        <f>IF(ISBLANK(FRANÇAIS!O236), "", FRANÇAIS!O236)</f>
        <v/>
      </c>
      <c r="JW3" s="173" t="str">
        <f>IF(ISBLANK(FRANÇAIS!O238), "", FRANÇAIS!O238)</f>
        <v/>
      </c>
      <c r="JX3" s="173" t="str">
        <f>IF(ISBLANK(FRANÇAIS!D238), "", FRANÇAIS!D238)</f>
        <v/>
      </c>
      <c r="JY3" s="173" t="str">
        <f>IF(ISBLANK(FRANÇAIS!O240), "", FRANÇAIS!O240)</f>
        <v/>
      </c>
      <c r="JZ3" s="173">
        <f>IF(ISBLANK(FRANÇAIS!O242), "", FRANÇAIS!O242)</f>
        <v>0</v>
      </c>
      <c r="KA3" s="173" t="str">
        <f>IF(ISBLANK(FRANÇAIS!D247), "", FRANÇAIS!D247)</f>
        <v/>
      </c>
      <c r="KB3" s="175">
        <f>IF(ISBLANK(FRANÇAIS!O255), "", FRANÇAIS!O255)</f>
        <v>0</v>
      </c>
      <c r="KC3" s="175">
        <f>IF(ISBLANK(FRANÇAIS!O257), "", FRANÇAIS!O257)</f>
        <v>0</v>
      </c>
      <c r="KD3" s="175" t="str">
        <f>IF(ISBLANK(FRANÇAIS!O258), "", FRANÇAIS!O258)</f>
        <v/>
      </c>
      <c r="KE3" s="175" t="str">
        <f>IF(ISBLANK(FRANÇAIS!O259), "", FRANÇAIS!O259)</f>
        <v/>
      </c>
      <c r="KF3" s="175">
        <f>IF(ISBLANK(FRANÇAIS!O261), "", FRANÇAIS!O261)</f>
        <v>0</v>
      </c>
      <c r="KG3" s="175" t="str">
        <f>IF(ISBLANK(FRANÇAIS!O262), "", FRANÇAIS!O262)</f>
        <v/>
      </c>
      <c r="KH3" s="175" t="str">
        <f>IF(ISBLANK(FRANÇAIS!O264),"", FRANÇAIS!O264)</f>
        <v/>
      </c>
      <c r="KI3" s="175">
        <f>IF(ISBLANK(FRANÇAIS!O266), "", FRANÇAIS!O266)</f>
        <v>0</v>
      </c>
      <c r="KJ3" s="175" t="str">
        <f>IF(ISBLANK(FRANÇAIS!O267), "", FRANÇAIS!O267)</f>
        <v/>
      </c>
      <c r="KK3" s="175" t="str">
        <f>IF(ISBLANK(FRANÇAIS!O268), "", FRANÇAIS!O268)</f>
        <v/>
      </c>
      <c r="KL3" s="175">
        <f>IF(ISBLANK(FRANÇAIS!O270), "", FRANÇAIS!O270)</f>
        <v>0</v>
      </c>
      <c r="KM3" s="175" t="str">
        <f>IF(ISBLANK(FRANÇAIS!O263), "", FRANÇAIS!O263)</f>
        <v/>
      </c>
      <c r="KN3" s="172" t="str">
        <f>IF(ISBLANK(FRANÇAIS!O276), "", FRANÇAIS!O276)</f>
        <v/>
      </c>
      <c r="KO3" s="175">
        <f>IF(ISBLANK(FRANÇAIS!O285), "", FRANÇAIS!O285)</f>
        <v>0</v>
      </c>
      <c r="KP3" s="175" t="str">
        <f>IF(ISBLANK(FRANÇAIS!O287),"",FRANÇAIS!O287)</f>
        <v/>
      </c>
      <c r="KQ3" s="175" t="str">
        <f>IF(ISBLANK(FRANÇAIS!O288),"",FRANÇAIS!O288)</f>
        <v/>
      </c>
      <c r="KR3" s="175" t="str">
        <f>IF(ISBLANK(FRANÇAIS!O289),"",FRANÇAIS!O289)</f>
        <v/>
      </c>
      <c r="KS3" s="175" t="str">
        <f>IF(ISBLANK(FRANÇAIS!O290),"",FRANÇAIS!O290)</f>
        <v/>
      </c>
      <c r="KT3" s="175" t="str">
        <f>IF(ISBLANK(FRANÇAIS!O291),"",FRANÇAIS!O291)</f>
        <v/>
      </c>
      <c r="KU3" s="175" t="str">
        <f>IF(ISBLANK(FRANÇAIS!O293),"",FRANÇAIS!O293)</f>
        <v/>
      </c>
      <c r="KV3" s="175" t="str">
        <f>IF(ISBLANK(FRANÇAIS!D293), "", FRANÇAIS!D293)</f>
        <v/>
      </c>
      <c r="KW3" s="172" t="str">
        <f>IF(ISBLANK(FRANÇAIS!O299), "", FRANÇAIS!O299)</f>
        <v/>
      </c>
      <c r="KX3" s="172" t="str">
        <f>IF(ISBLANK(FRANÇAIS!O300), "", FRANÇAIS!O300)</f>
        <v/>
      </c>
      <c r="KY3" s="175">
        <f>IF(ISBLANK(FRANÇAIS!O306), "", FRANÇAIS!O306)</f>
        <v>0</v>
      </c>
      <c r="KZ3" s="175" t="str">
        <f>IF(ISBLANK(FRANÇAIS!O308), "", FRANÇAIS!O308)</f>
        <v/>
      </c>
      <c r="LA3" s="175" t="str">
        <f>IF(ISBLANK(FRANÇAIS!O309), "", FRANÇAIS!O309)</f>
        <v/>
      </c>
      <c r="LB3" s="175" t="str">
        <f>IF(ISBLANK(FRANÇAIS!O310), "", FRANÇAIS!O31)</f>
        <v/>
      </c>
      <c r="LC3" s="175" t="str">
        <f>IF(ISBLANK(FRANÇAIS!O312), "", FRANÇAIS!O312)</f>
        <v/>
      </c>
      <c r="LD3" s="175" t="str">
        <f>IF(ISBLANK(FRANÇAIS!D312), "", FRANÇAIS!D312)</f>
        <v/>
      </c>
      <c r="LE3" s="175" t="str">
        <f>IF(ISBLANK(FRANÇAIS!D316), "", FRANÇAIS!D316)</f>
        <v/>
      </c>
      <c r="LF3" s="172" t="str">
        <f>IF(ISBLANK(FRANÇAIS!O324), "", FRANÇAIS!O324)</f>
        <v/>
      </c>
      <c r="LG3" s="172" t="str">
        <f>IF(ISBLANK(FRANÇAIS!DE325), "", FRANÇAIS!DE325)</f>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C00000"/>
  </sheetPr>
  <dimension ref="A1:LG3"/>
  <sheetViews>
    <sheetView workbookViewId="0">
      <selection activeCell="I24" sqref="I24"/>
    </sheetView>
  </sheetViews>
  <sheetFormatPr defaultRowHeight="15" x14ac:dyDescent="0.25"/>
  <cols>
    <col min="1" max="1" width="7.140625" style="158" bestFit="1" customWidth="1"/>
    <col min="2" max="2" width="4.42578125" style="158" bestFit="1" customWidth="1"/>
    <col min="3" max="3" width="8" style="158" bestFit="1" customWidth="1"/>
    <col min="4" max="4" width="9" style="158" bestFit="1" customWidth="1"/>
    <col min="5" max="5" width="12.85546875" style="158" bestFit="1" customWidth="1"/>
    <col min="6" max="6" width="5.5703125" style="161" bestFit="1" customWidth="1"/>
    <col min="7" max="7" width="6.28515625" style="165" bestFit="1" customWidth="1"/>
    <col min="8" max="8" width="16.5703125" style="158" bestFit="1" customWidth="1"/>
    <col min="9" max="9" width="14.42578125" style="158" customWidth="1"/>
    <col min="10" max="10" width="18.5703125" style="158" bestFit="1" customWidth="1"/>
    <col min="11" max="11" width="12" style="158" bestFit="1" customWidth="1"/>
    <col min="12" max="12" width="13.5703125" style="158" bestFit="1" customWidth="1"/>
    <col min="13" max="13" width="14" style="163" bestFit="1" customWidth="1"/>
    <col min="14" max="14" width="9" style="163" bestFit="1" customWidth="1"/>
    <col min="15" max="15" width="14.7109375" style="163" bestFit="1" customWidth="1"/>
    <col min="16" max="16" width="9.7109375" style="163" customWidth="1"/>
    <col min="17" max="17" width="16.28515625" style="163" bestFit="1" customWidth="1"/>
    <col min="18" max="18" width="17" style="163" bestFit="1" customWidth="1"/>
    <col min="19" max="19" width="11.85546875" style="163" bestFit="1" customWidth="1"/>
    <col min="20" max="20" width="16.85546875" style="163" bestFit="1" customWidth="1"/>
    <col min="21" max="42" width="9.140625" style="158"/>
    <col min="43" max="53" width="9.140625" style="163"/>
    <col min="54" max="59" width="9.140625" style="158"/>
    <col min="60" max="76" width="9.140625" style="163"/>
    <col min="77" max="78" width="9.140625" style="158"/>
    <col min="79" max="79" width="10.140625" style="158" customWidth="1"/>
    <col min="80" max="82" width="9.140625" style="158"/>
    <col min="83" max="83" width="10.85546875" style="158" customWidth="1"/>
    <col min="84" max="84" width="10.42578125" style="158" customWidth="1"/>
    <col min="85" max="85" width="9.140625" style="158"/>
    <col min="86" max="86" width="10" style="158" customWidth="1"/>
    <col min="87" max="91" width="9.140625" style="158"/>
    <col min="92" max="106" width="9.140625" style="163"/>
    <col min="107" max="121" width="9.140625" style="158"/>
    <col min="122" max="122" width="9.140625" style="161"/>
    <col min="123" max="123" width="9.140625" style="179"/>
    <col min="124" max="124" width="9.140625" style="158"/>
    <col min="125" max="142" width="9.140625" style="163"/>
    <col min="143" max="143" width="9.140625" style="158"/>
    <col min="144" max="152" width="9.140625" style="163"/>
    <col min="153" max="153" width="9.140625" style="158"/>
    <col min="154" max="159" width="9.140625" style="163"/>
    <col min="160" max="160" width="9.140625" style="182"/>
    <col min="161" max="171" width="9.140625" style="158"/>
    <col min="172" max="185" width="9.140625" style="161"/>
    <col min="186" max="197" width="9.140625" style="163"/>
    <col min="198" max="202" width="9.140625" style="158"/>
    <col min="203" max="210" width="9.140625" style="163"/>
    <col min="211" max="212" width="9.140625" style="158"/>
    <col min="213" max="219" width="9.140625" style="163"/>
    <col min="220" max="221" width="9.140625" style="158"/>
    <col min="222" max="224" width="9.140625" style="156"/>
    <col min="225" max="225" width="9.140625" style="163"/>
    <col min="226" max="226" width="9.140625" style="158"/>
    <col min="227" max="244" width="9.140625" style="163"/>
    <col min="245" max="245" width="9.140625" style="158"/>
    <col min="246" max="254" width="9.140625" style="163"/>
    <col min="255" max="255" width="9.140625" style="158"/>
    <col min="256" max="261" width="9.140625" style="163"/>
    <col min="262" max="273" width="9.140625" style="158"/>
    <col min="274" max="287" width="9.140625" style="161"/>
    <col min="288" max="299" width="9.140625" style="163"/>
    <col min="300" max="300" width="9.140625" style="158"/>
    <col min="301" max="308" width="9.140625" style="163"/>
    <col min="309" max="310" width="9.140625" style="158"/>
    <col min="311" max="317" width="9.140625" style="163"/>
    <col min="318" max="319" width="9.140625" style="158"/>
    <col min="320" max="16384" width="9.140625" style="153"/>
  </cols>
  <sheetData>
    <row r="1" spans="1:319" s="154" customFormat="1" ht="33" customHeight="1" x14ac:dyDescent="0.25">
      <c r="A1" s="157">
        <v>1</v>
      </c>
      <c r="B1" s="157">
        <v>1</v>
      </c>
      <c r="C1" s="157">
        <v>1</v>
      </c>
      <c r="D1" s="157">
        <v>1</v>
      </c>
      <c r="E1" s="157">
        <v>1</v>
      </c>
      <c r="F1" s="160">
        <v>1</v>
      </c>
      <c r="G1" s="157">
        <v>1</v>
      </c>
      <c r="H1" s="157">
        <v>1</v>
      </c>
      <c r="I1" s="157">
        <v>1</v>
      </c>
      <c r="J1" s="157">
        <v>1</v>
      </c>
      <c r="K1" s="157">
        <v>1</v>
      </c>
      <c r="L1" s="157">
        <v>1</v>
      </c>
      <c r="M1" s="162">
        <v>2</v>
      </c>
      <c r="N1" s="162">
        <v>2</v>
      </c>
      <c r="O1" s="162">
        <v>2</v>
      </c>
      <c r="P1" s="162">
        <v>2</v>
      </c>
      <c r="Q1" s="162">
        <v>2</v>
      </c>
      <c r="R1" s="162">
        <v>2</v>
      </c>
      <c r="S1" s="162">
        <v>2</v>
      </c>
      <c r="T1" s="162">
        <v>2</v>
      </c>
      <c r="U1" s="157">
        <v>3.1</v>
      </c>
      <c r="V1" s="157"/>
      <c r="W1" s="157">
        <v>3.1</v>
      </c>
      <c r="X1" s="157"/>
      <c r="Y1" s="157">
        <v>3.1</v>
      </c>
      <c r="Z1" s="157"/>
      <c r="AA1" s="157">
        <v>3.1</v>
      </c>
      <c r="AB1" s="157"/>
      <c r="AC1" s="157">
        <v>3.1</v>
      </c>
      <c r="AD1" s="157"/>
      <c r="AE1" s="157">
        <v>3.1</v>
      </c>
      <c r="AF1" s="157"/>
      <c r="AG1" s="157">
        <v>3.1</v>
      </c>
      <c r="AH1" s="157"/>
      <c r="AI1" s="157">
        <v>3.1</v>
      </c>
      <c r="AJ1" s="157"/>
      <c r="AK1" s="157">
        <v>3.1</v>
      </c>
      <c r="AL1" s="157"/>
      <c r="AM1" s="157">
        <v>3.1</v>
      </c>
      <c r="AN1" s="157"/>
      <c r="AO1" s="157">
        <v>3.1</v>
      </c>
      <c r="AP1" s="157"/>
      <c r="AQ1" s="162">
        <v>3.2</v>
      </c>
      <c r="AR1" s="162">
        <v>3.2</v>
      </c>
      <c r="AS1" s="162">
        <v>3.2</v>
      </c>
      <c r="AT1" s="162">
        <v>3.2</v>
      </c>
      <c r="AU1" s="162">
        <v>3.2</v>
      </c>
      <c r="AV1" s="162">
        <v>3.2</v>
      </c>
      <c r="AW1" s="162">
        <v>3.2</v>
      </c>
      <c r="AX1" s="162">
        <v>3.2</v>
      </c>
      <c r="AY1" s="162">
        <v>3.2</v>
      </c>
      <c r="AZ1" s="162">
        <v>3.2</v>
      </c>
      <c r="BA1" s="162">
        <v>3.2</v>
      </c>
      <c r="BB1" s="157">
        <v>4</v>
      </c>
      <c r="BC1" s="157">
        <v>4</v>
      </c>
      <c r="BD1" s="157">
        <v>4</v>
      </c>
      <c r="BE1" s="157">
        <v>4</v>
      </c>
      <c r="BF1" s="157">
        <v>4</v>
      </c>
      <c r="BG1" s="157">
        <v>4</v>
      </c>
      <c r="BH1" s="162">
        <v>5</v>
      </c>
      <c r="BI1" s="162">
        <v>5</v>
      </c>
      <c r="BJ1" s="162">
        <v>5</v>
      </c>
      <c r="BK1" s="162">
        <v>5</v>
      </c>
      <c r="BL1" s="162">
        <v>5</v>
      </c>
      <c r="BM1" s="162">
        <v>5</v>
      </c>
      <c r="BN1" s="162">
        <v>5</v>
      </c>
      <c r="BO1" s="162">
        <v>5</v>
      </c>
      <c r="BP1" s="162">
        <v>5</v>
      </c>
      <c r="BQ1" s="162">
        <v>5</v>
      </c>
      <c r="BR1" s="162">
        <v>5</v>
      </c>
      <c r="BS1" s="162">
        <v>5</v>
      </c>
      <c r="BT1" s="162">
        <v>5</v>
      </c>
      <c r="BU1" s="162">
        <v>5</v>
      </c>
      <c r="BV1" s="162">
        <v>5</v>
      </c>
      <c r="BW1" s="162">
        <v>5</v>
      </c>
      <c r="BX1" s="162"/>
      <c r="BY1" s="157">
        <v>5</v>
      </c>
      <c r="BZ1" s="157">
        <v>5</v>
      </c>
      <c r="CA1" s="157">
        <v>5</v>
      </c>
      <c r="CB1" s="157">
        <v>5</v>
      </c>
      <c r="CC1" s="157">
        <v>5</v>
      </c>
      <c r="CD1" s="157">
        <v>5</v>
      </c>
      <c r="CE1" s="157">
        <v>5</v>
      </c>
      <c r="CF1" s="157">
        <v>5</v>
      </c>
      <c r="CG1" s="157">
        <v>5</v>
      </c>
      <c r="CH1" s="157">
        <v>5</v>
      </c>
      <c r="CI1" s="157">
        <v>5</v>
      </c>
      <c r="CJ1" s="157">
        <v>5</v>
      </c>
      <c r="CK1" s="157">
        <v>5</v>
      </c>
      <c r="CL1" s="157">
        <v>5</v>
      </c>
      <c r="CM1" s="157">
        <v>5</v>
      </c>
      <c r="CN1" s="162">
        <v>5</v>
      </c>
      <c r="CO1" s="162">
        <v>5</v>
      </c>
      <c r="CP1" s="162">
        <v>5</v>
      </c>
      <c r="CQ1" s="162">
        <v>5</v>
      </c>
      <c r="CR1" s="162">
        <v>5</v>
      </c>
      <c r="CS1" s="162">
        <v>5</v>
      </c>
      <c r="CT1" s="162">
        <v>5</v>
      </c>
      <c r="CU1" s="162">
        <v>5</v>
      </c>
      <c r="CV1" s="162">
        <v>5</v>
      </c>
      <c r="CW1" s="162">
        <v>5</v>
      </c>
      <c r="CX1" s="162">
        <v>5</v>
      </c>
      <c r="CY1" s="162">
        <v>5</v>
      </c>
      <c r="CZ1" s="162">
        <v>5</v>
      </c>
      <c r="DA1" s="162">
        <v>5</v>
      </c>
      <c r="DB1" s="162">
        <v>5</v>
      </c>
      <c r="DC1" s="157">
        <v>5</v>
      </c>
      <c r="DD1" s="157">
        <v>5</v>
      </c>
      <c r="DE1" s="157">
        <v>5</v>
      </c>
      <c r="DF1" s="157">
        <v>5</v>
      </c>
      <c r="DG1" s="157">
        <v>5</v>
      </c>
      <c r="DH1" s="157">
        <v>5</v>
      </c>
      <c r="DI1" s="157">
        <v>5</v>
      </c>
      <c r="DJ1" s="157">
        <v>5</v>
      </c>
      <c r="DK1" s="157">
        <v>5</v>
      </c>
      <c r="DL1" s="157">
        <v>5</v>
      </c>
      <c r="DM1" s="157">
        <v>5</v>
      </c>
      <c r="DN1" s="157">
        <v>5</v>
      </c>
      <c r="DO1" s="157">
        <v>5</v>
      </c>
      <c r="DP1" s="157">
        <v>5</v>
      </c>
      <c r="DQ1" s="157">
        <v>5</v>
      </c>
      <c r="DR1" s="160">
        <v>5</v>
      </c>
      <c r="DS1" s="178">
        <v>6</v>
      </c>
      <c r="DT1" s="157">
        <v>6</v>
      </c>
      <c r="DU1" s="162">
        <v>6</v>
      </c>
      <c r="DV1" s="162">
        <v>6</v>
      </c>
      <c r="DW1" s="162">
        <v>6</v>
      </c>
      <c r="DX1" s="162">
        <v>6</v>
      </c>
      <c r="DY1" s="162">
        <v>6</v>
      </c>
      <c r="DZ1" s="162">
        <v>6</v>
      </c>
      <c r="EA1" s="162">
        <v>6</v>
      </c>
      <c r="EB1" s="162">
        <v>6</v>
      </c>
      <c r="EC1" s="162">
        <v>6</v>
      </c>
      <c r="ED1" s="162">
        <v>6</v>
      </c>
      <c r="EE1" s="162">
        <v>6</v>
      </c>
      <c r="EF1" s="162">
        <v>6</v>
      </c>
      <c r="EG1" s="162">
        <v>6</v>
      </c>
      <c r="EH1" s="162">
        <v>6</v>
      </c>
      <c r="EI1" s="162">
        <v>6</v>
      </c>
      <c r="EJ1" s="162">
        <v>6</v>
      </c>
      <c r="EK1" s="162">
        <v>6</v>
      </c>
      <c r="EL1" s="162">
        <v>6</v>
      </c>
      <c r="EM1" s="157">
        <v>6</v>
      </c>
      <c r="EN1" s="162">
        <v>6</v>
      </c>
      <c r="EO1" s="162">
        <v>6</v>
      </c>
      <c r="EP1" s="162">
        <v>6</v>
      </c>
      <c r="EQ1" s="162">
        <v>6</v>
      </c>
      <c r="ER1" s="162">
        <v>6</v>
      </c>
      <c r="ES1" s="162">
        <v>6</v>
      </c>
      <c r="ET1" s="162">
        <v>6</v>
      </c>
      <c r="EU1" s="162">
        <v>6</v>
      </c>
      <c r="EV1" s="162">
        <v>6</v>
      </c>
      <c r="EW1" s="157">
        <v>6</v>
      </c>
      <c r="EX1" s="162">
        <v>6</v>
      </c>
      <c r="EY1" s="162">
        <v>6</v>
      </c>
      <c r="EZ1" s="162">
        <v>6</v>
      </c>
      <c r="FA1" s="162">
        <v>6</v>
      </c>
      <c r="FB1" s="162">
        <v>6</v>
      </c>
      <c r="FC1" s="162">
        <v>6</v>
      </c>
      <c r="FD1" s="181">
        <v>7</v>
      </c>
      <c r="FE1" s="157">
        <v>7</v>
      </c>
      <c r="FF1" s="157">
        <v>7</v>
      </c>
      <c r="FG1" s="157">
        <v>7</v>
      </c>
      <c r="FH1" s="157">
        <v>7</v>
      </c>
      <c r="FI1" s="157">
        <v>7</v>
      </c>
      <c r="FJ1" s="157">
        <v>7</v>
      </c>
      <c r="FK1" s="157">
        <v>7</v>
      </c>
      <c r="FL1" s="157">
        <v>7</v>
      </c>
      <c r="FM1" s="157">
        <v>7</v>
      </c>
      <c r="FN1" s="157">
        <v>7</v>
      </c>
      <c r="FO1" s="157">
        <v>7</v>
      </c>
      <c r="FP1" s="160">
        <v>8</v>
      </c>
      <c r="FQ1" s="160">
        <v>8</v>
      </c>
      <c r="FR1" s="160">
        <v>8</v>
      </c>
      <c r="FS1" s="160">
        <v>8</v>
      </c>
      <c r="FT1" s="160">
        <v>8</v>
      </c>
      <c r="FU1" s="160">
        <v>8</v>
      </c>
      <c r="FV1" s="160">
        <v>8</v>
      </c>
      <c r="FW1" s="160">
        <v>8</v>
      </c>
      <c r="FX1" s="160">
        <v>8</v>
      </c>
      <c r="FY1" s="160">
        <v>8</v>
      </c>
      <c r="FZ1" s="160">
        <v>8</v>
      </c>
      <c r="GA1" s="160">
        <v>8</v>
      </c>
      <c r="GB1" s="160">
        <v>8</v>
      </c>
      <c r="GC1" s="160">
        <v>8</v>
      </c>
      <c r="GD1" s="162">
        <v>9</v>
      </c>
      <c r="GE1" s="162">
        <v>9</v>
      </c>
      <c r="GF1" s="162">
        <v>9</v>
      </c>
      <c r="GG1" s="162">
        <v>9</v>
      </c>
      <c r="GH1" s="162">
        <v>9</v>
      </c>
      <c r="GI1" s="162">
        <v>9</v>
      </c>
      <c r="GJ1" s="162">
        <v>9</v>
      </c>
      <c r="GK1" s="162">
        <v>9</v>
      </c>
      <c r="GL1" s="162">
        <v>9</v>
      </c>
      <c r="GM1" s="162">
        <v>9</v>
      </c>
      <c r="GN1" s="162">
        <v>9</v>
      </c>
      <c r="GO1" s="162">
        <v>9</v>
      </c>
      <c r="GP1" s="157">
        <v>10</v>
      </c>
      <c r="GQ1" s="157">
        <v>10</v>
      </c>
      <c r="GR1" s="157">
        <v>10</v>
      </c>
      <c r="GS1" s="157">
        <v>10</v>
      </c>
      <c r="GT1" s="157">
        <v>10</v>
      </c>
      <c r="GU1" s="162">
        <v>11</v>
      </c>
      <c r="GV1" s="162">
        <v>11</v>
      </c>
      <c r="GW1" s="162">
        <v>11</v>
      </c>
      <c r="GX1" s="162">
        <v>11</v>
      </c>
      <c r="GY1" s="162">
        <v>11</v>
      </c>
      <c r="GZ1" s="162">
        <v>11</v>
      </c>
      <c r="HA1" s="162">
        <v>11</v>
      </c>
      <c r="HB1" s="162">
        <v>11</v>
      </c>
      <c r="HC1" s="157">
        <v>12</v>
      </c>
      <c r="HD1" s="157">
        <v>12</v>
      </c>
      <c r="HE1" s="162">
        <v>13</v>
      </c>
      <c r="HF1" s="162">
        <v>13</v>
      </c>
      <c r="HG1" s="162">
        <v>13</v>
      </c>
      <c r="HH1" s="162">
        <v>13</v>
      </c>
      <c r="HI1" s="162">
        <v>13</v>
      </c>
      <c r="HJ1" s="162">
        <v>13</v>
      </c>
      <c r="HK1" s="162">
        <v>13</v>
      </c>
      <c r="HL1" s="157">
        <v>14</v>
      </c>
      <c r="HM1" s="157">
        <v>14</v>
      </c>
      <c r="HN1" s="155"/>
      <c r="HO1" s="155"/>
      <c r="HP1" s="155"/>
      <c r="HQ1" s="162" t="s">
        <v>1724</v>
      </c>
      <c r="HR1" s="157" t="s">
        <v>1724</v>
      </c>
      <c r="HS1" s="162" t="s">
        <v>1724</v>
      </c>
      <c r="HT1" s="162" t="s">
        <v>1724</v>
      </c>
      <c r="HU1" s="162" t="s">
        <v>1724</v>
      </c>
      <c r="HV1" s="162" t="s">
        <v>1724</v>
      </c>
      <c r="HW1" s="162" t="s">
        <v>1724</v>
      </c>
      <c r="HX1" s="162" t="s">
        <v>1724</v>
      </c>
      <c r="HY1" s="162" t="s">
        <v>1724</v>
      </c>
      <c r="HZ1" s="162" t="s">
        <v>1724</v>
      </c>
      <c r="IA1" s="162" t="s">
        <v>1724</v>
      </c>
      <c r="IB1" s="162" t="s">
        <v>1724</v>
      </c>
      <c r="IC1" s="162" t="s">
        <v>1724</v>
      </c>
      <c r="ID1" s="162" t="s">
        <v>1724</v>
      </c>
      <c r="IE1" s="162" t="s">
        <v>1724</v>
      </c>
      <c r="IF1" s="162" t="s">
        <v>1724</v>
      </c>
      <c r="IG1" s="162" t="s">
        <v>1724</v>
      </c>
      <c r="IH1" s="162" t="s">
        <v>1724</v>
      </c>
      <c r="II1" s="162" t="s">
        <v>1724</v>
      </c>
      <c r="IJ1" s="162" t="s">
        <v>1724</v>
      </c>
      <c r="IK1" s="157" t="s">
        <v>1724</v>
      </c>
      <c r="IL1" s="162" t="s">
        <v>1724</v>
      </c>
      <c r="IM1" s="162" t="s">
        <v>1724</v>
      </c>
      <c r="IN1" s="162" t="s">
        <v>1724</v>
      </c>
      <c r="IO1" s="162" t="s">
        <v>1724</v>
      </c>
      <c r="IP1" s="162" t="s">
        <v>1724</v>
      </c>
      <c r="IQ1" s="162" t="s">
        <v>1724</v>
      </c>
      <c r="IR1" s="162" t="s">
        <v>1724</v>
      </c>
      <c r="IS1" s="162" t="s">
        <v>1724</v>
      </c>
      <c r="IT1" s="162" t="s">
        <v>1724</v>
      </c>
      <c r="IU1" s="157" t="s">
        <v>1724</v>
      </c>
      <c r="IV1" s="162" t="s">
        <v>1724</v>
      </c>
      <c r="IW1" s="162" t="s">
        <v>1724</v>
      </c>
      <c r="IX1" s="162" t="s">
        <v>1724</v>
      </c>
      <c r="IY1" s="162" t="s">
        <v>1724</v>
      </c>
      <c r="IZ1" s="162" t="s">
        <v>1724</v>
      </c>
      <c r="JA1" s="162" t="s">
        <v>1724</v>
      </c>
      <c r="JB1" s="157" t="s">
        <v>1725</v>
      </c>
      <c r="JC1" s="157" t="s">
        <v>1725</v>
      </c>
      <c r="JD1" s="157" t="s">
        <v>1725</v>
      </c>
      <c r="JE1" s="157" t="s">
        <v>1725</v>
      </c>
      <c r="JF1" s="157" t="s">
        <v>1725</v>
      </c>
      <c r="JG1" s="157" t="s">
        <v>1725</v>
      </c>
      <c r="JH1" s="157" t="s">
        <v>1725</v>
      </c>
      <c r="JI1" s="157" t="s">
        <v>1725</v>
      </c>
      <c r="JJ1" s="157" t="s">
        <v>1725</v>
      </c>
      <c r="JK1" s="157" t="s">
        <v>1725</v>
      </c>
      <c r="JL1" s="157" t="s">
        <v>1725</v>
      </c>
      <c r="JM1" s="157" t="s">
        <v>1725</v>
      </c>
      <c r="JN1" s="160" t="s">
        <v>1726</v>
      </c>
      <c r="JO1" s="160" t="s">
        <v>1726</v>
      </c>
      <c r="JP1" s="160" t="s">
        <v>1726</v>
      </c>
      <c r="JQ1" s="160" t="s">
        <v>1726</v>
      </c>
      <c r="JR1" s="160" t="s">
        <v>1726</v>
      </c>
      <c r="JS1" s="160" t="s">
        <v>1726</v>
      </c>
      <c r="JT1" s="160" t="s">
        <v>1726</v>
      </c>
      <c r="JU1" s="160" t="s">
        <v>1726</v>
      </c>
      <c r="JV1" s="160" t="s">
        <v>1726</v>
      </c>
      <c r="JW1" s="160" t="s">
        <v>1726</v>
      </c>
      <c r="JX1" s="160" t="s">
        <v>1726</v>
      </c>
      <c r="JY1" s="160" t="s">
        <v>1726</v>
      </c>
      <c r="JZ1" s="160" t="s">
        <v>1726</v>
      </c>
      <c r="KA1" s="160" t="s">
        <v>1726</v>
      </c>
      <c r="KB1" s="162" t="s">
        <v>1727</v>
      </c>
      <c r="KC1" s="162" t="s">
        <v>1727</v>
      </c>
      <c r="KD1" s="162" t="s">
        <v>1727</v>
      </c>
      <c r="KE1" s="162" t="s">
        <v>1727</v>
      </c>
      <c r="KF1" s="162" t="s">
        <v>1727</v>
      </c>
      <c r="KG1" s="162" t="s">
        <v>1727</v>
      </c>
      <c r="KH1" s="162" t="s">
        <v>1727</v>
      </c>
      <c r="KI1" s="162" t="s">
        <v>1727</v>
      </c>
      <c r="KJ1" s="162" t="s">
        <v>1727</v>
      </c>
      <c r="KK1" s="162" t="s">
        <v>1727</v>
      </c>
      <c r="KL1" s="162" t="s">
        <v>1727</v>
      </c>
      <c r="KM1" s="162" t="s">
        <v>1727</v>
      </c>
      <c r="KN1" s="157" t="s">
        <v>1728</v>
      </c>
      <c r="KO1" s="162" t="s">
        <v>1729</v>
      </c>
      <c r="KP1" s="162" t="s">
        <v>1729</v>
      </c>
      <c r="KQ1" s="162" t="s">
        <v>1729</v>
      </c>
      <c r="KR1" s="162" t="s">
        <v>1729</v>
      </c>
      <c r="KS1" s="162" t="s">
        <v>1729</v>
      </c>
      <c r="KT1" s="162" t="s">
        <v>1729</v>
      </c>
      <c r="KU1" s="162" t="s">
        <v>1729</v>
      </c>
      <c r="KV1" s="162" t="s">
        <v>1729</v>
      </c>
      <c r="KW1" s="157" t="s">
        <v>1730</v>
      </c>
      <c r="KX1" s="157" t="s">
        <v>1730</v>
      </c>
      <c r="KY1" s="162" t="s">
        <v>1731</v>
      </c>
      <c r="KZ1" s="162" t="s">
        <v>1731</v>
      </c>
      <c r="LA1" s="162" t="s">
        <v>1731</v>
      </c>
      <c r="LB1" s="162" t="s">
        <v>1731</v>
      </c>
      <c r="LC1" s="162" t="s">
        <v>1731</v>
      </c>
      <c r="LD1" s="162" t="s">
        <v>1731</v>
      </c>
      <c r="LE1" s="162" t="s">
        <v>1731</v>
      </c>
      <c r="LF1" s="157" t="s">
        <v>1732</v>
      </c>
      <c r="LG1" s="157" t="s">
        <v>1732</v>
      </c>
    </row>
    <row r="2" spans="1:319" x14ac:dyDescent="0.25">
      <c r="A2" s="165" t="s">
        <v>1029</v>
      </c>
      <c r="B2" s="165" t="s">
        <v>1030</v>
      </c>
      <c r="C2" s="165" t="s">
        <v>84</v>
      </c>
      <c r="D2" s="165" t="s">
        <v>1031</v>
      </c>
      <c r="E2" s="165" t="s">
        <v>1035</v>
      </c>
      <c r="F2" s="166" t="s">
        <v>1032</v>
      </c>
      <c r="G2" s="167" t="s">
        <v>1034</v>
      </c>
      <c r="H2" s="165" t="s">
        <v>1033</v>
      </c>
      <c r="I2" s="165" t="s">
        <v>68</v>
      </c>
      <c r="J2" s="165" t="s">
        <v>69</v>
      </c>
      <c r="K2" s="165" t="s">
        <v>70</v>
      </c>
      <c r="L2" s="165" t="s">
        <v>71</v>
      </c>
      <c r="M2" s="163" t="s">
        <v>1535</v>
      </c>
      <c r="N2" s="163" t="s">
        <v>1536</v>
      </c>
      <c r="O2" s="163" t="s">
        <v>1534</v>
      </c>
      <c r="P2" s="163" t="s">
        <v>1537</v>
      </c>
      <c r="Q2" s="163" t="s">
        <v>1538</v>
      </c>
      <c r="R2" s="163" t="s">
        <v>1539</v>
      </c>
      <c r="S2" s="163" t="s">
        <v>1540</v>
      </c>
      <c r="T2" s="163" t="s">
        <v>1541</v>
      </c>
      <c r="U2" s="158" t="s">
        <v>1542</v>
      </c>
      <c r="W2" s="158" t="s">
        <v>1543</v>
      </c>
      <c r="Y2" s="158" t="s">
        <v>1544</v>
      </c>
      <c r="AA2" s="158" t="s">
        <v>1545</v>
      </c>
      <c r="AC2" s="158" t="s">
        <v>1546</v>
      </c>
      <c r="AE2" s="158" t="s">
        <v>1547</v>
      </c>
      <c r="AG2" s="158" t="s">
        <v>1548</v>
      </c>
      <c r="AI2" s="158" t="s">
        <v>1549</v>
      </c>
      <c r="AK2" s="158" t="s">
        <v>1550</v>
      </c>
      <c r="AM2" s="158" t="s">
        <v>1551</v>
      </c>
      <c r="AO2" s="158" t="s">
        <v>1552</v>
      </c>
      <c r="AQ2" s="163" t="s">
        <v>1553</v>
      </c>
      <c r="AR2" s="163" t="s">
        <v>1554</v>
      </c>
      <c r="AS2" s="163" t="s">
        <v>1555</v>
      </c>
      <c r="AT2" s="163" t="s">
        <v>1556</v>
      </c>
      <c r="AU2" s="163" t="s">
        <v>1557</v>
      </c>
      <c r="AV2" s="163" t="s">
        <v>1558</v>
      </c>
      <c r="AW2" s="163" t="s">
        <v>1559</v>
      </c>
      <c r="AX2" s="163" t="s">
        <v>1560</v>
      </c>
      <c r="AY2" s="163" t="s">
        <v>1561</v>
      </c>
      <c r="AZ2" s="163" t="s">
        <v>1562</v>
      </c>
      <c r="BA2" s="163" t="s">
        <v>1563</v>
      </c>
      <c r="BB2" s="158" t="s">
        <v>1564</v>
      </c>
      <c r="BC2" s="158" t="s">
        <v>1565</v>
      </c>
      <c r="BD2" s="158" t="s">
        <v>1566</v>
      </c>
      <c r="BE2" s="158" t="s">
        <v>1567</v>
      </c>
      <c r="BF2" s="158" t="s">
        <v>1568</v>
      </c>
      <c r="BG2" s="158" t="s">
        <v>1569</v>
      </c>
      <c r="BH2" s="163" t="s">
        <v>1756</v>
      </c>
      <c r="BI2" s="163" t="s">
        <v>1622</v>
      </c>
      <c r="BJ2" s="163" t="s">
        <v>1570</v>
      </c>
      <c r="BK2" s="163" t="s">
        <v>1571</v>
      </c>
      <c r="BL2" s="163" t="s">
        <v>1572</v>
      </c>
      <c r="BM2" s="163" t="s">
        <v>1573</v>
      </c>
      <c r="BN2" s="163" t="s">
        <v>1574</v>
      </c>
      <c r="BO2" s="163" t="s">
        <v>1575</v>
      </c>
      <c r="BP2" s="163" t="s">
        <v>1576</v>
      </c>
      <c r="BQ2" s="163" t="s">
        <v>1577</v>
      </c>
      <c r="BR2" s="163" t="s">
        <v>1578</v>
      </c>
      <c r="BS2" s="163" t="s">
        <v>1579</v>
      </c>
      <c r="BT2" s="163" t="s">
        <v>1580</v>
      </c>
      <c r="BU2" s="163" t="s">
        <v>1581</v>
      </c>
      <c r="BV2" s="163" t="s">
        <v>1582</v>
      </c>
      <c r="BW2" s="163" t="s">
        <v>1759</v>
      </c>
      <c r="BX2" s="163" t="s">
        <v>1760</v>
      </c>
      <c r="BY2" s="158" t="s">
        <v>1583</v>
      </c>
      <c r="BZ2" s="158" t="s">
        <v>1584</v>
      </c>
      <c r="CA2" s="158" t="s">
        <v>1585</v>
      </c>
      <c r="CB2" s="158" t="s">
        <v>1586</v>
      </c>
      <c r="CC2" s="158" t="s">
        <v>1587</v>
      </c>
      <c r="CD2" s="158" t="s">
        <v>1588</v>
      </c>
      <c r="CE2" s="158" t="s">
        <v>1589</v>
      </c>
      <c r="CF2" s="158" t="s">
        <v>1590</v>
      </c>
      <c r="CG2" s="158" t="s">
        <v>1591</v>
      </c>
      <c r="CH2" s="158" t="s">
        <v>1592</v>
      </c>
      <c r="CI2" s="158" t="s">
        <v>1593</v>
      </c>
      <c r="CJ2" s="158" t="s">
        <v>1594</v>
      </c>
      <c r="CK2" s="158" t="s">
        <v>1595</v>
      </c>
      <c r="CL2" s="158" t="s">
        <v>1757</v>
      </c>
      <c r="CM2" s="158" t="s">
        <v>1758</v>
      </c>
      <c r="CN2" s="163" t="s">
        <v>1596</v>
      </c>
      <c r="CO2" s="163" t="s">
        <v>1597</v>
      </c>
      <c r="CP2" s="163" t="s">
        <v>1598</v>
      </c>
      <c r="CQ2" s="163" t="s">
        <v>1599</v>
      </c>
      <c r="CR2" s="163" t="s">
        <v>1600</v>
      </c>
      <c r="CS2" s="163" t="s">
        <v>1601</v>
      </c>
      <c r="CT2" s="163" t="s">
        <v>1602</v>
      </c>
      <c r="CU2" s="163" t="s">
        <v>1603</v>
      </c>
      <c r="CV2" s="163" t="s">
        <v>1604</v>
      </c>
      <c r="CW2" s="163" t="s">
        <v>1605</v>
      </c>
      <c r="CX2" s="163" t="s">
        <v>1606</v>
      </c>
      <c r="CY2" s="163" t="s">
        <v>1607</v>
      </c>
      <c r="CZ2" s="163" t="s">
        <v>1608</v>
      </c>
      <c r="DA2" s="163" t="s">
        <v>1761</v>
      </c>
      <c r="DB2" s="163" t="s">
        <v>1762</v>
      </c>
      <c r="DC2" s="158" t="s">
        <v>1609</v>
      </c>
      <c r="DD2" s="158" t="s">
        <v>1610</v>
      </c>
      <c r="DE2" s="158" t="s">
        <v>1611</v>
      </c>
      <c r="DF2" s="158" t="s">
        <v>1612</v>
      </c>
      <c r="DG2" s="158" t="s">
        <v>1613</v>
      </c>
      <c r="DH2" s="158" t="s">
        <v>1614</v>
      </c>
      <c r="DI2" s="158" t="s">
        <v>1615</v>
      </c>
      <c r="DJ2" s="158" t="s">
        <v>1616</v>
      </c>
      <c r="DK2" s="158" t="s">
        <v>1617</v>
      </c>
      <c r="DL2" s="158" t="s">
        <v>1618</v>
      </c>
      <c r="DM2" s="158" t="s">
        <v>1619</v>
      </c>
      <c r="DN2" s="158" t="s">
        <v>1620</v>
      </c>
      <c r="DO2" s="158" t="s">
        <v>1621</v>
      </c>
      <c r="DP2" s="158" t="s">
        <v>1763</v>
      </c>
      <c r="DQ2" s="158" t="s">
        <v>1764</v>
      </c>
      <c r="DR2" s="161" t="s">
        <v>1623</v>
      </c>
      <c r="DS2" s="179" t="s">
        <v>1624</v>
      </c>
      <c r="DT2" s="159" t="s">
        <v>1625</v>
      </c>
      <c r="DU2" s="163" t="s">
        <v>1626</v>
      </c>
      <c r="DV2" s="163" t="s">
        <v>1627</v>
      </c>
      <c r="DW2" s="163" t="s">
        <v>1628</v>
      </c>
      <c r="DX2" s="163" t="s">
        <v>1629</v>
      </c>
      <c r="DY2" s="163" t="s">
        <v>1630</v>
      </c>
      <c r="DZ2" s="163" t="s">
        <v>1631</v>
      </c>
      <c r="EA2" s="163" t="s">
        <v>1632</v>
      </c>
      <c r="EB2" s="163" t="s">
        <v>1633</v>
      </c>
      <c r="EC2" s="163" t="s">
        <v>1634</v>
      </c>
      <c r="ED2" s="163" t="s">
        <v>1635</v>
      </c>
      <c r="EE2" s="163" t="s">
        <v>1636</v>
      </c>
      <c r="EF2" s="163" t="s">
        <v>1637</v>
      </c>
      <c r="EG2" s="163" t="s">
        <v>1638</v>
      </c>
      <c r="EH2" s="163" t="s">
        <v>1639</v>
      </c>
      <c r="EI2" s="163" t="s">
        <v>1640</v>
      </c>
      <c r="EJ2" s="163" t="s">
        <v>1641</v>
      </c>
      <c r="EK2" s="163" t="s">
        <v>1642</v>
      </c>
      <c r="EL2" s="163" t="s">
        <v>1657</v>
      </c>
      <c r="EM2" s="159" t="s">
        <v>1643</v>
      </c>
      <c r="EN2" s="163" t="s">
        <v>1644</v>
      </c>
      <c r="EO2" s="163" t="s">
        <v>1765</v>
      </c>
      <c r="EP2" s="163" t="s">
        <v>1646</v>
      </c>
      <c r="EQ2" s="163" t="s">
        <v>1647</v>
      </c>
      <c r="ER2" s="163" t="s">
        <v>1648</v>
      </c>
      <c r="ES2" s="163" t="s">
        <v>1649</v>
      </c>
      <c r="ET2" s="163" t="s">
        <v>1650</v>
      </c>
      <c r="EU2" s="163" t="s">
        <v>1651</v>
      </c>
      <c r="EV2" s="163" t="s">
        <v>1658</v>
      </c>
      <c r="EW2" s="159" t="s">
        <v>1652</v>
      </c>
      <c r="EX2" s="163" t="s">
        <v>1653</v>
      </c>
      <c r="EY2" s="163" t="s">
        <v>1654</v>
      </c>
      <c r="EZ2" s="163" t="s">
        <v>1655</v>
      </c>
      <c r="FA2" s="163" t="s">
        <v>1656</v>
      </c>
      <c r="FB2" s="163" t="s">
        <v>1659</v>
      </c>
      <c r="FC2" s="163" t="s">
        <v>1660</v>
      </c>
      <c r="FD2" s="182" t="s">
        <v>1661</v>
      </c>
      <c r="FE2" s="158" t="s">
        <v>1662</v>
      </c>
      <c r="FF2" s="158" t="s">
        <v>1663</v>
      </c>
      <c r="FG2" s="158" t="s">
        <v>1664</v>
      </c>
      <c r="FH2" s="158" t="s">
        <v>1665</v>
      </c>
      <c r="FI2" s="158" t="s">
        <v>1666</v>
      </c>
      <c r="FJ2" s="158" t="s">
        <v>1667</v>
      </c>
      <c r="FK2" s="158" t="s">
        <v>1668</v>
      </c>
      <c r="FL2" s="158" t="s">
        <v>1669</v>
      </c>
      <c r="FM2" s="158" t="s">
        <v>1670</v>
      </c>
      <c r="FN2" s="158" t="s">
        <v>1671</v>
      </c>
      <c r="FO2" s="158" t="s">
        <v>1672</v>
      </c>
      <c r="FP2" s="164" t="s">
        <v>1673</v>
      </c>
      <c r="FQ2" s="164" t="s">
        <v>1674</v>
      </c>
      <c r="FR2" s="164" t="s">
        <v>1675</v>
      </c>
      <c r="FS2" s="164" t="s">
        <v>1676</v>
      </c>
      <c r="FT2" s="164" t="s">
        <v>1677</v>
      </c>
      <c r="FU2" s="164" t="s">
        <v>1678</v>
      </c>
      <c r="FV2" s="164" t="s">
        <v>1679</v>
      </c>
      <c r="FW2" s="164" t="s">
        <v>1680</v>
      </c>
      <c r="FX2" s="164" t="s">
        <v>1681</v>
      </c>
      <c r="FY2" s="164" t="s">
        <v>1682</v>
      </c>
      <c r="FZ2" s="164" t="s">
        <v>1683</v>
      </c>
      <c r="GA2" s="164" t="s">
        <v>1684</v>
      </c>
      <c r="GB2" s="164" t="s">
        <v>1685</v>
      </c>
      <c r="GC2" s="164" t="s">
        <v>1686</v>
      </c>
      <c r="GD2" s="163" t="s">
        <v>1687</v>
      </c>
      <c r="GE2" s="163" t="s">
        <v>1688</v>
      </c>
      <c r="GF2" s="163" t="s">
        <v>1689</v>
      </c>
      <c r="GG2" s="163" t="s">
        <v>1690</v>
      </c>
      <c r="GH2" s="163" t="s">
        <v>1691</v>
      </c>
      <c r="GI2" s="163" t="s">
        <v>1692</v>
      </c>
      <c r="GJ2" s="163" t="s">
        <v>1693</v>
      </c>
      <c r="GK2" s="163" t="s">
        <v>1694</v>
      </c>
      <c r="GL2" s="163" t="s">
        <v>1695</v>
      </c>
      <c r="GM2" s="163" t="s">
        <v>1696</v>
      </c>
      <c r="GN2" s="163" t="s">
        <v>1697</v>
      </c>
      <c r="GO2" s="163" t="s">
        <v>1698</v>
      </c>
      <c r="GP2" s="158" t="s">
        <v>1700</v>
      </c>
      <c r="GQ2" s="158" t="s">
        <v>1701</v>
      </c>
      <c r="GR2" s="158" t="s">
        <v>1702</v>
      </c>
      <c r="GS2" s="158" t="s">
        <v>1703</v>
      </c>
      <c r="GT2" s="158" t="s">
        <v>1704</v>
      </c>
      <c r="GU2" s="163" t="s">
        <v>1705</v>
      </c>
      <c r="GV2" s="163" t="s">
        <v>1706</v>
      </c>
      <c r="GW2" s="163" t="s">
        <v>1707</v>
      </c>
      <c r="GX2" s="163" t="s">
        <v>1708</v>
      </c>
      <c r="GY2" s="163" t="s">
        <v>1709</v>
      </c>
      <c r="GZ2" s="163" t="s">
        <v>1710</v>
      </c>
      <c r="HA2" s="163" t="s">
        <v>1711</v>
      </c>
      <c r="HB2" s="163" t="s">
        <v>1712</v>
      </c>
      <c r="HC2" s="158" t="s">
        <v>1713</v>
      </c>
      <c r="HD2" s="158" t="s">
        <v>1714</v>
      </c>
      <c r="HE2" s="163" t="s">
        <v>1715</v>
      </c>
      <c r="HF2" s="163" t="s">
        <v>1716</v>
      </c>
      <c r="HG2" s="163" t="s">
        <v>1717</v>
      </c>
      <c r="HH2" s="163" t="s">
        <v>1718</v>
      </c>
      <c r="HI2" s="163" t="s">
        <v>1719</v>
      </c>
      <c r="HJ2" s="163" t="s">
        <v>1720</v>
      </c>
      <c r="HK2" s="163" t="s">
        <v>1721</v>
      </c>
      <c r="HL2" s="158" t="s">
        <v>1722</v>
      </c>
      <c r="HM2" s="158" t="s">
        <v>1723</v>
      </c>
      <c r="HQ2" s="163" t="s">
        <v>1624</v>
      </c>
      <c r="HR2" s="159" t="s">
        <v>1625</v>
      </c>
      <c r="HS2" s="163" t="s">
        <v>1626</v>
      </c>
      <c r="HT2" s="163" t="s">
        <v>1627</v>
      </c>
      <c r="HU2" s="163" t="s">
        <v>1628</v>
      </c>
      <c r="HV2" s="163" t="s">
        <v>1629</v>
      </c>
      <c r="HW2" s="163" t="s">
        <v>1630</v>
      </c>
      <c r="HX2" s="163" t="s">
        <v>1631</v>
      </c>
      <c r="HY2" s="163" t="s">
        <v>1632</v>
      </c>
      <c r="HZ2" s="163" t="s">
        <v>1633</v>
      </c>
      <c r="IA2" s="163" t="s">
        <v>1634</v>
      </c>
      <c r="IB2" s="163" t="s">
        <v>1635</v>
      </c>
      <c r="IC2" s="163" t="s">
        <v>1636</v>
      </c>
      <c r="ID2" s="163" t="s">
        <v>1637</v>
      </c>
      <c r="IE2" s="163" t="s">
        <v>1638</v>
      </c>
      <c r="IF2" s="163" t="s">
        <v>1639</v>
      </c>
      <c r="IG2" s="163" t="s">
        <v>1640</v>
      </c>
      <c r="IH2" s="163" t="s">
        <v>1641</v>
      </c>
      <c r="II2" s="163" t="s">
        <v>1642</v>
      </c>
      <c r="IJ2" s="163" t="s">
        <v>1657</v>
      </c>
      <c r="IK2" s="159" t="s">
        <v>1643</v>
      </c>
      <c r="IL2" s="163" t="s">
        <v>1644</v>
      </c>
      <c r="IM2" s="163" t="s">
        <v>1645</v>
      </c>
      <c r="IN2" s="163" t="s">
        <v>1646</v>
      </c>
      <c r="IO2" s="163" t="s">
        <v>1647</v>
      </c>
      <c r="IP2" s="163" t="s">
        <v>1648</v>
      </c>
      <c r="IQ2" s="163" t="s">
        <v>1649</v>
      </c>
      <c r="IR2" s="163" t="s">
        <v>1650</v>
      </c>
      <c r="IS2" s="163" t="s">
        <v>1651</v>
      </c>
      <c r="IT2" s="163" t="s">
        <v>1658</v>
      </c>
      <c r="IU2" s="159" t="s">
        <v>1652</v>
      </c>
      <c r="IV2" s="163" t="s">
        <v>1653</v>
      </c>
      <c r="IW2" s="163" t="s">
        <v>1654</v>
      </c>
      <c r="IX2" s="163" t="s">
        <v>1655</v>
      </c>
      <c r="IY2" s="163" t="s">
        <v>1656</v>
      </c>
      <c r="IZ2" s="163" t="s">
        <v>1659</v>
      </c>
      <c r="JA2" s="163" t="s">
        <v>1660</v>
      </c>
      <c r="JB2" s="158" t="s">
        <v>1661</v>
      </c>
      <c r="JC2" s="158" t="s">
        <v>1662</v>
      </c>
      <c r="JD2" s="158" t="s">
        <v>1663</v>
      </c>
      <c r="JE2" s="158" t="s">
        <v>1664</v>
      </c>
      <c r="JF2" s="158" t="s">
        <v>1665</v>
      </c>
      <c r="JG2" s="158" t="s">
        <v>1666</v>
      </c>
      <c r="JH2" s="158" t="s">
        <v>1667</v>
      </c>
      <c r="JI2" s="158" t="s">
        <v>1668</v>
      </c>
      <c r="JJ2" s="158" t="s">
        <v>1669</v>
      </c>
      <c r="JK2" s="158" t="s">
        <v>1670</v>
      </c>
      <c r="JL2" s="158" t="s">
        <v>1671</v>
      </c>
      <c r="JM2" s="158" t="s">
        <v>1672</v>
      </c>
      <c r="JN2" s="164" t="s">
        <v>1673</v>
      </c>
      <c r="JO2" s="164" t="s">
        <v>1674</v>
      </c>
      <c r="JP2" s="164" t="s">
        <v>1675</v>
      </c>
      <c r="JQ2" s="164" t="s">
        <v>1676</v>
      </c>
      <c r="JR2" s="164" t="s">
        <v>1677</v>
      </c>
      <c r="JS2" s="164" t="s">
        <v>1678</v>
      </c>
      <c r="JT2" s="164" t="s">
        <v>1679</v>
      </c>
      <c r="JU2" s="164" t="s">
        <v>1680</v>
      </c>
      <c r="JV2" s="164" t="s">
        <v>1681</v>
      </c>
      <c r="JW2" s="164" t="s">
        <v>1682</v>
      </c>
      <c r="JX2" s="164" t="s">
        <v>1683</v>
      </c>
      <c r="JY2" s="164" t="s">
        <v>1684</v>
      </c>
      <c r="JZ2" s="164" t="s">
        <v>1685</v>
      </c>
      <c r="KA2" s="164" t="s">
        <v>1686</v>
      </c>
      <c r="KB2" s="163" t="s">
        <v>1687</v>
      </c>
      <c r="KC2" s="163" t="s">
        <v>1688</v>
      </c>
      <c r="KD2" s="163" t="s">
        <v>1689</v>
      </c>
      <c r="KE2" s="163" t="s">
        <v>1690</v>
      </c>
      <c r="KF2" s="163" t="s">
        <v>1691</v>
      </c>
      <c r="KG2" s="163" t="s">
        <v>1692</v>
      </c>
      <c r="KH2" s="163" t="s">
        <v>1693</v>
      </c>
      <c r="KI2" s="163" t="s">
        <v>1694</v>
      </c>
      <c r="KJ2" s="163" t="s">
        <v>1695</v>
      </c>
      <c r="KK2" s="163" t="s">
        <v>1696</v>
      </c>
      <c r="KL2" s="163" t="s">
        <v>1697</v>
      </c>
      <c r="KM2" s="163" t="s">
        <v>1698</v>
      </c>
      <c r="KN2" s="158" t="s">
        <v>1700</v>
      </c>
      <c r="KO2" s="163" t="s">
        <v>1705</v>
      </c>
      <c r="KP2" s="163" t="s">
        <v>1706</v>
      </c>
      <c r="KQ2" s="163" t="s">
        <v>1707</v>
      </c>
      <c r="KR2" s="163" t="s">
        <v>1708</v>
      </c>
      <c r="KS2" s="163" t="s">
        <v>1709</v>
      </c>
      <c r="KT2" s="163" t="s">
        <v>1710</v>
      </c>
      <c r="KU2" s="163" t="s">
        <v>1711</v>
      </c>
      <c r="KV2" s="163" t="s">
        <v>1712</v>
      </c>
      <c r="KW2" s="158" t="s">
        <v>1713</v>
      </c>
      <c r="KX2" s="158" t="s">
        <v>1714</v>
      </c>
      <c r="KY2" s="163" t="s">
        <v>1715</v>
      </c>
      <c r="KZ2" s="163" t="s">
        <v>1716</v>
      </c>
      <c r="LA2" s="163" t="s">
        <v>1717</v>
      </c>
      <c r="LB2" s="163" t="s">
        <v>1718</v>
      </c>
      <c r="LC2" s="163" t="s">
        <v>1719</v>
      </c>
      <c r="LD2" s="163" t="s">
        <v>1720</v>
      </c>
      <c r="LE2" s="163" t="s">
        <v>1721</v>
      </c>
      <c r="LF2" s="158" t="s">
        <v>1722</v>
      </c>
      <c r="LG2" s="158" t="s">
        <v>1723</v>
      </c>
    </row>
    <row r="3" spans="1:319" s="177" customFormat="1" x14ac:dyDescent="0.25">
      <c r="A3" s="172"/>
      <c r="B3" s="172"/>
      <c r="C3" s="172"/>
      <c r="D3" s="172"/>
      <c r="E3" s="172"/>
      <c r="F3" s="173" t="str">
        <f>IF(ISBLANK(ESPAÑOL!L27), "", ESPAÑOL!L27)</f>
        <v/>
      </c>
      <c r="G3" s="174" t="str">
        <f>IF(LEN(F3)=3, "1", "")</f>
        <v/>
      </c>
      <c r="H3" s="172" t="str">
        <f>IF(ISBLANK(ESPAÑOL!C27), "", ESPAÑOL!C27)</f>
        <v/>
      </c>
      <c r="I3" s="172" t="str">
        <f>IF(ISBLANK(ESPAÑOL!C29), "", ESPAÑOL!C29)</f>
        <v/>
      </c>
      <c r="J3" s="172" t="str">
        <f>IF(ISBLANK(ESPAÑOL!C31), "", ESPAÑOL!C31)</f>
        <v/>
      </c>
      <c r="K3" s="172" t="str">
        <f>IF(ISBLANK(ESPAÑOL!L29), "", ESPAÑOL!L29)</f>
        <v/>
      </c>
      <c r="L3" s="172" t="str">
        <f>IF(ISBLANK(ESPAÑOL!L31), "", ESPAÑOL!L31)</f>
        <v/>
      </c>
      <c r="M3" s="175" t="str">
        <f>IF(ISBLANK(ESPAÑOL!F39), "", ESPAÑOL!F39)</f>
        <v/>
      </c>
      <c r="N3" s="175" t="str">
        <f>IF(ISBLANK(ESPAÑOL!F41), "", ESPAÑOL!F41)</f>
        <v/>
      </c>
      <c r="O3" s="175" t="str">
        <f>IF(ISBLANK(ESPAÑOL!F43), "", ESPAÑOL!F43)</f>
        <v/>
      </c>
      <c r="P3" s="175" t="str">
        <f>IF(ISBLANK(ESPAÑOL!F45), "", ESPAÑOL!F45)</f>
        <v/>
      </c>
      <c r="Q3" s="175" t="str">
        <f>IF(ISBLANK(ESPAÑOL!O39), "", ESPAÑOL!O39)</f>
        <v/>
      </c>
      <c r="R3" s="175" t="str">
        <f>IF(ISBLANK(ESPAÑOL!O41), "", ESPAÑOL!O41)</f>
        <v/>
      </c>
      <c r="S3" s="175" t="str">
        <f>IF(ISBLANK(ESPAÑOL!O43), "", ESPAÑOL!O43)</f>
        <v/>
      </c>
      <c r="T3" s="175" t="str">
        <f>IF(ISBLANK(ESPAÑOL!O45), "", ESPAÑOL!O45)</f>
        <v/>
      </c>
      <c r="U3" s="172" t="str">
        <f>IF(ISBLANK(ESPAÑOL!J52), "", ESPAÑOL!J52)</f>
        <v/>
      </c>
      <c r="V3" s="172" t="str">
        <f>IF(ISBLANK(ESPAÑOL!M52), "", ESPAÑOL!M52)</f>
        <v/>
      </c>
      <c r="W3" s="172" t="str">
        <f>IF(ISBLANK(ESPAÑOL!J54), "", ESPAÑOL!J54)</f>
        <v/>
      </c>
      <c r="X3" s="172" t="str">
        <f>IF(ISBLANK(ESPAÑOL!M54), "", ESPAÑOL!M54)</f>
        <v/>
      </c>
      <c r="Y3" s="172" t="str">
        <f>IF(ISBLANK(ESPAÑOL!J55), "", ESPAÑOL!J55)</f>
        <v/>
      </c>
      <c r="Z3" s="172" t="str">
        <f>IF(ISBLANK(ESPAÑOL!M55), "", ESPAÑOL!M55)</f>
        <v/>
      </c>
      <c r="AA3" s="172" t="str">
        <f>IF(ISBLANK(ESPAÑOL!J57), "", ESPAÑOL!J57)</f>
        <v/>
      </c>
      <c r="AB3" s="172" t="str">
        <f>IF(ISBLANK(ESPAÑOL!M57), "", ESPAÑOL!M57)</f>
        <v/>
      </c>
      <c r="AC3" s="172" t="str">
        <f>IF(ISBLANK(ESPAÑOL!J59), "", ESPAÑOL!J59)</f>
        <v/>
      </c>
      <c r="AD3" s="172" t="str">
        <f>IF(ISBLANK(ESPAÑOL!M59), "", ESPAÑOL!M59)</f>
        <v/>
      </c>
      <c r="AE3" s="172" t="str">
        <f>IF(ISBLANK(ESPAÑOL!J60), "", ESPAÑOL!J60)</f>
        <v/>
      </c>
      <c r="AF3" s="172" t="str">
        <f>IF(ISBLANK(ESPAÑOL!M60), "", ESPAÑOL!M60)</f>
        <v/>
      </c>
      <c r="AG3" s="172" t="str">
        <f>IF(ISBLANK(ESPAÑOL!J62), "", ESPAÑOL!J62)</f>
        <v/>
      </c>
      <c r="AH3" s="172" t="str">
        <f>IF(ISBLANK(ESPAÑOL!M62), "", ESPAÑOL!M62)</f>
        <v/>
      </c>
      <c r="AI3" s="172" t="str">
        <f>IF(ISBLANK(ESPAÑOL!J64), "", ESPAÑOL!J64)</f>
        <v/>
      </c>
      <c r="AJ3" s="172" t="str">
        <f>IF(ISBLANK(ESPAÑOL!M64), "", ESPAÑOL!M64)</f>
        <v/>
      </c>
      <c r="AK3" s="172" t="str">
        <f>IF(ISBLANK(ESPAÑOL!J67), "", ESPAÑOL!J67)</f>
        <v/>
      </c>
      <c r="AL3" s="172" t="str">
        <f>IF(ISBLANK(ESPAÑOL!M67), "", ESPAÑOL!M67)</f>
        <v/>
      </c>
      <c r="AM3" s="172" t="str">
        <f>IF(ISBLANK(ESPAÑOL!J68), "", ESPAÑOL!J68)</f>
        <v/>
      </c>
      <c r="AN3" s="172" t="str">
        <f>IF(ISBLANK(ESPAÑOL!M68), "", ESPAÑOL!M68)</f>
        <v/>
      </c>
      <c r="AO3" s="172" t="str">
        <f>IF(ISBLANK(ESPAÑOL!J70), "", ESPAÑOL!J70)</f>
        <v/>
      </c>
      <c r="AP3" s="172" t="str">
        <f>IF(ISBLANK(ESPAÑOL!M70), "", ESPAÑOL!M70)</f>
        <v/>
      </c>
      <c r="AQ3" s="175" t="str">
        <f>IF(ISBLANK(ESPAÑOL!J77), "", ESPAÑOL!J77)</f>
        <v/>
      </c>
      <c r="AR3" s="175" t="str">
        <f>IF(ISBLANK(ESPAÑOL!J78), "", ESPAÑOL!J78)</f>
        <v/>
      </c>
      <c r="AS3" s="175" t="str">
        <f>IF(ISBLANK(ESPAÑOL!J79), "", ESPAÑOL!J79)</f>
        <v/>
      </c>
      <c r="AT3" s="175" t="str">
        <f>IF(ISBLANK(ESPAÑOL!J80), "", ESPAÑOL!J80)</f>
        <v/>
      </c>
      <c r="AU3" s="175" t="str">
        <f>IF(ISBLANK(ESPAÑOL!J81), "", ESPAÑOL!J81)</f>
        <v/>
      </c>
      <c r="AV3" s="175" t="str">
        <f>IF(ISBLANK(ESPAÑOL!J82), "", ESPAÑOL!J82)</f>
        <v/>
      </c>
      <c r="AW3" s="175" t="str">
        <f>IF(ISBLANK(ESPAÑOL!J83), "", ESPAÑOL!J83)</f>
        <v/>
      </c>
      <c r="AX3" s="175" t="str">
        <f>IF(ISBLANK(ESPAÑOL!J84), "", ESPAÑOL!J84)</f>
        <v/>
      </c>
      <c r="AY3" s="175" t="str">
        <f>IF(ISBLANK(ESPAÑOL!J85), "", ESPAÑOL!J85)</f>
        <v/>
      </c>
      <c r="AZ3" s="175" t="str">
        <f>IF(ISBLANK(ESPAÑOL!J87), "", ESPAÑOL!J87)</f>
        <v/>
      </c>
      <c r="BA3" s="175" t="str">
        <f>IF(ISBLANK(ESPAÑOL!J88), "", ESPAÑOL!J88)</f>
        <v/>
      </c>
      <c r="BB3" s="172" t="str">
        <f>IF(ISBLANK(ESPAÑOL!M94), "", ESPAÑOL!M94)</f>
        <v/>
      </c>
      <c r="BC3" s="172" t="str">
        <f>IF(ISBLANK(ESPAÑOL!M96), "", ESPAÑOL!M96)</f>
        <v/>
      </c>
      <c r="BD3" s="172" t="str">
        <f>IF(ISBLANK(ESPAÑOL!M98), "", ESPAÑOL!M98)</f>
        <v/>
      </c>
      <c r="BE3" s="172" t="str">
        <f>IF(ISBLANK(ESPAÑOL!M100), "", ESPAÑOL!M100)</f>
        <v/>
      </c>
      <c r="BF3" s="172" t="str">
        <f>IF(ISBLANK(ESPAÑOL!M102), "", ESPAÑOL!M102)</f>
        <v/>
      </c>
      <c r="BG3" s="172" t="str">
        <f>IF(ISBLANK(ESPAÑOL!M104), "", ESPAÑOL!M104)</f>
        <v/>
      </c>
      <c r="BH3" s="175" t="str">
        <f>IF(ISBLANK(ESPAÑOL!K115), "", ESPAÑOL!K115)</f>
        <v/>
      </c>
      <c r="BI3" s="175" t="str">
        <f>IF(ISBLANK(ESPAÑOL!O115), "", ESPAÑOL!O115)</f>
        <v/>
      </c>
      <c r="BJ3" s="175" t="b">
        <v>0</v>
      </c>
      <c r="BK3" s="175" t="b">
        <v>0</v>
      </c>
      <c r="BL3" s="175" t="b">
        <v>0</v>
      </c>
      <c r="BM3" s="175" t="b">
        <v>0</v>
      </c>
      <c r="BN3" s="175" t="b">
        <v>0</v>
      </c>
      <c r="BO3" s="175" t="b">
        <v>0</v>
      </c>
      <c r="BP3" s="175" t="b">
        <v>0</v>
      </c>
      <c r="BQ3" s="175" t="b">
        <v>0</v>
      </c>
      <c r="BR3" s="175" t="b">
        <v>0</v>
      </c>
      <c r="BS3" s="175" t="b">
        <v>0</v>
      </c>
      <c r="BT3" s="175" t="b">
        <v>0</v>
      </c>
      <c r="BU3" s="175" t="b">
        <v>0</v>
      </c>
      <c r="BV3" s="175" t="b">
        <v>0</v>
      </c>
      <c r="BW3" s="175" t="b">
        <v>0</v>
      </c>
      <c r="BX3" s="175" t="b">
        <v>0</v>
      </c>
      <c r="BY3" s="172" t="b">
        <v>0</v>
      </c>
      <c r="BZ3" s="172" t="b">
        <v>0</v>
      </c>
      <c r="CA3" s="172" t="b">
        <v>0</v>
      </c>
      <c r="CB3" s="172" t="b">
        <v>0</v>
      </c>
      <c r="CC3" s="172" t="b">
        <v>0</v>
      </c>
      <c r="CD3" s="172" t="b">
        <v>0</v>
      </c>
      <c r="CE3" s="172" t="b">
        <v>0</v>
      </c>
      <c r="CF3" s="172" t="b">
        <v>0</v>
      </c>
      <c r="CG3" s="172" t="b">
        <v>0</v>
      </c>
      <c r="CH3" s="172" t="b">
        <v>0</v>
      </c>
      <c r="CI3" s="172" t="b">
        <v>0</v>
      </c>
      <c r="CJ3" s="172" t="b">
        <v>0</v>
      </c>
      <c r="CK3" s="172" t="b">
        <v>0</v>
      </c>
      <c r="CL3" s="172" t="b">
        <v>0</v>
      </c>
      <c r="CM3" s="172" t="b">
        <v>0</v>
      </c>
      <c r="CN3" s="175" t="str">
        <f>IF(ISBLANK(ESPAÑOL!K119), "", ESPAÑOL!K119)</f>
        <v/>
      </c>
      <c r="CO3" s="175" t="str">
        <f>IF(ISBLANK(ESPAÑOL!K120), "", ESPAÑOL!K120)</f>
        <v/>
      </c>
      <c r="CP3" s="175" t="str">
        <f>IF(ISBLANK(ESPAÑOL!K122), "", ESPAÑOL!K122)</f>
        <v/>
      </c>
      <c r="CQ3" s="175" t="str">
        <f>IF(ISBLANK(ESPAÑOL!K123), "", ESPAÑOL!K123)</f>
        <v/>
      </c>
      <c r="CR3" s="175" t="str">
        <f>IF(ISBLANK(ESPAÑOL!K124), "", ESPAÑOL!K124)</f>
        <v/>
      </c>
      <c r="CS3" s="175" t="str">
        <f>IF(ISBLANK(ESPAÑOL!K125), "", ESPAÑOL!K125)</f>
        <v/>
      </c>
      <c r="CT3" s="175" t="str">
        <f>IF(ISBLANK(ESPAÑOL!K126), "", ESPAÑOL!K126)</f>
        <v/>
      </c>
      <c r="CU3" s="175" t="str">
        <f>IF(ISBLANK(ESPAÑOL!K127), "", ESPAÑOL!K127)</f>
        <v/>
      </c>
      <c r="CV3" s="175" t="str">
        <f>IF(ISBLANK(ESPAÑOL!K128), "", ESPAÑOL!K128)</f>
        <v/>
      </c>
      <c r="CW3" s="175" t="str">
        <f>IF(ISBLANK(ESPAÑOL!K129), "", ESPAÑOL!K129)</f>
        <v/>
      </c>
      <c r="CX3" s="175" t="str">
        <f>IF(ISBLANK(ESPAÑOL!K130), "", ESPAÑOL!K130)</f>
        <v/>
      </c>
      <c r="CY3" s="175" t="str">
        <f>IF(ISBLANK(ESPAÑOL!K132), "", ESPAÑOL!K132)</f>
        <v/>
      </c>
      <c r="CZ3" s="175" t="str">
        <f>IF(ISBLANK(ESPAÑOL!K133), "", ESPAÑOL!K133)</f>
        <v/>
      </c>
      <c r="DA3" s="175" t="str">
        <f>IF(ISBLANK(ESPAÑOL!K134), "", ESPAÑOL!K134)</f>
        <v/>
      </c>
      <c r="DB3" s="175" t="str">
        <f>IF(ISBLANK(ESPAÑOL!K135), "", ESPAÑOL!K135)</f>
        <v/>
      </c>
      <c r="DC3" s="172" t="str">
        <f>IF(ISBLANK(ESPAÑOL!O119), "", ESPAÑOL!O119)</f>
        <v/>
      </c>
      <c r="DD3" s="172" t="str">
        <f>IF(ISBLANK(ESPAÑOL!O120), "", ESPAÑOL!O120)</f>
        <v/>
      </c>
      <c r="DE3" s="172" t="str">
        <f>IF(ISBLANK(ESPAÑOL!O122), "", ESPAÑOL!O122)</f>
        <v/>
      </c>
      <c r="DF3" s="172" t="str">
        <f>IF(ISBLANK(ESPAÑOL!O123), "", ESPAÑOL!O123)</f>
        <v/>
      </c>
      <c r="DG3" s="172" t="str">
        <f>IF(ISBLANK(ESPAÑOL!O124), "", ESPAÑOL!O124)</f>
        <v/>
      </c>
      <c r="DH3" s="172" t="str">
        <f>IF(ISBLANK(ESPAÑOL!O125), "", ESPAÑOL!O125)</f>
        <v/>
      </c>
      <c r="DI3" s="172" t="str">
        <f>IF(ISBLANK(ESPAÑOL!O126), "", ESPAÑOL!O126)</f>
        <v/>
      </c>
      <c r="DJ3" s="172" t="str">
        <f>IF(ISBLANK(ESPAÑOL!O127), "", ESPAÑOL!O127)</f>
        <v/>
      </c>
      <c r="DK3" s="172" t="str">
        <f>IF(ISBLANK(ESPAÑOL!O128), "", ESPAÑOL!O128)</f>
        <v/>
      </c>
      <c r="DL3" s="172" t="str">
        <f>IF(ISBLANK(ESPAÑOL!O129), "", ESPAÑOL!O129)</f>
        <v/>
      </c>
      <c r="DM3" s="172" t="str">
        <f>IF(ISBLANK(ESPAÑOL!O130), "", ESPAÑOL!O130)</f>
        <v/>
      </c>
      <c r="DN3" s="172" t="str">
        <f>IF(ISBLANK(ESPAÑOL!O132), "", ESPAÑOL!O132)</f>
        <v/>
      </c>
      <c r="DO3" s="172" t="str">
        <f>IF(ISBLANK(ESPAÑOL!O133), "", ESPAÑOL!O133)</f>
        <v/>
      </c>
      <c r="DP3" s="172" t="str">
        <f>IF(ISBLANK(ESPAÑOL!O134), "", ESPAÑOL!O134)</f>
        <v/>
      </c>
      <c r="DQ3" s="172" t="str">
        <f>IF(ISBLANK(ESPAÑOL!O135), "", ESPAÑOL!O135)</f>
        <v/>
      </c>
      <c r="DR3" s="173" t="str">
        <f>IF(ISBLANK(ESPAÑOL!K138), "", ESPAÑOL!K138)</f>
        <v/>
      </c>
      <c r="DS3" s="180">
        <f>IF(ISBLANK(ESPAÑOL!K146), "", ESPAÑOL!K146)</f>
        <v>0</v>
      </c>
      <c r="DT3" s="172">
        <f>IF(ISBLANK(ESPAÑOL!K148), "", ESPAÑOL!K148)</f>
        <v>0</v>
      </c>
      <c r="DU3" s="175" t="str">
        <f>IF(ISBLANK(ESPAÑOL!K150), "", ESPAÑOL!K150)</f>
        <v/>
      </c>
      <c r="DV3" s="175" t="str">
        <f>IF(ISBLANK(ESPAÑOL!K151), "", ESPAÑOL!K151)</f>
        <v/>
      </c>
      <c r="DW3" s="175" t="str">
        <f>IF(ISBLANK(ESPAÑOL!K152), "", ESPAÑOL!K152)</f>
        <v/>
      </c>
      <c r="DX3" s="175" t="str">
        <f>IF(ISBLANK(ESPAÑOL!K153), "", ESPAÑOL!K153)</f>
        <v/>
      </c>
      <c r="DY3" s="175" t="str">
        <f>IF(ISBLANK(ESPAÑOL!K154), "", ESPAÑOL!K154)</f>
        <v/>
      </c>
      <c r="DZ3" s="175" t="str">
        <f>IF(ISBLANK(ESPAÑOL!K155), "", ESPAÑOL!K155)</f>
        <v/>
      </c>
      <c r="EA3" s="175" t="str">
        <f>IF(ISBLANK(ESPAÑOL!K156), "", ESPAÑOL!K156)</f>
        <v/>
      </c>
      <c r="EB3" s="175" t="str">
        <f>IF(ISBLANK(ESPAÑOL!K157), "", ESPAÑOL!K157)</f>
        <v/>
      </c>
      <c r="EC3" s="175" t="str">
        <f>IF(ISBLANK(ESPAÑOL!K158), "", ESPAÑOL!K158)</f>
        <v/>
      </c>
      <c r="ED3" s="175" t="str">
        <f>IF(ISBLANK(ESPAÑOL!K159), "", ESPAÑOL!K159)</f>
        <v/>
      </c>
      <c r="EE3" s="175" t="str">
        <f>IF(ISBLANK(ESPAÑOL!K160), "", ESPAÑOL!K160)</f>
        <v/>
      </c>
      <c r="EF3" s="175" t="str">
        <f>IF(ISBLANK(ESPAÑOL!K161), "", ESPAÑOL!K161)</f>
        <v/>
      </c>
      <c r="EG3" s="175" t="str">
        <f>IF(ISBLANK(ESPAÑOL!K162), "", ESPAÑOL!K162)</f>
        <v/>
      </c>
      <c r="EH3" s="175" t="str">
        <f>IF(ISBLANK(ESPAÑOL!K163), "", ESPAÑOL!K163)</f>
        <v/>
      </c>
      <c r="EI3" s="175" t="str">
        <f>IF(ISBLANK(ESPAÑOL!K164), "", ESPAÑOL!K164)</f>
        <v/>
      </c>
      <c r="EJ3" s="175" t="str">
        <f>IF(ISBLANK(ESPAÑOL!K165), "", ESPAÑOL!K165)</f>
        <v/>
      </c>
      <c r="EK3" s="175" t="str">
        <f>IF(ISBLANK(ESPAÑOL!K167), "", ESPAÑOL!K167)</f>
        <v/>
      </c>
      <c r="EL3" s="175" t="str">
        <f>IF(ISBLANK(ESPAÑOL!D167), "", ESPAÑOL!D167)</f>
        <v/>
      </c>
      <c r="EM3" s="172">
        <f>IF(ISBLANK(ESPAÑOL!K169), "", ESPAÑOL!K169)</f>
        <v>0</v>
      </c>
      <c r="EN3" s="175" t="str">
        <f>IF(ISBLANK(ESPAÑOL!K171), "", ESPAÑOL!K171)</f>
        <v/>
      </c>
      <c r="EO3" s="175" t="str">
        <f>IF(ISBLANK(ESPAÑOL!K172), "", ESPAÑOL!K172)</f>
        <v/>
      </c>
      <c r="EP3" s="175" t="str">
        <f>IF(ISBLANK(ESPAÑOL!K173), "", ESPAÑOL!K173)</f>
        <v/>
      </c>
      <c r="EQ3" s="175" t="str">
        <f>IF(ISBLANK(ESPAÑOL!K174), "", ESPAÑOL!K174)</f>
        <v/>
      </c>
      <c r="ER3" s="175" t="str">
        <f>IF(ISBLANK(ESPAÑOL!K175), "", ESPAÑOL!K175)</f>
        <v/>
      </c>
      <c r="ES3" s="175" t="str">
        <f>IF(ISBLANK(ESPAÑOL!K176), "", ESPAÑOL!K176)</f>
        <v/>
      </c>
      <c r="ET3" s="175" t="str">
        <f>IF(ISBLANK(ESPAÑOL!K177), "", ESPAÑOL!K177)</f>
        <v/>
      </c>
      <c r="EU3" s="175" t="str">
        <f>IF(ISBLANK(ESPAÑOL!K179), "", ESPAÑOL!K179)</f>
        <v/>
      </c>
      <c r="EV3" s="175" t="str">
        <f>IF(ISBLANK(ESPAÑOL!D179), "", ESPAÑOL!D179)</f>
        <v/>
      </c>
      <c r="EW3" s="172">
        <f>IF(ISBLANK(ESPAÑOL!K181), "", ESPAÑOL!K181)</f>
        <v>0</v>
      </c>
      <c r="EX3" s="175" t="str">
        <f>IF(ISBLANK(ESPAÑOL!K183), "", ESPAÑOL!K183)</f>
        <v/>
      </c>
      <c r="EY3" s="175" t="str">
        <f>IF(ISBLANK(ESPAÑOL!K184), "", ESPAÑOL!K184)</f>
        <v/>
      </c>
      <c r="EZ3" s="175" t="str">
        <f>IF(ISBLANK(ESPAÑOL!K185), "", ESPAÑOL!K185)</f>
        <v/>
      </c>
      <c r="FA3" s="175" t="str">
        <f>IF(ISBLANK(ESPAÑOL!K187), "", ESPAÑOL!K187)</f>
        <v/>
      </c>
      <c r="FB3" s="175" t="str">
        <f>IF(ISBLANK(ESPAÑOL!D187), "", ESPAÑOL!D187)</f>
        <v/>
      </c>
      <c r="FC3" s="175" t="str">
        <f>IF(ISBLANK(ESPAÑOL!D191), "", ESPAÑOL!D191)</f>
        <v/>
      </c>
      <c r="FD3" s="183">
        <f>IF(ISBLANK(ESPAÑOL!K199), "", ESPAÑOL!K199)</f>
        <v>0</v>
      </c>
      <c r="FE3" s="172" t="str">
        <f>IF(ISBLANK(ESPAÑOL!K201), "", ESPAÑOL!K201)</f>
        <v/>
      </c>
      <c r="FF3" s="172" t="str">
        <f>IF(ISBLANK(ESPAÑOL!K202), "", ESPAÑOL!K202)</f>
        <v/>
      </c>
      <c r="FG3" s="172" t="str">
        <f>IF(ISBLANK(ESPAÑOL!K203), "", ESPAÑOL!K203)</f>
        <v/>
      </c>
      <c r="FH3" s="172" t="str">
        <f>IF(ISBLANK(ESPAÑOL!K204), "", ESPAÑOL!K204)</f>
        <v/>
      </c>
      <c r="FI3" s="172" t="str">
        <f>IF(ISBLANK(ESPAÑOL!K205), "", ESPAÑOL!K205)</f>
        <v/>
      </c>
      <c r="FJ3" s="172" t="str">
        <f>IF(ISBLANK(ESPAÑOL!K206), "", ESPAÑOL!K206)</f>
        <v/>
      </c>
      <c r="FK3" s="172" t="str">
        <f>IF(ISBLANK(ESPAÑOL!K207), "", ESPAÑOL!K207)</f>
        <v/>
      </c>
      <c r="FL3" s="172" t="str">
        <f>IF(ISBLANK(ESPAÑOL!K208), "", ESPAÑOL!K208)</f>
        <v/>
      </c>
      <c r="FM3" s="172" t="str">
        <f>IF(ISBLANK(ESPAÑOL!K210), "", ESPAÑOL!K210)</f>
        <v/>
      </c>
      <c r="FN3" s="172" t="str">
        <f>IF(ISBLANK(ESPAÑOL!D210), "", ESPAÑOL!D210)</f>
        <v/>
      </c>
      <c r="FO3" s="172" t="str">
        <f>IF(ISBLANK(ESPAÑOL!D214), "", ESPAÑOL!D214)</f>
        <v/>
      </c>
      <c r="FP3" s="173">
        <f>IF(ISBLANK(ESPAÑOL!K222), "", ESPAÑOL!K222)</f>
        <v>0</v>
      </c>
      <c r="FQ3" s="173">
        <f>IF(ISBLANK(ESPAÑOL!K224), "", ESPAÑOL!K224)</f>
        <v>0</v>
      </c>
      <c r="FR3" s="173">
        <f>IF(ISBLANK(ESPAÑOL!K225), "", ESPAÑOL!K225)</f>
        <v>0</v>
      </c>
      <c r="FS3" s="173">
        <f>IF(ISBLANK(ESPAÑOL!K226), "", ESPAÑOL!K226)</f>
        <v>0</v>
      </c>
      <c r="FT3" s="173">
        <f>IF(ISBLANK(ESPAÑOL!K228), "", ESPAÑOL!K228)</f>
        <v>0</v>
      </c>
      <c r="FU3" s="173">
        <f>IF(ISBLANK(ESPAÑOL!K230), "", ESPAÑOL!K230)</f>
        <v>0</v>
      </c>
      <c r="FV3" s="173">
        <f>IF(ISBLANK(ESPAÑOL!K233), "", ESPAÑOL!K233)</f>
        <v>0</v>
      </c>
      <c r="FW3" s="173" t="str">
        <f>IF(ISBLANK(ESPAÑOL!K235), "", ESPAÑOL!K235)</f>
        <v/>
      </c>
      <c r="FX3" s="173" t="str">
        <f>IF(ISBLANK(ESPAÑOL!K236), "", ESPAÑOL!K236)</f>
        <v/>
      </c>
      <c r="FY3" s="173" t="str">
        <f>IF(ISBLANK(ESPAÑOL!K238), "", ESPAÑOL!K238)</f>
        <v/>
      </c>
      <c r="FZ3" s="173" t="str">
        <f>IF(ISBLANK(ESPAÑOL!D238), "", ESPAÑOL!D238)</f>
        <v/>
      </c>
      <c r="GA3" s="173" t="str">
        <f>IF(ISBLANK(ESPAÑOL!K240), "", ESPAÑOL!K240)</f>
        <v/>
      </c>
      <c r="GB3" s="173">
        <f>IF(ISBLANK(ESPAÑOL!K242), "", ESPAÑOL!K242)</f>
        <v>0</v>
      </c>
      <c r="GC3" s="173" t="str">
        <f>IF(ISBLANK(ESPAÑOL!D247), "", ESPAÑOL!D247)</f>
        <v/>
      </c>
      <c r="GD3" s="175">
        <f>IF(ISBLANK(ESPAÑOL!K255), "", ESPAÑOL!K255)</f>
        <v>0</v>
      </c>
      <c r="GE3" s="175">
        <f>IF(ISBLANK(ESPAÑOL!K257), "", ESPAÑOL!K257)</f>
        <v>0</v>
      </c>
      <c r="GF3" s="175" t="str">
        <f>IF(ISBLANK(ESPAÑOL!K258), "", ESPAÑOL!K258)</f>
        <v/>
      </c>
      <c r="GG3" s="175" t="str">
        <f>IF(ISBLANK(ESPAÑOL!K259), "", ESPAÑOL!K259)</f>
        <v/>
      </c>
      <c r="GH3" s="175">
        <f>IF(ISBLANK(ESPAÑOL!K261), "", ESPAÑOL!K261)</f>
        <v>0</v>
      </c>
      <c r="GI3" s="175" t="str">
        <f>IF(ISBLANK(ESPAÑOL!K262), "", ESPAÑOL!K262)</f>
        <v/>
      </c>
      <c r="GJ3" s="175" t="str">
        <f>IF(ISBLANK(ESPAÑOL!K264),"", ESPAÑOL!K264)</f>
        <v/>
      </c>
      <c r="GK3" s="175">
        <f>IF(ISBLANK(ESPAÑOL!K266), "", ESPAÑOL!K266)</f>
        <v>0</v>
      </c>
      <c r="GL3" s="175" t="str">
        <f>IF(ISBLANK(ESPAÑOL!K267), "", ESPAÑOL!K267)</f>
        <v/>
      </c>
      <c r="GM3" s="175" t="str">
        <f>IF(ISBLANK(ESPAÑOL!K268), "", ESPAÑOL!K268)</f>
        <v/>
      </c>
      <c r="GN3" s="175">
        <f>IF(ISBLANK(ESPAÑOL!K270), "", ESPAÑOL!K270)</f>
        <v>0</v>
      </c>
      <c r="GO3" s="175" t="str">
        <f>IF(ISBLANK(ESPAÑOL!K263), "", ESPAÑOL!K263)</f>
        <v/>
      </c>
      <c r="GP3" s="172" t="str">
        <f>IF(ISBLANK(ESPAÑOL!K276), "", ESPAÑOL!K276)</f>
        <v/>
      </c>
      <c r="GQ3" s="172" t="str">
        <f>IF(ISBLANK(ESPAÑOL!K279), "", ESPAÑOL!K279)</f>
        <v/>
      </c>
      <c r="GR3" s="172" t="str">
        <f>IF(ISBLANK(ESPAÑOL!M279), "", ESPAÑOL!M279)</f>
        <v/>
      </c>
      <c r="GS3" s="172" t="str">
        <f>IF(ISBLANK(ESPAÑOL!O279), "", ESPAÑOL!O279)</f>
        <v/>
      </c>
      <c r="GT3" s="172" t="str">
        <f>IF(ISBLANK(ESPAÑOL!Q279), "", ESPAÑOL!Q279)</f>
        <v/>
      </c>
      <c r="GU3" s="175">
        <f>IF(ISBLANK(ESPAÑOL!K285), "", ESPAÑOL!K285)</f>
        <v>0</v>
      </c>
      <c r="GV3" s="175" t="str">
        <f>IF(ISBLANK(ESPAÑOL!K287),"",ESPAÑOL!K287)</f>
        <v/>
      </c>
      <c r="GW3" s="175" t="str">
        <f>IF(ISBLANK(ESPAÑOL!K288),"",ESPAÑOL!K288)</f>
        <v/>
      </c>
      <c r="GX3" s="175" t="str">
        <f>IF(ISBLANK(ESPAÑOL!K289),"",ESPAÑOL!K289)</f>
        <v/>
      </c>
      <c r="GY3" s="175" t="str">
        <f>IF(ISBLANK(ESPAÑOL!K290),"",ESPAÑOL!K290)</f>
        <v/>
      </c>
      <c r="GZ3" s="175" t="str">
        <f>IF(ISBLANK(ESPAÑOL!K291),"",ESPAÑOL!K291)</f>
        <v/>
      </c>
      <c r="HA3" s="175" t="str">
        <f>IF(ISBLANK(ESPAÑOL!K293),"",ESPAÑOL!K293)</f>
        <v/>
      </c>
      <c r="HB3" s="175" t="str">
        <f>IF(ISBLANK(ESPAÑOL!D293), "", ESPAÑOL!D293)</f>
        <v/>
      </c>
      <c r="HC3" s="172" t="str">
        <f>IF(ISBLANK(ESPAÑOL!K299), "", ESPAÑOL!K299)</f>
        <v/>
      </c>
      <c r="HD3" s="172" t="str">
        <f>IF(ISBLANK(ESPAÑOL!K300), "", ESPAÑOL!K300)</f>
        <v/>
      </c>
      <c r="HE3" s="175">
        <f>IF(ISBLANK(ESPAÑOL!K306), "", ESPAÑOL!K306)</f>
        <v>0</v>
      </c>
      <c r="HF3" s="175" t="str">
        <f>IF(ISBLANK(ESPAÑOL!K308), "", ESPAÑOL!K308)</f>
        <v/>
      </c>
      <c r="HG3" s="175" t="str">
        <f>IF(ISBLANK(ESPAÑOL!K309), "", ESPAÑOL!K309)</f>
        <v/>
      </c>
      <c r="HH3" s="175" t="str">
        <f>IF(ISBLANK(ESPAÑOL!K310), "", ESPAÑOL!K31)</f>
        <v/>
      </c>
      <c r="HI3" s="175" t="str">
        <f>IF(ISBLANK(ESPAÑOL!K312), "", ESPAÑOL!K312)</f>
        <v/>
      </c>
      <c r="HJ3" s="175" t="str">
        <f>IF(ISBLANK(ESPAÑOL!D312), "", ESPAÑOL!D312)</f>
        <v/>
      </c>
      <c r="HK3" s="175" t="str">
        <f>IF(ISBLANK(ESPAÑOL!D316), "", ESPAÑOL!D316)</f>
        <v/>
      </c>
      <c r="HL3" s="172" t="str">
        <f>IF(ISBLANK(ESPAÑOL!K324), "", ESPAÑOL!K324)</f>
        <v/>
      </c>
      <c r="HM3" s="172" t="str">
        <f>IF(ISBLANK(ESPAÑOL!K325), "", ESPAÑOL!K325)</f>
        <v/>
      </c>
      <c r="HN3" s="176"/>
      <c r="HO3" s="176"/>
      <c r="HP3" s="176"/>
      <c r="HQ3" s="180">
        <f>IF(ISBLANK(ESPAÑOL!O146), "", ESPAÑOL!O146)</f>
        <v>0</v>
      </c>
      <c r="HR3" s="172">
        <f>IF(ISBLANK(ESPAÑOL!O148), "", ESPAÑOL!O148)</f>
        <v>0</v>
      </c>
      <c r="HS3" s="175" t="str">
        <f>IF(ISBLANK(ESPAÑOL!O150), "", ESPAÑOL!O150)</f>
        <v/>
      </c>
      <c r="HT3" s="175" t="str">
        <f>IF(ISBLANK(ESPAÑOL!O151), "", ESPAÑOL!O151)</f>
        <v/>
      </c>
      <c r="HU3" s="175" t="str">
        <f>IF(ISBLANK(ESPAÑOL!O152), "", ESPAÑOL!O152)</f>
        <v/>
      </c>
      <c r="HV3" s="175" t="str">
        <f>IF(ISBLANK(ESPAÑOL!O153), "", ESPAÑOL!O153)</f>
        <v/>
      </c>
      <c r="HW3" s="175" t="str">
        <f>IF(ISBLANK(ESPAÑOL!O154), "", ESPAÑOL!O154)</f>
        <v/>
      </c>
      <c r="HX3" s="175" t="str">
        <f>IF(ISBLANK(ESPAÑOL!O155), "", ESPAÑOL!O155)</f>
        <v/>
      </c>
      <c r="HY3" s="175" t="str">
        <f>IF(ISBLANK(ESPAÑOL!O156), "", ESPAÑOL!O156)</f>
        <v/>
      </c>
      <c r="HZ3" s="175" t="str">
        <f>IF(ISBLANK(ESPAÑOL!O157), "", ESPAÑOL!O157)</f>
        <v/>
      </c>
      <c r="IA3" s="175" t="str">
        <f>IF(ISBLANK(ESPAÑOL!O158), "", ESPAÑOL!O158)</f>
        <v/>
      </c>
      <c r="IB3" s="175" t="str">
        <f>IF(ISBLANK(ESPAÑOL!O159), "", ESPAÑOL!O159)</f>
        <v/>
      </c>
      <c r="IC3" s="175" t="str">
        <f>IF(ISBLANK(ESPAÑOL!O160), "", ESPAÑOL!O160)</f>
        <v/>
      </c>
      <c r="ID3" s="175" t="str">
        <f>IF(ISBLANK(ESPAÑOL!O161), "", ESPAÑOL!O161)</f>
        <v/>
      </c>
      <c r="IE3" s="175" t="str">
        <f>IF(ISBLANK(ESPAÑOL!O162), "", ESPAÑOL!O162)</f>
        <v/>
      </c>
      <c r="IF3" s="175" t="str">
        <f>IF(ISBLANK(ESPAÑOL!O163), "", ESPAÑOL!O163)</f>
        <v/>
      </c>
      <c r="IG3" s="175" t="str">
        <f>IF(ISBLANK(ESPAÑOL!O164), "", ESPAÑOL!O164)</f>
        <v/>
      </c>
      <c r="IH3" s="175" t="str">
        <f>IF(ISBLANK(ESPAÑOL!O165), "", ESPAÑOL!O165)</f>
        <v/>
      </c>
      <c r="II3" s="175" t="str">
        <f>IF(ISBLANK(ESPAÑOL!O167), "", ESPAÑOL!O167)</f>
        <v/>
      </c>
      <c r="IJ3" s="175" t="str">
        <f>IF(ISBLANK(ESPAÑOL!D167), "", ESPAÑOL!D167)</f>
        <v/>
      </c>
      <c r="IK3" s="172">
        <f>IF(ISBLANK(ESPAÑOL!O169), "", ESPAÑOL!O169)</f>
        <v>0</v>
      </c>
      <c r="IL3" s="175" t="str">
        <f>IF(ISBLANK(ESPAÑOL!O171), "", ESPAÑOL!O171)</f>
        <v/>
      </c>
      <c r="IM3" s="175" t="str">
        <f>IF(ISBLANK(ESPAÑOL!O172), "", ESPAÑOL!O172)</f>
        <v/>
      </c>
      <c r="IN3" s="175" t="str">
        <f>IF(ISBLANK(ESPAÑOL!O173), "", ESPAÑOL!O173)</f>
        <v/>
      </c>
      <c r="IO3" s="175" t="str">
        <f>IF(ISBLANK(ESPAÑOL!O174), "", ESPAÑOL!O174)</f>
        <v/>
      </c>
      <c r="IP3" s="175" t="str">
        <f>IF(ISBLANK(ESPAÑOL!O175), "", ESPAÑOL!O175)</f>
        <v/>
      </c>
      <c r="IQ3" s="175" t="str">
        <f>IF(ISBLANK(ESPAÑOL!O176), "", ESPAÑOL!O176)</f>
        <v/>
      </c>
      <c r="IR3" s="175" t="str">
        <f>IF(ISBLANK(ESPAÑOL!O177), "", ESPAÑOL!O177)</f>
        <v/>
      </c>
      <c r="IS3" s="175" t="str">
        <f>IF(ISBLANK(ESPAÑOL!O179), "", ESPAÑOL!O179)</f>
        <v/>
      </c>
      <c r="IT3" s="175" t="str">
        <f>IF(ISBLANK(ESPAÑOL!D179), "", ESPAÑOL!D179)</f>
        <v/>
      </c>
      <c r="IU3" s="172">
        <f>IF(ISBLANK(ESPAÑOL!O181), "", ESPAÑOL!O181)</f>
        <v>0</v>
      </c>
      <c r="IV3" s="175" t="str">
        <f>IF(ISBLANK(ESPAÑOL!O183), "", ESPAÑOL!O183)</f>
        <v/>
      </c>
      <c r="IW3" s="175" t="str">
        <f>IF(ISBLANK(ESPAÑOL!O184), "", ESPAÑOL!O184)</f>
        <v/>
      </c>
      <c r="IX3" s="175" t="str">
        <f>IF(ISBLANK(ESPAÑOL!O185), "", ESPAÑOL!O185)</f>
        <v/>
      </c>
      <c r="IY3" s="175" t="str">
        <f>IF(ISBLANK(ESPAÑOL!O187), "", ESPAÑOL!O187)</f>
        <v/>
      </c>
      <c r="IZ3" s="175" t="str">
        <f>IF(ISBLANK(ESPAÑOL!DB187), "", ESPAÑOL!DB187)</f>
        <v/>
      </c>
      <c r="JA3" s="175" t="str">
        <f>IF(ISBLANK(ESPAÑOL!D191), "", ESPAÑOL!D191)</f>
        <v/>
      </c>
      <c r="JB3" s="183">
        <f>IF(ISBLANK(ESPAÑOL!O199), "", ESPAÑOL!O199)</f>
        <v>0</v>
      </c>
      <c r="JC3" s="172" t="str">
        <f>IF(ISBLANK(ESPAÑOL!O201), "", ESPAÑOL!O201)</f>
        <v/>
      </c>
      <c r="JD3" s="172" t="str">
        <f>IF(ISBLANK(ESPAÑOL!O202), "", ESPAÑOL!O202)</f>
        <v/>
      </c>
      <c r="JE3" s="172" t="str">
        <f>IF(ISBLANK(ESPAÑOL!O203), "", ESPAÑOL!O203)</f>
        <v/>
      </c>
      <c r="JF3" s="172" t="str">
        <f>IF(ISBLANK(ESPAÑOL!O204), "", ESPAÑOL!O204)</f>
        <v/>
      </c>
      <c r="JG3" s="172" t="str">
        <f>IF(ISBLANK(ESPAÑOL!O205), "", ESPAÑOL!O205)</f>
        <v/>
      </c>
      <c r="JH3" s="172" t="str">
        <f>IF(ISBLANK(ESPAÑOL!O206), "", ESPAÑOL!O206)</f>
        <v/>
      </c>
      <c r="JI3" s="172" t="str">
        <f>IF(ISBLANK(ESPAÑOL!O207), "", ESPAÑOL!O207)</f>
        <v/>
      </c>
      <c r="JJ3" s="172" t="str">
        <f>IF(ISBLANK(ESPAÑOL!O208), "", ESPAÑOL!O208)</f>
        <v/>
      </c>
      <c r="JK3" s="172" t="str">
        <f>IF(ISBLANK(ESPAÑOL!O210), "", ESPAÑOL!O210)</f>
        <v/>
      </c>
      <c r="JL3" s="172" t="str">
        <f>IF(ISBLANK(ESPAÑOL!D210), "", ESPAÑOL!D210)</f>
        <v/>
      </c>
      <c r="JM3" s="172" t="str">
        <f>IF(ISBLANK(ESPAÑOL!D214), "", ESPAÑOL!D214)</f>
        <v/>
      </c>
      <c r="JN3" s="173">
        <f>IF(ISBLANK(ESPAÑOL!O222), "", ESPAÑOL!O222)</f>
        <v>0</v>
      </c>
      <c r="JO3" s="173">
        <f>IF(ISBLANK(ESPAÑOL!O224), "", ESPAÑOL!O224)</f>
        <v>0</v>
      </c>
      <c r="JP3" s="173">
        <f>IF(ISBLANK(ESPAÑOL!O225), "", ESPAÑOL!O225)</f>
        <v>0</v>
      </c>
      <c r="JQ3" s="173">
        <f>IF(ISBLANK(ESPAÑOL!O226), "", ESPAÑOL!O226)</f>
        <v>0</v>
      </c>
      <c r="JR3" s="173">
        <f>IF(ISBLANK(ESPAÑOL!O228), "", ESPAÑOL!O228)</f>
        <v>0</v>
      </c>
      <c r="JS3" s="173">
        <f>IF(ISBLANK(ESPAÑOL!O230), "", ESPAÑOL!O230)</f>
        <v>0</v>
      </c>
      <c r="JT3" s="173">
        <f>IF(ISBLANK(ESPAÑOL!O233), "", ESPAÑOL!O233)</f>
        <v>0</v>
      </c>
      <c r="JU3" s="173" t="str">
        <f>IF(ISBLANK(ESPAÑOL!O235), "", ESPAÑOL!O235)</f>
        <v/>
      </c>
      <c r="JV3" s="173" t="str">
        <f>IF(ISBLANK(ESPAÑOL!O236), "", ESPAÑOL!O236)</f>
        <v/>
      </c>
      <c r="JW3" s="173" t="str">
        <f>IF(ISBLANK(ESPAÑOL!O238), "", ESPAÑOL!O238)</f>
        <v/>
      </c>
      <c r="JX3" s="173" t="str">
        <f>IF(ISBLANK(ESPAÑOL!D238), "", ESPAÑOL!D238)</f>
        <v/>
      </c>
      <c r="JY3" s="173" t="str">
        <f>IF(ISBLANK(ESPAÑOL!O240), "", ESPAÑOL!O240)</f>
        <v/>
      </c>
      <c r="JZ3" s="173">
        <f>IF(ISBLANK(ESPAÑOL!O242), "", ESPAÑOL!O242)</f>
        <v>0</v>
      </c>
      <c r="KA3" s="173" t="str">
        <f>IF(ISBLANK(ESPAÑOL!D247), "", ESPAÑOL!D247)</f>
        <v/>
      </c>
      <c r="KB3" s="175">
        <f>IF(ISBLANK(ESPAÑOL!O255), "", ESPAÑOL!O255)</f>
        <v>0</v>
      </c>
      <c r="KC3" s="175">
        <f>IF(ISBLANK(ESPAÑOL!O257), "", ESPAÑOL!O257)</f>
        <v>0</v>
      </c>
      <c r="KD3" s="175" t="str">
        <f>IF(ISBLANK(ESPAÑOL!O258), "", ESPAÑOL!O258)</f>
        <v/>
      </c>
      <c r="KE3" s="175" t="str">
        <f>IF(ISBLANK(ESPAÑOL!O259), "", ESPAÑOL!O259)</f>
        <v/>
      </c>
      <c r="KF3" s="175">
        <f>IF(ISBLANK(ESPAÑOL!O261), "", ESPAÑOL!O261)</f>
        <v>0</v>
      </c>
      <c r="KG3" s="175" t="str">
        <f>IF(ISBLANK(ESPAÑOL!O262), "", ESPAÑOL!O262)</f>
        <v/>
      </c>
      <c r="KH3" s="175" t="str">
        <f>IF(ISBLANK(ESPAÑOL!O264),"", ESPAÑOL!O264)</f>
        <v/>
      </c>
      <c r="KI3" s="175">
        <f>IF(ISBLANK(ESPAÑOL!O266), "", ESPAÑOL!O266)</f>
        <v>0</v>
      </c>
      <c r="KJ3" s="175" t="str">
        <f>IF(ISBLANK(ESPAÑOL!O267), "", ESPAÑOL!O267)</f>
        <v/>
      </c>
      <c r="KK3" s="175" t="str">
        <f>IF(ISBLANK(ESPAÑOL!O268), "", ESPAÑOL!O268)</f>
        <v/>
      </c>
      <c r="KL3" s="175">
        <f>IF(ISBLANK(ESPAÑOL!O270), "", ESPAÑOL!O270)</f>
        <v>0</v>
      </c>
      <c r="KM3" s="175" t="str">
        <f>IF(ISBLANK(ESPAÑOL!O263), "", ESPAÑOL!O263)</f>
        <v/>
      </c>
      <c r="KN3" s="172" t="str">
        <f>IF(ISBLANK(ESPAÑOL!O276), "", ESPAÑOL!O276)</f>
        <v/>
      </c>
      <c r="KO3" s="175">
        <f>IF(ISBLANK(ESPAÑOL!O285), "", ESPAÑOL!O285)</f>
        <v>0</v>
      </c>
      <c r="KP3" s="175" t="str">
        <f>IF(ISBLANK(ESPAÑOL!O287),"",ESPAÑOL!O287)</f>
        <v/>
      </c>
      <c r="KQ3" s="175" t="str">
        <f>IF(ISBLANK(ESPAÑOL!O288),"",ESPAÑOL!O288)</f>
        <v/>
      </c>
      <c r="KR3" s="175" t="str">
        <f>IF(ISBLANK(ESPAÑOL!O289),"",ESPAÑOL!O289)</f>
        <v/>
      </c>
      <c r="KS3" s="175" t="str">
        <f>IF(ISBLANK(ESPAÑOL!O290),"",ESPAÑOL!O290)</f>
        <v/>
      </c>
      <c r="KT3" s="175" t="str">
        <f>IF(ISBLANK(ESPAÑOL!O291),"",ESPAÑOL!O291)</f>
        <v/>
      </c>
      <c r="KU3" s="175" t="str">
        <f>IF(ISBLANK(ESPAÑOL!O293),"",ESPAÑOL!O293)</f>
        <v/>
      </c>
      <c r="KV3" s="175" t="str">
        <f>IF(ISBLANK(ESPAÑOL!D293), "", ESPAÑOL!D293)</f>
        <v/>
      </c>
      <c r="KW3" s="172" t="str">
        <f>IF(ISBLANK(ESPAÑOL!O299), "", ESPAÑOL!O299)</f>
        <v/>
      </c>
      <c r="KX3" s="172" t="str">
        <f>IF(ISBLANK(ESPAÑOL!O300), "", ESPAÑOL!O300)</f>
        <v/>
      </c>
      <c r="KY3" s="175">
        <f>IF(ISBLANK(ESPAÑOL!O306), "", ESPAÑOL!O306)</f>
        <v>0</v>
      </c>
      <c r="KZ3" s="175" t="str">
        <f>IF(ISBLANK(ESPAÑOL!O308), "", ESPAÑOL!O308)</f>
        <v/>
      </c>
      <c r="LA3" s="175" t="str">
        <f>IF(ISBLANK(ESPAÑOL!O309), "", ESPAÑOL!O309)</f>
        <v/>
      </c>
      <c r="LB3" s="175" t="str">
        <f>IF(ISBLANK(ESPAÑOL!O310), "", ESPAÑOL!O31)</f>
        <v/>
      </c>
      <c r="LC3" s="175" t="str">
        <f>IF(ISBLANK(ESPAÑOL!O312), "", ESPAÑOL!O312)</f>
        <v/>
      </c>
      <c r="LD3" s="175" t="str">
        <f>IF(ISBLANK(ESPAÑOL!D312), "", ESPAÑOL!D312)</f>
        <v/>
      </c>
      <c r="LE3" s="175" t="str">
        <f>IF(ISBLANK(ESPAÑOL!D316), "", ESPAÑOL!D316)</f>
        <v/>
      </c>
      <c r="LF3" s="172" t="str">
        <f>IF(ISBLANK(ESPAÑOL!O324), "", ESPAÑOL!O324)</f>
        <v/>
      </c>
      <c r="LG3" s="172" t="str">
        <f>IF(ISBLANK(ESPAÑOL!DE325), "", ESPAÑOL!DE325)</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Cover letter</vt:lpstr>
      <vt:lpstr>ENGLISH</vt:lpstr>
      <vt:lpstr>FRANÇAIS</vt:lpstr>
      <vt:lpstr>ESPAÑOL</vt:lpstr>
      <vt:lpstr>glossary</vt:lpstr>
      <vt:lpstr>for internal use</vt:lpstr>
      <vt:lpstr>for internal use (FRENCH)</vt:lpstr>
      <vt:lpstr>for internal use (SPANISH)</vt:lpstr>
      <vt:lpstr>ENGLISH!Print_Area</vt:lpstr>
      <vt:lpstr>ESPAÑOL!Print_Area</vt:lpstr>
      <vt:lpstr>FRANÇAIS!Print_Area</vt:lpstr>
      <vt:lpstr>glossary!Print_Area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2013-07-18T13:54:47Z</dcterms:modified>
</cp:coreProperties>
</file>