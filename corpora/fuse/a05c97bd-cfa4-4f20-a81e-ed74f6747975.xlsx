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11820"/>
  </bookViews>
  <sheets>
    <sheet name="Auto vd zaak" sheetId="1" r:id="rId1"/>
  </sheets>
  <calcPr calcId="144525"/>
</workbook>
</file>

<file path=xl/calcChain.xml><?xml version="1.0" encoding="utf-8"?>
<calcChain xmlns="http://schemas.openxmlformats.org/spreadsheetml/2006/main">
  <c r="L6" i="1" l="1"/>
  <c r="L7" i="1"/>
  <c r="J8" i="1"/>
  <c r="J9" i="1"/>
  <c r="L27" i="1"/>
  <c r="L29" i="1"/>
  <c r="C19" i="1"/>
  <c r="L25" i="1"/>
  <c r="L26" i="1" s="1"/>
  <c r="G28" i="1" l="1"/>
  <c r="H4" i="1" l="1"/>
  <c r="L4" i="1" s="1"/>
  <c r="H9" i="1"/>
  <c r="L28" i="1"/>
  <c r="G23" i="1"/>
  <c r="C21" i="1"/>
  <c r="C20" i="1"/>
  <c r="L31" i="1" l="1"/>
  <c r="H5" i="1"/>
  <c r="H6" i="1"/>
  <c r="H7" i="1"/>
  <c r="H8" i="1"/>
  <c r="C18" i="1"/>
  <c r="J5" i="1" l="1"/>
  <c r="L5" i="1"/>
  <c r="H11" i="1"/>
  <c r="L35" i="1"/>
  <c r="M35" i="1" s="1"/>
  <c r="M31" i="1"/>
  <c r="L9" i="1"/>
  <c r="L8" i="1"/>
  <c r="C23" i="1"/>
  <c r="L11" i="1" l="1"/>
  <c r="L13" i="1" s="1"/>
  <c r="L14" i="1" s="1"/>
  <c r="C29" i="1" s="1"/>
  <c r="C27" i="1"/>
  <c r="G27" i="1"/>
  <c r="J11" i="1"/>
  <c r="G29" i="1" s="1"/>
  <c r="G31" i="1" l="1"/>
  <c r="H31" i="1" s="1"/>
  <c r="J13" i="1"/>
  <c r="J14" i="1" s="1"/>
  <c r="C28" i="1" s="1"/>
  <c r="C31" i="1" s="1"/>
  <c r="C35" i="1" s="1"/>
  <c r="G35" i="1" l="1"/>
  <c r="H35" i="1" s="1"/>
  <c r="D35" i="1"/>
  <c r="C36" i="1"/>
  <c r="D36" i="1" s="1"/>
  <c r="D31" i="1"/>
</calcChain>
</file>

<file path=xl/sharedStrings.xml><?xml version="1.0" encoding="utf-8"?>
<sst xmlns="http://schemas.openxmlformats.org/spreadsheetml/2006/main" count="71" uniqueCount="48">
  <si>
    <t>Aftrek BTW</t>
  </si>
  <si>
    <t>Periodieke kosten</t>
  </si>
  <si>
    <t>75% van btw</t>
  </si>
  <si>
    <t>Aftrek BTW aanschaf</t>
  </si>
  <si>
    <t>Aanschaf</t>
  </si>
  <si>
    <t>Privé</t>
  </si>
  <si>
    <t>eenmalig</t>
  </si>
  <si>
    <t>Zaak</t>
  </si>
  <si>
    <t>Aftrekpost</t>
  </si>
  <si>
    <t>Jaren</t>
  </si>
  <si>
    <t>Bijtelling</t>
  </si>
  <si>
    <t>Belastingtarief</t>
  </si>
  <si>
    <t>Verzekering</t>
  </si>
  <si>
    <t>Totaal</t>
  </si>
  <si>
    <t>Onderhoud</t>
  </si>
  <si>
    <t>Benzineprijs</t>
  </si>
  <si>
    <t>Overig</t>
  </si>
  <si>
    <t>Zakelijke KM</t>
  </si>
  <si>
    <t>Prive KM</t>
  </si>
  <si>
    <t>Wegenbelasting</t>
  </si>
  <si>
    <t>BTW</t>
  </si>
  <si>
    <t>Afschrijving</t>
  </si>
  <si>
    <t>Verbruik</t>
  </si>
  <si>
    <t>Benzine</t>
  </si>
  <si>
    <t>Netto</t>
  </si>
  <si>
    <t>Jaarlijkse kosten</t>
  </si>
  <si>
    <t>Milieuaftrek</t>
  </si>
  <si>
    <t>Investeringsaftrek</t>
  </si>
  <si>
    <t>p/maand</t>
  </si>
  <si>
    <t>p/jaar</t>
  </si>
  <si>
    <t>KMvergoeding</t>
  </si>
  <si>
    <t>Kosten over 5 jaar</t>
  </si>
  <si>
    <t>totaal</t>
  </si>
  <si>
    <t>Leasekosten</t>
  </si>
  <si>
    <t>Leasebedrag</t>
  </si>
  <si>
    <t>Aanschaf:</t>
  </si>
  <si>
    <t>Periodiek:</t>
  </si>
  <si>
    <t>Overige kosten</t>
  </si>
  <si>
    <t>Restwaarde</t>
  </si>
  <si>
    <t>na verkoop</t>
  </si>
  <si>
    <t>belast verkopen</t>
  </si>
  <si>
    <t>onbelast (inruil)</t>
  </si>
  <si>
    <t>Aftrek winst</t>
  </si>
  <si>
    <t>Cataloguswaarde</t>
  </si>
  <si>
    <t>Zakelijk leasen</t>
  </si>
  <si>
    <t>Aanschafprijs</t>
  </si>
  <si>
    <t>.. waarvan BPM</t>
  </si>
  <si>
    <t>Bijtelling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</si>
</sst>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€&quot;\ #,##0.00"/>
    <numFmt numFmtId="165" formatCode="&quot;€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 style="thin">
        <color rgb="FF3F3F3F"/>
      </right>
      <top/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8" fillId="9" borderId="0" applyNumberFormat="0" applyBorder="0" applyAlignment="0" applyProtection="0"/>
  </cellStyleXfs>
  <cellXfs count="53">
    <xf numFmtId="0" fontId="0" fillId="0" borderId="0" xfId="0"/>
    <xf numFmtId="0" fontId="3" fillId="0" borderId="0" xfId="2" applyFill="1"/>
    <xf numFmtId="0" fontId="1" fillId="6" borderId="1" xfId="5" applyBorder="1"/>
    <xf numFmtId="164" fontId="1" fillId="6" borderId="1" xfId="5" applyNumberFormat="1" applyBorder="1"/>
    <xf numFmtId="0" fontId="1" fillId="7" borderId="1" xfId="6" applyBorder="1"/>
    <xf numFmtId="0" fontId="1" fillId="7" borderId="1" xfId="6" applyNumberFormat="1" applyBorder="1"/>
    <xf numFmtId="0" fontId="4" fillId="4" borderId="1" xfId="3"/>
    <xf numFmtId="0" fontId="6" fillId="0" borderId="3" xfId="0" applyFont="1" applyBorder="1"/>
    <xf numFmtId="0" fontId="0" fillId="0" borderId="4" xfId="0" applyBorder="1"/>
    <xf numFmtId="0" fontId="6" fillId="0" borderId="4" xfId="0" applyFont="1" applyBorder="1"/>
    <xf numFmtId="0" fontId="6" fillId="0" borderId="5" xfId="0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164" fontId="3" fillId="3" borderId="0" xfId="2" applyNumberFormat="1" applyBorder="1"/>
    <xf numFmtId="164" fontId="2" fillId="2" borderId="0" xfId="1" applyNumberFormat="1" applyBorder="1"/>
    <xf numFmtId="0" fontId="3" fillId="0" borderId="0" xfId="2" applyFill="1" applyBorder="1"/>
    <xf numFmtId="0" fontId="6" fillId="0" borderId="6" xfId="0" applyFont="1" applyBorder="1"/>
    <xf numFmtId="164" fontId="0" fillId="0" borderId="0" xfId="0" applyNumberFormat="1" applyBorder="1"/>
    <xf numFmtId="164" fontId="0" fillId="0" borderId="7" xfId="0" applyNumberFormat="1" applyBorder="1"/>
    <xf numFmtId="164" fontId="3" fillId="3" borderId="7" xfId="2" applyNumberFormat="1" applyBorder="1"/>
    <xf numFmtId="0" fontId="6" fillId="0" borderId="8" xfId="0" applyFont="1" applyBorder="1"/>
    <xf numFmtId="0" fontId="0" fillId="0" borderId="9" xfId="0" applyBorder="1"/>
    <xf numFmtId="164" fontId="2" fillId="2" borderId="9" xfId="1" applyNumberFormat="1" applyBorder="1"/>
    <xf numFmtId="9" fontId="0" fillId="0" borderId="9" xfId="0" quotePrefix="1" applyNumberFormat="1" applyBorder="1"/>
    <xf numFmtId="164" fontId="2" fillId="2" borderId="10" xfId="1" applyNumberFormat="1" applyBorder="1"/>
    <xf numFmtId="164" fontId="7" fillId="0" borderId="4" xfId="0" applyNumberFormat="1" applyFont="1" applyBorder="1"/>
    <xf numFmtId="0" fontId="0" fillId="0" borderId="5" xfId="0" applyBorder="1"/>
    <xf numFmtId="0" fontId="0" fillId="0" borderId="6" xfId="0" quotePrefix="1" applyBorder="1"/>
    <xf numFmtId="0" fontId="0" fillId="0" borderId="8" xfId="0" applyBorder="1"/>
    <xf numFmtId="9" fontId="4" fillId="4" borderId="1" xfId="3" applyNumberFormat="1"/>
    <xf numFmtId="165" fontId="4" fillId="4" borderId="1" xfId="3" applyNumberFormat="1"/>
    <xf numFmtId="165" fontId="1" fillId="6" borderId="1" xfId="5" applyNumberFormat="1" applyBorder="1"/>
    <xf numFmtId="0" fontId="7" fillId="0" borderId="4" xfId="0" applyFont="1" applyBorder="1"/>
    <xf numFmtId="164" fontId="0" fillId="0" borderId="6" xfId="0" applyNumberFormat="1" applyBorder="1"/>
    <xf numFmtId="0" fontId="1" fillId="8" borderId="6" xfId="7" applyBorder="1"/>
    <xf numFmtId="164" fontId="1" fillId="8" borderId="1" xfId="7" applyNumberFormat="1" applyBorder="1"/>
    <xf numFmtId="0" fontId="7" fillId="0" borderId="6" xfId="0" applyFont="1" applyBorder="1"/>
    <xf numFmtId="9" fontId="1" fillId="6" borderId="1" xfId="5" applyNumberFormat="1" applyBorder="1"/>
    <xf numFmtId="0" fontId="7" fillId="0" borderId="8" xfId="0" applyFont="1" applyBorder="1"/>
    <xf numFmtId="0" fontId="1" fillId="7" borderId="1" xfId="6" applyFont="1" applyBorder="1"/>
    <xf numFmtId="164" fontId="5" fillId="5" borderId="0" xfId="4" applyNumberFormat="1" applyBorder="1"/>
    <xf numFmtId="164" fontId="5" fillId="5" borderId="7" xfId="4" applyNumberFormat="1" applyBorder="1"/>
    <xf numFmtId="164" fontId="5" fillId="5" borderId="9" xfId="4" applyNumberFormat="1" applyBorder="1"/>
    <xf numFmtId="165" fontId="0" fillId="0" borderId="0" xfId="0" applyNumberFormat="1" applyBorder="1"/>
    <xf numFmtId="0" fontId="0" fillId="0" borderId="10" xfId="0" applyBorder="1"/>
    <xf numFmtId="164" fontId="5" fillId="5" borderId="11" xfId="4" applyNumberFormat="1" applyBorder="1"/>
    <xf numFmtId="164" fontId="5" fillId="5" borderId="12" xfId="4" applyNumberFormat="1" applyBorder="1"/>
    <xf numFmtId="164" fontId="3" fillId="3" borderId="0" xfId="2" applyNumberFormat="1"/>
    <xf numFmtId="164" fontId="2" fillId="2" borderId="0" xfId="1" applyNumberFormat="1"/>
    <xf numFmtId="0" fontId="7" fillId="0" borderId="0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164" fontId="8" fillId="9" borderId="7" xfId="8" applyNumberFormat="1" applyBorder="1"/>
  </cellXfs>
  <cellStyles count="9">
    <cellStyle name="20% - Accent6" xfId="5" builtinId="50"/>
    <cellStyle name="40% - Accent2" xfId="7" builtinId="35"/>
    <cellStyle name="40% - Accent6" xfId="6" builtinId="51"/>
    <cellStyle name="Accent5" xfId="8" builtinId="45"/>
    <cellStyle name="Bad" xfId="2" builtinId="27"/>
    <cellStyle name="Good" xfId="1" builtinId="26"/>
    <cellStyle name="Input" xfId="3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6"/>
  <sheetViews>
    <sheetView tabSelected="1" workbookViewId="0">
      <selection activeCell="J18" sqref="J18"/>
    </sheetView>
  </sheetViews>
  <sheetFormatPr defaultRowHeight="15" x14ac:dyDescent="0.25"/>
  <cols>
    <col min="1" max="1" width="9.140625" customWidth="1"/>
    <col min="2" max="2" width="19.85546875" customWidth="1"/>
    <col min="3" max="3" width="11.28515625" customWidth="1"/>
    <col min="4" max="4" width="16.140625" customWidth="1"/>
    <col min="5" max="5" width="18" customWidth="1"/>
    <col min="6" max="6" width="17.42578125" customWidth="1"/>
    <col min="7" max="7" width="16" customWidth="1"/>
    <col min="8" max="8" width="11.140625" customWidth="1"/>
    <col min="9" max="9" width="9.5703125" bestFit="1" customWidth="1"/>
    <col min="10" max="10" width="11.140625" customWidth="1"/>
    <col min="11" max="11" width="18" customWidth="1"/>
    <col min="12" max="12" width="12.85546875" customWidth="1"/>
    <col min="13" max="13" width="10.28515625" customWidth="1"/>
    <col min="14" max="14" width="8.5703125" customWidth="1"/>
    <col min="15" max="15" width="9.140625" hidden="1" customWidth="1"/>
    <col min="16" max="16" width="20.42578125" customWidth="1"/>
  </cols>
  <sheetData>
    <row r="2" spans="2:13" x14ac:dyDescent="0.25">
      <c r="B2" s="6" t="s">
        <v>45</v>
      </c>
      <c r="C2" s="31">
        <v>10900</v>
      </c>
      <c r="D2" s="2" t="s">
        <v>15</v>
      </c>
      <c r="E2" s="3">
        <v>1.75</v>
      </c>
      <c r="G2" s="7" t="s">
        <v>25</v>
      </c>
      <c r="H2" s="8"/>
      <c r="I2" s="8"/>
      <c r="J2" s="9" t="s">
        <v>20</v>
      </c>
      <c r="K2" s="9"/>
      <c r="L2" s="10" t="s">
        <v>24</v>
      </c>
    </row>
    <row r="3" spans="2:13" x14ac:dyDescent="0.25">
      <c r="B3" s="6" t="s">
        <v>46</v>
      </c>
      <c r="C3" s="31">
        <v>0</v>
      </c>
      <c r="D3" s="2" t="s">
        <v>14</v>
      </c>
      <c r="E3" s="32">
        <v>200</v>
      </c>
      <c r="G3" s="11"/>
      <c r="I3" s="12"/>
      <c r="J3" s="12"/>
      <c r="K3" s="12"/>
      <c r="L3" s="13"/>
    </row>
    <row r="4" spans="2:13" x14ac:dyDescent="0.25">
      <c r="B4" s="6" t="s">
        <v>43</v>
      </c>
      <c r="C4" s="31">
        <v>10505</v>
      </c>
      <c r="D4" s="2" t="s">
        <v>12</v>
      </c>
      <c r="E4" s="32">
        <v>800</v>
      </c>
      <c r="G4" s="11" t="s">
        <v>21</v>
      </c>
      <c r="H4" s="14">
        <f>IF(C9=0.19,C2/1.19,C2)/E7</f>
        <v>1831.932773109244</v>
      </c>
      <c r="I4" s="12"/>
      <c r="J4" s="14"/>
      <c r="K4" s="12"/>
      <c r="L4" s="20">
        <f>H4</f>
        <v>1831.932773109244</v>
      </c>
    </row>
    <row r="5" spans="2:13" x14ac:dyDescent="0.25">
      <c r="B5" s="6" t="s">
        <v>38</v>
      </c>
      <c r="C5" s="31">
        <v>6000</v>
      </c>
      <c r="D5" s="2" t="s">
        <v>37</v>
      </c>
      <c r="E5" s="32">
        <v>250</v>
      </c>
      <c r="G5" s="11" t="s">
        <v>23</v>
      </c>
      <c r="H5" s="14">
        <f>((C10+C11)/C7)*E2</f>
        <v>612.5</v>
      </c>
      <c r="I5" s="12"/>
      <c r="J5" s="14">
        <f>H5/119*19</f>
        <v>97.794117647058826</v>
      </c>
      <c r="K5" s="12"/>
      <c r="L5" s="20">
        <f>IF(C9&gt;0,H5-J5,H5)</f>
        <v>514.70588235294122</v>
      </c>
    </row>
    <row r="6" spans="2:13" x14ac:dyDescent="0.25">
      <c r="B6" s="6" t="s">
        <v>10</v>
      </c>
      <c r="C6" s="30">
        <v>0.14000000000000001</v>
      </c>
      <c r="D6" s="2" t="s">
        <v>11</v>
      </c>
      <c r="E6" s="38">
        <v>0.42</v>
      </c>
      <c r="G6" s="11" t="s">
        <v>12</v>
      </c>
      <c r="H6" s="14">
        <f>E4</f>
        <v>800</v>
      </c>
      <c r="I6" s="12"/>
      <c r="J6" s="14"/>
      <c r="K6" s="12"/>
      <c r="L6" s="20">
        <f>H6</f>
        <v>800</v>
      </c>
    </row>
    <row r="7" spans="2:13" x14ac:dyDescent="0.25">
      <c r="B7" s="6" t="s">
        <v>22</v>
      </c>
      <c r="C7" s="6">
        <v>20</v>
      </c>
      <c r="D7" s="2" t="s">
        <v>9</v>
      </c>
      <c r="E7" s="2">
        <v>5</v>
      </c>
      <c r="G7" s="11" t="s">
        <v>19</v>
      </c>
      <c r="H7" s="14">
        <f>C8</f>
        <v>0</v>
      </c>
      <c r="I7" s="16"/>
      <c r="J7" s="14"/>
      <c r="K7" s="12"/>
      <c r="L7" s="20">
        <f>H7</f>
        <v>0</v>
      </c>
    </row>
    <row r="8" spans="2:13" x14ac:dyDescent="0.25">
      <c r="B8" s="6" t="s">
        <v>19</v>
      </c>
      <c r="C8" s="31">
        <v>0</v>
      </c>
      <c r="G8" s="11" t="s">
        <v>14</v>
      </c>
      <c r="H8" s="14">
        <f>E3</f>
        <v>200</v>
      </c>
      <c r="I8" s="16"/>
      <c r="J8" s="14">
        <f>H8/119*19</f>
        <v>31.932773109243698</v>
      </c>
      <c r="K8" s="12"/>
      <c r="L8" s="20">
        <f>IF(C9&gt;0,H8-J8,H8)</f>
        <v>168.0672268907563</v>
      </c>
    </row>
    <row r="9" spans="2:13" x14ac:dyDescent="0.25">
      <c r="B9" s="6" t="s">
        <v>20</v>
      </c>
      <c r="C9" s="30">
        <v>0.19</v>
      </c>
      <c r="G9" s="11" t="s">
        <v>16</v>
      </c>
      <c r="H9" s="14">
        <f>E5</f>
        <v>250</v>
      </c>
      <c r="I9" s="12"/>
      <c r="J9" s="14">
        <f>H9/119*19</f>
        <v>39.915966386554622</v>
      </c>
      <c r="K9" s="12"/>
      <c r="L9" s="20">
        <f>IF(C9&gt;0,H9-J9,H9)</f>
        <v>210.08403361344537</v>
      </c>
    </row>
    <row r="10" spans="2:13" x14ac:dyDescent="0.25">
      <c r="B10" s="4" t="s">
        <v>18</v>
      </c>
      <c r="C10" s="5">
        <v>4000</v>
      </c>
      <c r="G10" s="11"/>
      <c r="H10" s="12"/>
      <c r="I10" s="12"/>
      <c r="J10" s="12"/>
      <c r="K10" s="12"/>
      <c r="L10" s="13"/>
    </row>
    <row r="11" spans="2:13" x14ac:dyDescent="0.25">
      <c r="B11" s="4" t="s">
        <v>17</v>
      </c>
      <c r="C11" s="40">
        <v>3000</v>
      </c>
      <c r="D11" s="35" t="s">
        <v>34</v>
      </c>
      <c r="E11" s="36">
        <v>254</v>
      </c>
      <c r="G11" s="17" t="s">
        <v>13</v>
      </c>
      <c r="H11" s="14">
        <f>SUM(H4:H9)</f>
        <v>3694.432773109244</v>
      </c>
      <c r="I11" s="12"/>
      <c r="J11" s="14">
        <f>SUM(J4:J9)</f>
        <v>169.64285714285714</v>
      </c>
      <c r="K11" s="12"/>
      <c r="L11" s="20">
        <f>SUM(L4:L9)</f>
        <v>3524.7899159663866</v>
      </c>
    </row>
    <row r="12" spans="2:13" x14ac:dyDescent="0.25">
      <c r="G12" s="11"/>
      <c r="H12" s="16"/>
      <c r="I12" s="12"/>
      <c r="J12" s="18"/>
      <c r="K12" s="12"/>
      <c r="L12" s="19"/>
    </row>
    <row r="13" spans="2:13" x14ac:dyDescent="0.25">
      <c r="G13" s="17" t="s">
        <v>10</v>
      </c>
      <c r="H13" s="16"/>
      <c r="I13" s="12"/>
      <c r="J13" s="14">
        <f>IF(C4*C6*0.12&lt;J11,C4*C6*0.12,J11)</f>
        <v>169.64285714285714</v>
      </c>
      <c r="K13" s="16"/>
      <c r="L13" s="20">
        <f>IF(C4*C6&lt;L11,C4*C6,L11)</f>
        <v>1470.7</v>
      </c>
    </row>
    <row r="14" spans="2:13" x14ac:dyDescent="0.25">
      <c r="G14" s="21" t="s">
        <v>8</v>
      </c>
      <c r="H14" s="22"/>
      <c r="I14" s="22"/>
      <c r="J14" s="23">
        <f>IF(C9&gt;0,(J11-J13),0)</f>
        <v>0</v>
      </c>
      <c r="K14" s="24"/>
      <c r="L14" s="25">
        <f>L11-L13</f>
        <v>2054.0899159663868</v>
      </c>
    </row>
    <row r="15" spans="2:13" ht="24" customHeight="1" x14ac:dyDescent="0.25"/>
    <row r="16" spans="2:13" x14ac:dyDescent="0.25">
      <c r="B16" s="7" t="s">
        <v>7</v>
      </c>
      <c r="C16" s="26" t="s">
        <v>6</v>
      </c>
      <c r="D16" s="27"/>
      <c r="F16" s="7" t="s">
        <v>5</v>
      </c>
      <c r="G16" s="33" t="s">
        <v>6</v>
      </c>
      <c r="H16" s="27"/>
      <c r="I16" s="12"/>
      <c r="J16" s="12"/>
      <c r="K16" s="7" t="s">
        <v>44</v>
      </c>
      <c r="L16" s="8"/>
      <c r="M16" s="27"/>
    </row>
    <row r="17" spans="2:15" x14ac:dyDescent="0.25">
      <c r="B17" s="28"/>
      <c r="C17" s="18"/>
      <c r="D17" s="13"/>
      <c r="F17" s="11"/>
      <c r="G17" s="12"/>
      <c r="H17" s="13"/>
      <c r="I17" s="12"/>
      <c r="J17" s="12"/>
      <c r="K17" s="11"/>
      <c r="L17" s="12"/>
      <c r="M17" s="13"/>
    </row>
    <row r="18" spans="2:15" x14ac:dyDescent="0.25">
      <c r="B18" s="11" t="s">
        <v>4</v>
      </c>
      <c r="C18" s="14">
        <f>C2</f>
        <v>10900</v>
      </c>
      <c r="D18" s="13"/>
      <c r="F18" s="11"/>
      <c r="G18" s="44"/>
      <c r="H18" s="13"/>
      <c r="I18" s="12"/>
      <c r="J18" s="12"/>
      <c r="K18" s="11"/>
      <c r="L18" s="12"/>
      <c r="M18" s="13"/>
    </row>
    <row r="19" spans="2:15" x14ac:dyDescent="0.25">
      <c r="B19" s="11" t="s">
        <v>3</v>
      </c>
      <c r="C19" s="15">
        <f>-((C2-C3)/(1+C9))*C9</f>
        <v>-1740.3361344537816</v>
      </c>
      <c r="D19" s="13"/>
      <c r="F19" s="11"/>
      <c r="G19" s="12"/>
      <c r="H19" s="13"/>
      <c r="I19" s="12"/>
      <c r="J19" s="12"/>
      <c r="K19" s="11"/>
      <c r="L19" s="12"/>
      <c r="M19" s="13"/>
    </row>
    <row r="20" spans="2:15" x14ac:dyDescent="0.25">
      <c r="B20" s="11" t="s">
        <v>27</v>
      </c>
      <c r="C20" s="15">
        <f>IF(C6&lt;=0.14,-IF(C9=0.19,C2/1.19,C2)*0.28*E6,0)</f>
        <v>-1077.1764705882354</v>
      </c>
      <c r="D20" s="13"/>
      <c r="F20" s="11"/>
      <c r="G20" s="12"/>
      <c r="H20" s="13"/>
      <c r="I20" s="12"/>
      <c r="J20" s="12"/>
      <c r="K20" s="11"/>
      <c r="L20" s="12"/>
      <c r="M20" s="13"/>
    </row>
    <row r="21" spans="2:15" x14ac:dyDescent="0.25">
      <c r="B21" s="11" t="s">
        <v>26</v>
      </c>
      <c r="C21" s="15">
        <f>IF(C6=0,-IF(C9=0.19,C2/1.19,C2)*0.36*E6,0)</f>
        <v>0</v>
      </c>
      <c r="D21" s="13"/>
      <c r="F21" s="11"/>
      <c r="G21" s="12"/>
      <c r="H21" s="13"/>
      <c r="I21" s="12"/>
      <c r="J21" s="12"/>
      <c r="K21" s="11"/>
      <c r="L21" s="12"/>
      <c r="M21" s="13"/>
    </row>
    <row r="22" spans="2:15" x14ac:dyDescent="0.25">
      <c r="B22" s="11"/>
      <c r="C22" s="12"/>
      <c r="D22" s="13"/>
      <c r="F22" s="11"/>
      <c r="G22" s="12"/>
      <c r="H22" s="13"/>
      <c r="I22" s="12"/>
      <c r="J22" s="12"/>
      <c r="K22" s="11"/>
      <c r="L22" s="12"/>
      <c r="M22" s="13"/>
    </row>
    <row r="23" spans="2:15" x14ac:dyDescent="0.25">
      <c r="B23" s="37" t="s">
        <v>35</v>
      </c>
      <c r="C23" s="14">
        <f>SUM(C18:C21)</f>
        <v>8082.4873949579842</v>
      </c>
      <c r="D23" s="13"/>
      <c r="F23" s="37" t="s">
        <v>35</v>
      </c>
      <c r="G23" s="41">
        <f>C2</f>
        <v>10900</v>
      </c>
      <c r="H23" s="13"/>
      <c r="I23" s="12"/>
      <c r="J23" s="12"/>
      <c r="K23" s="11"/>
      <c r="L23" s="50" t="s">
        <v>29</v>
      </c>
      <c r="M23" s="51" t="s">
        <v>28</v>
      </c>
    </row>
    <row r="24" spans="2:15" x14ac:dyDescent="0.25">
      <c r="B24" s="11"/>
      <c r="C24" s="12"/>
      <c r="D24" s="13"/>
      <c r="F24" s="11"/>
      <c r="G24" s="12"/>
      <c r="H24" s="13"/>
      <c r="I24" s="12"/>
      <c r="J24" s="12"/>
      <c r="K24" s="34"/>
      <c r="L24" s="12"/>
      <c r="M24" s="13"/>
      <c r="O24" s="1"/>
    </row>
    <row r="25" spans="2:15" x14ac:dyDescent="0.25">
      <c r="B25" s="11"/>
      <c r="C25" s="50" t="s">
        <v>29</v>
      </c>
      <c r="D25" s="51" t="s">
        <v>28</v>
      </c>
      <c r="F25" s="11"/>
      <c r="G25" s="50" t="s">
        <v>29</v>
      </c>
      <c r="H25" s="51" t="s">
        <v>28</v>
      </c>
      <c r="I25" s="12"/>
      <c r="J25" s="12"/>
      <c r="K25" s="34" t="s">
        <v>33</v>
      </c>
      <c r="L25" s="14">
        <f>E11*12</f>
        <v>3048</v>
      </c>
      <c r="M25" s="13"/>
    </row>
    <row r="26" spans="2:15" x14ac:dyDescent="0.25">
      <c r="B26" s="11"/>
      <c r="C26" s="12"/>
      <c r="D26" s="13"/>
      <c r="F26" s="11"/>
      <c r="G26" s="12"/>
      <c r="H26" s="13"/>
      <c r="I26" s="12"/>
      <c r="J26" s="12"/>
      <c r="K26" s="11" t="s">
        <v>10</v>
      </c>
      <c r="L26" s="14">
        <f>IF(C4*C6&lt;L25,C4*C6,L25)</f>
        <v>1470.7</v>
      </c>
      <c r="M26" s="13"/>
    </row>
    <row r="27" spans="2:15" x14ac:dyDescent="0.25">
      <c r="B27" s="11" t="s">
        <v>1</v>
      </c>
      <c r="C27" s="14">
        <f>H11-H4</f>
        <v>1862.5</v>
      </c>
      <c r="D27" s="13"/>
      <c r="F27" s="11" t="s">
        <v>1</v>
      </c>
      <c r="G27" s="14">
        <f>H11-H4</f>
        <v>1862.5</v>
      </c>
      <c r="H27" s="13"/>
      <c r="I27" s="12"/>
      <c r="J27" s="12"/>
      <c r="K27" s="11" t="s">
        <v>47</v>
      </c>
      <c r="L27" s="48">
        <f>(C4*C6*0.12)</f>
        <v>176.48400000000001</v>
      </c>
      <c r="M27" s="13"/>
    </row>
    <row r="28" spans="2:15" x14ac:dyDescent="0.25">
      <c r="B28" s="11" t="s">
        <v>0</v>
      </c>
      <c r="C28" s="15">
        <f>-J14</f>
        <v>0</v>
      </c>
      <c r="D28" s="13"/>
      <c r="F28" s="11" t="s">
        <v>30</v>
      </c>
      <c r="G28" s="15">
        <f>-0.19*C11*E6</f>
        <v>-239.39999999999998</v>
      </c>
      <c r="H28" s="13"/>
      <c r="I28" s="12"/>
      <c r="J28" s="12"/>
      <c r="K28" s="11" t="s">
        <v>42</v>
      </c>
      <c r="L28" s="15">
        <f>-L25*E6</f>
        <v>-1280.1599999999999</v>
      </c>
      <c r="M28" s="13"/>
    </row>
    <row r="29" spans="2:15" x14ac:dyDescent="0.25">
      <c r="B29" s="11" t="s">
        <v>42</v>
      </c>
      <c r="C29" s="15">
        <f>-L14*E6</f>
        <v>-862.71776470588247</v>
      </c>
      <c r="D29" s="13"/>
      <c r="F29" s="11" t="s">
        <v>2</v>
      </c>
      <c r="G29" s="15">
        <f>-0.75*J11</f>
        <v>-127.23214285714286</v>
      </c>
      <c r="H29" s="13"/>
      <c r="I29" s="12"/>
      <c r="J29" s="12"/>
      <c r="K29" s="11" t="s">
        <v>0</v>
      </c>
      <c r="L29" s="49">
        <f>-L25/119*19</f>
        <v>-486.65546218487395</v>
      </c>
      <c r="M29" s="13"/>
    </row>
    <row r="30" spans="2:15" x14ac:dyDescent="0.25">
      <c r="B30" s="11"/>
      <c r="C30" s="18"/>
      <c r="D30" s="13"/>
      <c r="F30" s="11"/>
      <c r="G30" s="12"/>
      <c r="H30" s="13"/>
      <c r="I30" s="12"/>
      <c r="J30" s="12"/>
      <c r="K30" s="11"/>
      <c r="M30" s="13"/>
    </row>
    <row r="31" spans="2:15" x14ac:dyDescent="0.25">
      <c r="B31" s="37" t="s">
        <v>36</v>
      </c>
      <c r="C31" s="14">
        <f>SUM(C27:C30)</f>
        <v>999.78223529411753</v>
      </c>
      <c r="D31" s="42">
        <f>C31/12</f>
        <v>83.315186274509799</v>
      </c>
      <c r="F31" s="37" t="s">
        <v>36</v>
      </c>
      <c r="G31" s="14">
        <f>SUM(G27:G30)</f>
        <v>1495.867857142857</v>
      </c>
      <c r="H31" s="42">
        <f>G31/12</f>
        <v>124.65565476190476</v>
      </c>
      <c r="I31" s="12"/>
      <c r="J31" s="12"/>
      <c r="K31" s="34"/>
      <c r="L31" s="14">
        <f>SUM(L25:L29)</f>
        <v>2928.3685378151263</v>
      </c>
      <c r="M31" s="47">
        <f>L31/12</f>
        <v>244.03071148459387</v>
      </c>
    </row>
    <row r="32" spans="2:15" x14ac:dyDescent="0.25">
      <c r="B32" s="11"/>
      <c r="C32" s="12"/>
      <c r="D32" s="13"/>
      <c r="F32" s="11"/>
      <c r="G32" s="12"/>
      <c r="H32" s="13"/>
      <c r="I32" s="12"/>
      <c r="J32" s="12"/>
      <c r="K32" s="11"/>
      <c r="L32" s="12"/>
      <c r="M32" s="13"/>
    </row>
    <row r="33" spans="2:13" x14ac:dyDescent="0.25">
      <c r="B33" s="37" t="s">
        <v>31</v>
      </c>
      <c r="C33" s="50" t="s">
        <v>32</v>
      </c>
      <c r="D33" s="51" t="s">
        <v>28</v>
      </c>
      <c r="F33" s="37" t="s">
        <v>31</v>
      </c>
      <c r="G33" s="50" t="s">
        <v>32</v>
      </c>
      <c r="H33" s="51" t="s">
        <v>28</v>
      </c>
      <c r="I33" s="12"/>
      <c r="J33" s="12"/>
      <c r="K33" s="37" t="s">
        <v>31</v>
      </c>
      <c r="L33" s="50" t="s">
        <v>32</v>
      </c>
      <c r="M33" s="51" t="s">
        <v>28</v>
      </c>
    </row>
    <row r="34" spans="2:13" x14ac:dyDescent="0.25">
      <c r="B34" s="37"/>
      <c r="C34" s="12"/>
      <c r="D34" s="13"/>
      <c r="F34" s="37"/>
      <c r="G34" s="12"/>
      <c r="H34" s="13"/>
      <c r="I34" s="12"/>
      <c r="J34" s="12"/>
      <c r="K34" s="11"/>
      <c r="L34" s="12"/>
      <c r="M34" s="13"/>
    </row>
    <row r="35" spans="2:13" x14ac:dyDescent="0.25">
      <c r="B35" s="37" t="s">
        <v>40</v>
      </c>
      <c r="C35" s="14">
        <f>C23+(E7*C31)-C5*(1-E6)</f>
        <v>9601.3985714285718</v>
      </c>
      <c r="D35" s="52">
        <f>C35/E7/12</f>
        <v>160.02330952380953</v>
      </c>
      <c r="F35" s="37" t="s">
        <v>39</v>
      </c>
      <c r="G35" s="14">
        <f>G23+(E7*G31)-C5</f>
        <v>12379.339285714286</v>
      </c>
      <c r="H35" s="52">
        <f>G35/E7/12</f>
        <v>206.32232142857143</v>
      </c>
      <c r="I35" s="12"/>
      <c r="J35" s="12"/>
      <c r="K35" s="11"/>
      <c r="L35" s="14">
        <f>L31*E7</f>
        <v>14641.842689075631</v>
      </c>
      <c r="M35" s="52">
        <f>L35/E7/12</f>
        <v>244.03071148459387</v>
      </c>
    </row>
    <row r="36" spans="2:13" x14ac:dyDescent="0.25">
      <c r="B36" s="39" t="s">
        <v>41</v>
      </c>
      <c r="C36" s="43">
        <f>C23+(E7*C31)-C5</f>
        <v>7081.3985714285718</v>
      </c>
      <c r="D36" s="46">
        <f>C36/E7/12</f>
        <v>118.02330952380953</v>
      </c>
      <c r="F36" s="29"/>
      <c r="G36" s="22"/>
      <c r="H36" s="45"/>
      <c r="K36" s="29"/>
      <c r="L36" s="22"/>
      <c r="M36" s="45"/>
    </row>
  </sheetData>
  <dataValidations count="12">
    <dataValidation allowBlank="1" showInputMessage="1" showErrorMessage="1" prompt="19% bij een nieuwe auto of 2ehands BTW auto, 0% bij een 2ehands marge auto" sqref="C9"/>
    <dataValidation allowBlank="1" showInputMessage="1" showErrorMessage="1" prompt="Inclusief BTW en BPM" sqref="C2"/>
    <dataValidation allowBlank="1" showInputMessage="1" showErrorMessage="1" prompt="Het BPM gedeelte van de aanschafprijs" sqref="C3"/>
    <dataValidation allowBlank="1" showInputMessage="1" showErrorMessage="1" prompt="Inclusief BTW en BPM, exclusief door de dealer gemonteerde opties" sqref="C4"/>
    <dataValidation allowBlank="1" showInputMessage="1" showErrorMessage="1" prompt="Restwaarde van de auto na 5 (of een ander aantal ingevuld in E7) jaar" sqref="C5"/>
    <dataValidation allowBlank="1" showInputMessage="1" showErrorMessage="1" prompt="In de meeste gevallen 25%. Voor zuinige auto's 20%, zeer zuinige auto's 14% en voor compleet elektrische auto's 0%." sqref="C6"/>
    <dataValidation allowBlank="1" showInputMessage="1" showErrorMessage="1" prompt="1 liter = hoeveel kilometer?" sqref="C7"/>
    <dataValidation allowBlank="1" showInputMessage="1" showErrorMessage="1" prompt="0% voor zeer zuinige of elektrische auto's, anders zie belastingdienst.nl" sqref="C8"/>
    <dataValidation allowBlank="1" showInputMessage="1" showErrorMessage="1" prompt="Aantal privé kilometers per jaar" sqref="C10"/>
    <dataValidation allowBlank="1" showInputMessage="1" showErrorMessage="1" prompt="Aantal zakelijke kilometers per jaar (ook woon-werk)" sqref="C11"/>
    <dataValidation allowBlank="1" showInputMessage="1" showErrorMessage="1" prompt="Auto afschrijven in hoeveel jaar?" sqref="E7"/>
    <dataValidation allowBlank="1" showInputMessage="1" showErrorMessage="1" prompt="Het leasebedrag per maand voor deze auto, inclusief brandstofkosten en BTW" sqref="E11"/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vd zaak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2011-03-23T18:59:55Z</dcterms:created>
  <dcterms:modified xsi:type="dcterms:W3CDTF">2011-04-18T23:09:17Z</dcterms:modified>
</cp:coreProperties>
</file>