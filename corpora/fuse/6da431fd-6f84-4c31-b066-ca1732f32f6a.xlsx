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0" yWindow="0" windowWidth="25600" windowHeight="18380" tabRatio="500"/>
  </bookViews>
  <sheets>
    <sheet name="S5" sheetId="1" r:id="rId1"/>
  </sheets>
  <externalReferences>
    <externalReference r:id="rId2"/>
  </externalReferences>
  <definedNames>
    <definedName name="trxx">[1]S2!#REF!</definedName>
  </definedNames>
  <calcPr calcId="140000" calcMode="manual" calcCompleted="0" calcOnSave="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44" i="1" l="1"/>
  <c r="M44" i="1"/>
  <c r="L44" i="1"/>
  <c r="K44" i="1"/>
  <c r="J44" i="1"/>
  <c r="I44" i="1"/>
  <c r="H44" i="1"/>
  <c r="G44" i="1"/>
  <c r="F44" i="1"/>
  <c r="E44" i="1"/>
  <c r="D44" i="1"/>
  <c r="C44" i="1"/>
  <c r="B44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</calcChain>
</file>

<file path=xl/sharedStrings.xml><?xml version="1.0" encoding="utf-8"?>
<sst xmlns="http://schemas.openxmlformats.org/spreadsheetml/2006/main" count="18" uniqueCount="18">
  <si>
    <r>
      <t xml:space="preserve">Table S5. Allele count frequency distribution by variant type. </t>
    </r>
    <r>
      <rPr>
        <sz val="10"/>
        <color theme="1"/>
        <rFont val="Arial"/>
      </rPr>
      <t xml:space="preserve">Average number of variants </t>
    </r>
    <r>
      <rPr>
        <u/>
        <sz val="10"/>
        <color theme="1"/>
        <rFont val="Arial"/>
      </rPr>
      <t>per line</t>
    </r>
  </si>
  <si>
    <t>Coding SNP types</t>
  </si>
  <si>
    <t>Allele Count</t>
  </si>
  <si>
    <t>All types</t>
  </si>
  <si>
    <t>SNP</t>
  </si>
  <si>
    <t>Insertions</t>
  </si>
  <si>
    <t>Deletions</t>
  </si>
  <si>
    <t>Complex</t>
  </si>
  <si>
    <t>Homopolymer</t>
  </si>
  <si>
    <t>Microsatellite</t>
  </si>
  <si>
    <t>Tandem duplication</t>
  </si>
  <si>
    <t>Inversions</t>
  </si>
  <si>
    <t>Synonymous</t>
  </si>
  <si>
    <t>Non 
synonymous</t>
  </si>
  <si>
    <t>New stop 
codon</t>
  </si>
  <si>
    <t>Remove 
stop codon</t>
  </si>
  <si>
    <t>Total</t>
  </si>
  <si>
    <t>% singletons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</si>
</sst>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6" fillId="2" borderId="0" applyNumberFormat="0" applyBorder="0" applyAlignment="0" applyProtection="0"/>
    <xf numFmtId="0" fontId="1" fillId="0" borderId="0"/>
  </cellStyleXfs>
  <cellXfs count="16">
    <xf numFmtId="0" fontId="0" fillId="0" borderId="0" xfId="0"/>
    <xf numFmtId="0" fontId="3" fillId="0" borderId="0" xfId="0" applyFont="1"/>
    <xf numFmtId="3" fontId="4" fillId="0" borderId="0" xfId="0" applyNumberFormat="1" applyFont="1"/>
    <xf numFmtId="0" fontId="4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3" fontId="4" fillId="0" borderId="2" xfId="0" applyNumberFormat="1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9" fontId="4" fillId="0" borderId="0" xfId="1" applyFont="1" applyAlignment="1">
      <alignment horizontal="center"/>
    </xf>
  </cellXfs>
  <cellStyles count="4">
    <cellStyle name="Neutral 2" xfId="2"/>
    <cellStyle name="Normal" xfId="0" builtinId="0"/>
    <cellStyle name="Normal 2" xfId="3"/>
    <cellStyle name="Percent" xfId="1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souras%20et%20al_Supplementary%20Tables_PGENETICS-D-12-01327_revise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N44"/>
  <sheetViews>
    <sheetView tabSelected="1" workbookViewId="0">
      <selection activeCell="A3" sqref="A3"/>
    </sheetView>
  </sheetViews>
  <sheetFormatPr baseColWidth="10" defaultColWidth="8.83203125" defaultRowHeight="12" x14ac:dyDescent="0"/>
  <cols>
    <col min="1" max="7" width="13.6640625" style="3" customWidth="1"/>
    <col min="8" max="8" width="13.5" style="3" bestFit="1" customWidth="1"/>
    <col min="9" max="9" width="15.6640625" style="3" bestFit="1" customWidth="1"/>
    <col min="10" max="10" width="10.1640625" style="3" bestFit="1" customWidth="1"/>
    <col min="11" max="11" width="12.33203125" style="3" customWidth="1"/>
    <col min="12" max="12" width="13.5" style="3" customWidth="1"/>
    <col min="13" max="13" width="8.83203125" style="3"/>
    <col min="14" max="14" width="9.6640625" style="3" customWidth="1"/>
    <col min="15" max="16384" width="8.83203125" style="3"/>
  </cols>
  <sheetData>
    <row r="1" spans="1:14">
      <c r="A1" s="1" t="s">
        <v>0</v>
      </c>
      <c r="B1" s="2"/>
      <c r="C1" s="2"/>
      <c r="D1" s="2"/>
      <c r="E1" s="2"/>
    </row>
    <row r="2" spans="1:14">
      <c r="B2" s="2"/>
      <c r="C2" s="2"/>
      <c r="D2" s="2"/>
      <c r="E2" s="2"/>
      <c r="K2" s="1" t="s">
        <v>1</v>
      </c>
    </row>
    <row r="3" spans="1:14" ht="37" thickBo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5" t="s">
        <v>13</v>
      </c>
      <c r="M3" s="5" t="s">
        <v>14</v>
      </c>
      <c r="N3" s="5" t="s">
        <v>15</v>
      </c>
    </row>
    <row r="4" spans="1:14">
      <c r="A4" s="6">
        <v>1</v>
      </c>
      <c r="B4" s="7">
        <v>25496.384999999998</v>
      </c>
      <c r="C4" s="7">
        <v>19373.846000000001</v>
      </c>
      <c r="D4" s="8">
        <v>1664.0513000000001</v>
      </c>
      <c r="E4" s="8">
        <v>2996.0769</v>
      </c>
      <c r="F4" s="9">
        <v>1462.4103</v>
      </c>
      <c r="G4" s="8">
        <v>1359.8717999999999</v>
      </c>
      <c r="H4" s="8">
        <v>281.15384999999998</v>
      </c>
      <c r="I4" s="8">
        <v>220.33332999999999</v>
      </c>
      <c r="J4" s="9">
        <v>3.6666666999999999</v>
      </c>
      <c r="K4" s="7">
        <v>1460.6410000000001</v>
      </c>
      <c r="L4" s="8">
        <v>1039.3077000000001</v>
      </c>
      <c r="M4" s="8">
        <v>10.410256</v>
      </c>
      <c r="N4" s="9">
        <v>1.3076923</v>
      </c>
    </row>
    <row r="5" spans="1:14">
      <c r="A5" s="6">
        <v>2</v>
      </c>
      <c r="B5" s="7">
        <v>23137.949000000001</v>
      </c>
      <c r="C5" s="7">
        <v>17138</v>
      </c>
      <c r="D5" s="8">
        <v>1789.3846000000001</v>
      </c>
      <c r="E5" s="8">
        <v>2735.6923000000002</v>
      </c>
      <c r="F5" s="9">
        <v>1474.8717999999999</v>
      </c>
      <c r="G5" s="8">
        <v>1466.7692</v>
      </c>
      <c r="H5" s="8">
        <v>270.82051000000001</v>
      </c>
      <c r="I5" s="8">
        <v>195.48718</v>
      </c>
      <c r="J5" s="9">
        <v>3.6923077000000002</v>
      </c>
      <c r="K5" s="7">
        <v>1491.5385000000001</v>
      </c>
      <c r="L5" s="8">
        <v>728.71794999999997</v>
      </c>
      <c r="M5" s="8">
        <v>4.8205128000000004</v>
      </c>
      <c r="N5" s="9">
        <v>0.87179487</v>
      </c>
    </row>
    <row r="6" spans="1:14">
      <c r="A6" s="6">
        <v>3</v>
      </c>
      <c r="B6" s="7">
        <v>22581.077000000001</v>
      </c>
      <c r="C6" s="7">
        <v>16772.462</v>
      </c>
      <c r="D6" s="8">
        <v>1782.6922999999999</v>
      </c>
      <c r="E6" s="8">
        <v>2554.8462</v>
      </c>
      <c r="F6" s="9">
        <v>1471.0769</v>
      </c>
      <c r="G6" s="8">
        <v>1447.2308</v>
      </c>
      <c r="H6" s="8">
        <v>245</v>
      </c>
      <c r="I6" s="8">
        <v>173.38462000000001</v>
      </c>
      <c r="J6" s="9">
        <v>3.2307692000000001</v>
      </c>
      <c r="K6" s="7">
        <v>1550.6922999999999</v>
      </c>
      <c r="L6" s="8">
        <v>633.15385000000003</v>
      </c>
      <c r="M6" s="8">
        <v>2.9230768999999999</v>
      </c>
      <c r="N6" s="9">
        <v>0.61538462000000005</v>
      </c>
    </row>
    <row r="7" spans="1:14">
      <c r="A7" s="6">
        <v>4</v>
      </c>
      <c r="B7" s="7">
        <v>21901.743999999999</v>
      </c>
      <c r="C7" s="7">
        <v>16362.050999999999</v>
      </c>
      <c r="D7" s="8">
        <v>1779.5897</v>
      </c>
      <c r="E7" s="8">
        <v>2302.9744000000001</v>
      </c>
      <c r="F7" s="9">
        <v>1457.1282000000001</v>
      </c>
      <c r="G7" s="8">
        <v>1372.5128</v>
      </c>
      <c r="H7" s="8">
        <v>229.74359000000001</v>
      </c>
      <c r="I7" s="8">
        <v>164.30769000000001</v>
      </c>
      <c r="J7" s="9">
        <v>3.1794872000000001</v>
      </c>
      <c r="K7" s="7">
        <v>1564.1025999999999</v>
      </c>
      <c r="L7" s="8">
        <v>590.97436000000005</v>
      </c>
      <c r="M7" s="8">
        <v>1.9487178999999999</v>
      </c>
      <c r="N7" s="9">
        <v>0.92307691999999997</v>
      </c>
    </row>
    <row r="8" spans="1:14">
      <c r="A8" s="6">
        <v>5</v>
      </c>
      <c r="B8" s="7">
        <v>21617.308000000001</v>
      </c>
      <c r="C8" s="7">
        <v>16258.846</v>
      </c>
      <c r="D8" s="8">
        <v>1731.2820999999999</v>
      </c>
      <c r="E8" s="8">
        <v>2197.4358999999999</v>
      </c>
      <c r="F8" s="9">
        <v>1429.7436</v>
      </c>
      <c r="G8" s="8">
        <v>1357.1795</v>
      </c>
      <c r="H8" s="8">
        <v>219.61537999999999</v>
      </c>
      <c r="I8" s="8">
        <v>154.74359000000001</v>
      </c>
      <c r="J8" s="9">
        <v>3.3333333000000001</v>
      </c>
      <c r="K8" s="7">
        <v>1642.0513000000001</v>
      </c>
      <c r="L8" s="8">
        <v>541.15385000000003</v>
      </c>
      <c r="M8" s="8">
        <v>2.4358974</v>
      </c>
      <c r="N8" s="9">
        <v>1.025641</v>
      </c>
    </row>
    <row r="9" spans="1:14">
      <c r="A9" s="6">
        <v>6</v>
      </c>
      <c r="B9" s="7">
        <v>21338.922999999999</v>
      </c>
      <c r="C9" s="7">
        <v>16112</v>
      </c>
      <c r="D9" s="8">
        <v>1682.9231</v>
      </c>
      <c r="E9" s="8">
        <v>2098.7692000000002</v>
      </c>
      <c r="F9" s="9">
        <v>1445.2308</v>
      </c>
      <c r="G9" s="8">
        <v>1309.5385000000001</v>
      </c>
      <c r="H9" s="8">
        <v>200.61537999999999</v>
      </c>
      <c r="I9" s="8">
        <v>149.84614999999999</v>
      </c>
      <c r="J9" s="9">
        <v>2.7692307999999999</v>
      </c>
      <c r="K9" s="7">
        <v>1661.8462</v>
      </c>
      <c r="L9" s="8">
        <v>530.46154000000001</v>
      </c>
      <c r="M9" s="8">
        <v>1.6923077</v>
      </c>
      <c r="N9" s="9">
        <v>0.61538462000000005</v>
      </c>
    </row>
    <row r="10" spans="1:14">
      <c r="A10" s="6">
        <v>7</v>
      </c>
      <c r="B10" s="7">
        <v>21612.949000000001</v>
      </c>
      <c r="C10" s="7">
        <v>16433.667000000001</v>
      </c>
      <c r="D10" s="8">
        <v>1693.1025999999999</v>
      </c>
      <c r="E10" s="8">
        <v>2045.4358999999999</v>
      </c>
      <c r="F10" s="9">
        <v>1440.7436</v>
      </c>
      <c r="G10" s="8">
        <v>1286.7436</v>
      </c>
      <c r="H10" s="8">
        <v>182</v>
      </c>
      <c r="I10" s="8">
        <v>141.25640999999999</v>
      </c>
      <c r="J10" s="9">
        <v>3.2307692000000001</v>
      </c>
      <c r="K10" s="7">
        <v>1720.9231</v>
      </c>
      <c r="L10" s="8">
        <v>496.28205000000003</v>
      </c>
      <c r="M10" s="8">
        <v>3.7692307999999999</v>
      </c>
      <c r="N10" s="9">
        <v>0.35897435999999999</v>
      </c>
    </row>
    <row r="11" spans="1:14">
      <c r="A11" s="6">
        <v>8</v>
      </c>
      <c r="B11" s="7">
        <v>21652.512999999999</v>
      </c>
      <c r="C11" s="7">
        <v>16568.821</v>
      </c>
      <c r="D11" s="8">
        <v>1703.7949000000001</v>
      </c>
      <c r="E11" s="8">
        <v>1965.1282000000001</v>
      </c>
      <c r="F11" s="9">
        <v>1414.7692</v>
      </c>
      <c r="G11" s="8">
        <v>1240.4103</v>
      </c>
      <c r="H11" s="8">
        <v>194.87179</v>
      </c>
      <c r="I11" s="8">
        <v>141.53845999999999</v>
      </c>
      <c r="J11" s="9">
        <v>3.0769231000000001</v>
      </c>
      <c r="K11" s="7">
        <v>1811.2820999999999</v>
      </c>
      <c r="L11" s="8">
        <v>502.97435999999999</v>
      </c>
      <c r="M11" s="8">
        <v>1.6410256000000001</v>
      </c>
      <c r="N11" s="9">
        <v>0.41025641000000002</v>
      </c>
    </row>
    <row r="12" spans="1:14">
      <c r="A12" s="6">
        <v>9</v>
      </c>
      <c r="B12" s="7">
        <v>21453.922999999999</v>
      </c>
      <c r="C12" s="7">
        <v>16526.769</v>
      </c>
      <c r="D12" s="8">
        <v>1635.6922999999999</v>
      </c>
      <c r="E12" s="8">
        <v>1882.8462</v>
      </c>
      <c r="F12" s="9">
        <v>1408.6153999999999</v>
      </c>
      <c r="G12" s="8">
        <v>1213.3846000000001</v>
      </c>
      <c r="H12" s="8">
        <v>177.92308</v>
      </c>
      <c r="I12" s="8">
        <v>134.53845999999999</v>
      </c>
      <c r="J12" s="9">
        <v>3</v>
      </c>
      <c r="K12" s="7">
        <v>1826.0769</v>
      </c>
      <c r="L12" s="8">
        <v>505.15384999999998</v>
      </c>
      <c r="M12" s="8">
        <v>1.1538462</v>
      </c>
      <c r="N12" s="9">
        <v>0</v>
      </c>
    </row>
    <row r="13" spans="1:14">
      <c r="A13" s="6">
        <v>10</v>
      </c>
      <c r="B13" s="7">
        <v>21478.462</v>
      </c>
      <c r="C13" s="7">
        <v>16647.949000000001</v>
      </c>
      <c r="D13" s="8">
        <v>1612.8205</v>
      </c>
      <c r="E13" s="8">
        <v>1819.7436</v>
      </c>
      <c r="F13" s="9">
        <v>1397.9486999999999</v>
      </c>
      <c r="G13" s="8">
        <v>1183.5897</v>
      </c>
      <c r="H13" s="8">
        <v>162.30769000000001</v>
      </c>
      <c r="I13" s="8">
        <v>134.87179</v>
      </c>
      <c r="J13" s="9">
        <v>4.1025641000000004</v>
      </c>
      <c r="K13" s="7">
        <v>1840.2564</v>
      </c>
      <c r="L13" s="8">
        <v>507.4359</v>
      </c>
      <c r="M13" s="8">
        <v>1.7948717999999999</v>
      </c>
      <c r="N13" s="9">
        <v>0</v>
      </c>
    </row>
    <row r="14" spans="1:14">
      <c r="A14" s="6">
        <v>11</v>
      </c>
      <c r="B14" s="7">
        <v>21613.59</v>
      </c>
      <c r="C14" s="7">
        <v>16828.871999999999</v>
      </c>
      <c r="D14" s="8">
        <v>1609.1025999999999</v>
      </c>
      <c r="E14" s="8">
        <v>1777.4872</v>
      </c>
      <c r="F14" s="9">
        <v>1398.1282000000001</v>
      </c>
      <c r="G14" s="8">
        <v>1173.6153999999999</v>
      </c>
      <c r="H14" s="8">
        <v>161.05127999999999</v>
      </c>
      <c r="I14" s="8">
        <v>119.30768999999999</v>
      </c>
      <c r="J14" s="9">
        <v>2.8205127999999999</v>
      </c>
      <c r="K14" s="7">
        <v>1828.8205</v>
      </c>
      <c r="L14" s="8">
        <v>499.51281999999998</v>
      </c>
      <c r="M14" s="8">
        <v>1.6923077</v>
      </c>
      <c r="N14" s="9">
        <v>0.28205128000000002</v>
      </c>
    </row>
    <row r="15" spans="1:14">
      <c r="A15" s="6">
        <v>12</v>
      </c>
      <c r="B15" s="7">
        <v>21553.231</v>
      </c>
      <c r="C15" s="7">
        <v>16885.231</v>
      </c>
      <c r="D15" s="8">
        <v>1605.8462</v>
      </c>
      <c r="E15" s="8">
        <v>1699.3846000000001</v>
      </c>
      <c r="F15" s="9">
        <v>1362.7692</v>
      </c>
      <c r="G15" s="8">
        <v>1129.5385000000001</v>
      </c>
      <c r="H15" s="8">
        <v>150.15385000000001</v>
      </c>
      <c r="I15" s="8">
        <v>113.23077000000001</v>
      </c>
      <c r="J15" s="9">
        <v>2.1538461999999998</v>
      </c>
      <c r="K15" s="7">
        <v>1907.3846000000001</v>
      </c>
      <c r="L15" s="8">
        <v>519.38462000000004</v>
      </c>
      <c r="M15" s="8">
        <v>2.1538461999999998</v>
      </c>
      <c r="N15" s="9">
        <v>0</v>
      </c>
    </row>
    <row r="16" spans="1:14">
      <c r="A16" s="6">
        <v>13</v>
      </c>
      <c r="B16" s="7">
        <v>21479.667000000001</v>
      </c>
      <c r="C16" s="7">
        <v>16893.667000000001</v>
      </c>
      <c r="D16" s="8">
        <v>1572.6667</v>
      </c>
      <c r="E16" s="8">
        <v>1700</v>
      </c>
      <c r="F16" s="9">
        <v>1313.3333</v>
      </c>
      <c r="G16" s="8">
        <v>1110</v>
      </c>
      <c r="H16" s="8">
        <v>145.66667000000001</v>
      </c>
      <c r="I16" s="8">
        <v>131.66667000000001</v>
      </c>
      <c r="J16" s="9">
        <v>1.3333333000000001</v>
      </c>
      <c r="K16" s="7">
        <v>1943.6667</v>
      </c>
      <c r="L16" s="8">
        <v>502.66667000000001</v>
      </c>
      <c r="M16" s="8">
        <v>3.6666666999999999</v>
      </c>
      <c r="N16" s="9">
        <v>1</v>
      </c>
    </row>
    <row r="17" spans="1:14">
      <c r="A17" s="6">
        <v>14</v>
      </c>
      <c r="B17" s="7">
        <v>21537.384999999998</v>
      </c>
      <c r="C17" s="7">
        <v>17071.384999999998</v>
      </c>
      <c r="D17" s="8">
        <v>1554</v>
      </c>
      <c r="E17" s="8">
        <v>1596.3589999999999</v>
      </c>
      <c r="F17" s="9">
        <v>1315.6410000000001</v>
      </c>
      <c r="G17" s="8">
        <v>1069.0255999999999</v>
      </c>
      <c r="H17" s="8">
        <v>144.66667000000001</v>
      </c>
      <c r="I17" s="8">
        <v>115.23077000000001</v>
      </c>
      <c r="J17" s="9">
        <v>4.3076923000000003</v>
      </c>
      <c r="K17" s="7">
        <v>1932.7179000000001</v>
      </c>
      <c r="L17" s="8">
        <v>504.71794999999997</v>
      </c>
      <c r="M17" s="8">
        <v>2.1538461999999998</v>
      </c>
      <c r="N17" s="9">
        <v>0.71794871999999998</v>
      </c>
    </row>
    <row r="18" spans="1:14">
      <c r="A18" s="6">
        <v>15</v>
      </c>
      <c r="B18" s="7">
        <v>21499.615000000002</v>
      </c>
      <c r="C18" s="7">
        <v>17133.077000000001</v>
      </c>
      <c r="D18" s="8">
        <v>1517.6922999999999</v>
      </c>
      <c r="E18" s="8">
        <v>1556.1538</v>
      </c>
      <c r="F18" s="9">
        <v>1292.6922999999999</v>
      </c>
      <c r="G18" s="8">
        <v>1079.2308</v>
      </c>
      <c r="H18" s="8">
        <v>133.07692</v>
      </c>
      <c r="I18" s="8">
        <v>122.69231000000001</v>
      </c>
      <c r="J18" s="9">
        <v>1.9230769000000001</v>
      </c>
      <c r="K18" s="7">
        <v>1975</v>
      </c>
      <c r="L18" s="8">
        <v>488.46154000000001</v>
      </c>
      <c r="M18" s="8">
        <v>0.38461538000000001</v>
      </c>
      <c r="N18" s="9">
        <v>1.5384614999999999</v>
      </c>
    </row>
    <row r="19" spans="1:14">
      <c r="A19" s="6">
        <v>16</v>
      </c>
      <c r="B19" s="7">
        <v>21514.256000000001</v>
      </c>
      <c r="C19" s="7">
        <v>17170.871999999999</v>
      </c>
      <c r="D19" s="8">
        <v>1518.7692</v>
      </c>
      <c r="E19" s="8">
        <v>1532.7179000000001</v>
      </c>
      <c r="F19" s="9">
        <v>1291.8974000000001</v>
      </c>
      <c r="G19" s="8">
        <v>1022.359</v>
      </c>
      <c r="H19" s="8">
        <v>130.87179</v>
      </c>
      <c r="I19" s="8">
        <v>117.33333</v>
      </c>
      <c r="J19" s="9">
        <v>2.0512820999999999</v>
      </c>
      <c r="K19" s="7">
        <v>1954.4614999999999</v>
      </c>
      <c r="L19" s="8">
        <v>499.28205000000003</v>
      </c>
      <c r="M19" s="8">
        <v>1.2307691999999999</v>
      </c>
      <c r="N19" s="9">
        <v>0.41025641000000002</v>
      </c>
    </row>
    <row r="20" spans="1:14">
      <c r="A20" s="6">
        <v>17</v>
      </c>
      <c r="B20" s="7">
        <v>21278.769</v>
      </c>
      <c r="C20" s="7">
        <v>17068</v>
      </c>
      <c r="D20" s="8">
        <v>1485.1025999999999</v>
      </c>
      <c r="E20" s="8">
        <v>1440.6410000000001</v>
      </c>
      <c r="F20" s="9">
        <v>1285.0255999999999</v>
      </c>
      <c r="G20" s="8">
        <v>961.58974000000001</v>
      </c>
      <c r="H20" s="8">
        <v>127.71795</v>
      </c>
      <c r="I20" s="8">
        <v>105.05128000000001</v>
      </c>
      <c r="J20" s="9">
        <v>2.1794872000000001</v>
      </c>
      <c r="K20" s="7">
        <v>1940.1795</v>
      </c>
      <c r="L20" s="8">
        <v>493.4359</v>
      </c>
      <c r="M20" s="8">
        <v>2.6153846000000001</v>
      </c>
      <c r="N20" s="9">
        <v>0</v>
      </c>
    </row>
    <row r="21" spans="1:14">
      <c r="A21" s="6">
        <v>18</v>
      </c>
      <c r="B21" s="7">
        <v>21000.462</v>
      </c>
      <c r="C21" s="7">
        <v>16991.538</v>
      </c>
      <c r="D21" s="8">
        <v>1425.6922999999999</v>
      </c>
      <c r="E21" s="8">
        <v>1407.2308</v>
      </c>
      <c r="F21" s="9">
        <v>1176</v>
      </c>
      <c r="G21" s="8">
        <v>969.23077000000001</v>
      </c>
      <c r="H21" s="8">
        <v>133.84614999999999</v>
      </c>
      <c r="I21" s="8">
        <v>106.61538</v>
      </c>
      <c r="J21" s="9">
        <v>1.8461538</v>
      </c>
      <c r="K21" s="7">
        <v>1933.8462</v>
      </c>
      <c r="L21" s="8">
        <v>471.69231000000002</v>
      </c>
      <c r="M21" s="8">
        <v>1.3846153999999999</v>
      </c>
      <c r="N21" s="9">
        <v>0</v>
      </c>
    </row>
    <row r="22" spans="1:14">
      <c r="A22" s="6">
        <v>19</v>
      </c>
      <c r="B22" s="7">
        <v>20705.128000000001</v>
      </c>
      <c r="C22" s="7">
        <v>16811.59</v>
      </c>
      <c r="D22" s="8">
        <v>1380.1795</v>
      </c>
      <c r="E22" s="8">
        <v>1321.7179000000001</v>
      </c>
      <c r="F22" s="9">
        <v>1191.6410000000001</v>
      </c>
      <c r="G22" s="8">
        <v>914.43589999999995</v>
      </c>
      <c r="H22" s="8">
        <v>113.51282</v>
      </c>
      <c r="I22" s="8">
        <v>89.641025999999997</v>
      </c>
      <c r="J22" s="9">
        <v>0.48717948999999999</v>
      </c>
      <c r="K22" s="7">
        <v>1986.2308</v>
      </c>
      <c r="L22" s="8">
        <v>502.76922999999999</v>
      </c>
      <c r="M22" s="8">
        <v>1.9487178999999999</v>
      </c>
      <c r="N22" s="9">
        <v>0.48717948999999999</v>
      </c>
    </row>
    <row r="23" spans="1:14">
      <c r="A23" s="6">
        <v>20</v>
      </c>
      <c r="B23" s="7">
        <v>20716.41</v>
      </c>
      <c r="C23" s="7">
        <v>16909.231</v>
      </c>
      <c r="D23" s="8">
        <v>1371.7949000000001</v>
      </c>
      <c r="E23" s="8">
        <v>1317.4358999999999</v>
      </c>
      <c r="F23" s="9">
        <v>1117.9486999999999</v>
      </c>
      <c r="G23" s="8">
        <v>880.51282000000003</v>
      </c>
      <c r="H23" s="8">
        <v>109.23077000000001</v>
      </c>
      <c r="I23" s="8">
        <v>91.282050999999996</v>
      </c>
      <c r="J23" s="9">
        <v>1.025641</v>
      </c>
      <c r="K23" s="7">
        <v>1956.4103</v>
      </c>
      <c r="L23" s="8">
        <v>522.56410000000005</v>
      </c>
      <c r="M23" s="8">
        <v>2.5641026</v>
      </c>
      <c r="N23" s="9">
        <v>0.51282050999999995</v>
      </c>
    </row>
    <row r="24" spans="1:14">
      <c r="A24" s="6">
        <v>21</v>
      </c>
      <c r="B24" s="7">
        <v>20445.922999999999</v>
      </c>
      <c r="C24" s="7">
        <v>16822.077000000001</v>
      </c>
      <c r="D24" s="8">
        <v>1366.6153999999999</v>
      </c>
      <c r="E24" s="8">
        <v>1213.1538</v>
      </c>
      <c r="F24" s="9">
        <v>1044.0769</v>
      </c>
      <c r="G24" s="8">
        <v>850.23077000000001</v>
      </c>
      <c r="H24" s="8">
        <v>116.30768999999999</v>
      </c>
      <c r="I24" s="8">
        <v>87.230768999999995</v>
      </c>
      <c r="J24" s="9">
        <v>3.7692307999999999</v>
      </c>
      <c r="K24" s="7">
        <v>2011.6922999999999</v>
      </c>
      <c r="L24" s="8">
        <v>493.76922999999999</v>
      </c>
      <c r="M24" s="8">
        <v>2.1538461999999998</v>
      </c>
      <c r="N24" s="9">
        <v>0.53846154000000002</v>
      </c>
    </row>
    <row r="25" spans="1:14">
      <c r="A25" s="6">
        <v>22</v>
      </c>
      <c r="B25" s="7">
        <v>20086</v>
      </c>
      <c r="C25" s="7">
        <v>16576.718000000001</v>
      </c>
      <c r="D25" s="8">
        <v>1328.4614999999999</v>
      </c>
      <c r="E25" s="8">
        <v>1171.0769</v>
      </c>
      <c r="F25" s="9">
        <v>1009.7436</v>
      </c>
      <c r="G25" s="8">
        <v>869.28205000000003</v>
      </c>
      <c r="H25" s="8">
        <v>108.30768999999999</v>
      </c>
      <c r="I25" s="8">
        <v>78.974359000000007</v>
      </c>
      <c r="J25" s="9">
        <v>2.8205127999999999</v>
      </c>
      <c r="K25" s="7">
        <v>1989.0255999999999</v>
      </c>
      <c r="L25" s="8">
        <v>469.33332999999999</v>
      </c>
      <c r="M25" s="8">
        <v>0.56410256000000003</v>
      </c>
      <c r="N25" s="9">
        <v>0</v>
      </c>
    </row>
    <row r="26" spans="1:14">
      <c r="A26" s="6">
        <v>23</v>
      </c>
      <c r="B26" s="7">
        <v>19786.487000000001</v>
      </c>
      <c r="C26" s="7">
        <v>16418.462</v>
      </c>
      <c r="D26" s="8">
        <v>1296.8462</v>
      </c>
      <c r="E26" s="8">
        <v>1055.6410000000001</v>
      </c>
      <c r="F26" s="9">
        <v>1015.5385</v>
      </c>
      <c r="G26" s="8">
        <v>769.61537999999996</v>
      </c>
      <c r="H26" s="8">
        <v>104.38462</v>
      </c>
      <c r="I26" s="8">
        <v>84.923077000000006</v>
      </c>
      <c r="J26" s="9">
        <v>2.3589744000000001</v>
      </c>
      <c r="K26" s="7">
        <v>1999.2308</v>
      </c>
      <c r="L26" s="8">
        <v>480.64103</v>
      </c>
      <c r="M26" s="8">
        <v>0.58974358999999998</v>
      </c>
      <c r="N26" s="9">
        <v>0.58974358999999998</v>
      </c>
    </row>
    <row r="27" spans="1:14">
      <c r="A27" s="6">
        <v>24</v>
      </c>
      <c r="B27" s="7">
        <v>19676.308000000001</v>
      </c>
      <c r="C27" s="7">
        <v>16389.538</v>
      </c>
      <c r="D27" s="8">
        <v>1276.9231</v>
      </c>
      <c r="E27" s="8">
        <v>1035.6922999999999</v>
      </c>
      <c r="F27" s="9">
        <v>974.15385000000003</v>
      </c>
      <c r="G27" s="8">
        <v>750.76922999999999</v>
      </c>
      <c r="H27" s="8">
        <v>80.615385000000003</v>
      </c>
      <c r="I27" s="8">
        <v>81.230768999999995</v>
      </c>
      <c r="J27" s="9">
        <v>3.6923077000000002</v>
      </c>
      <c r="K27" s="7">
        <v>1977.2308</v>
      </c>
      <c r="L27" s="8">
        <v>490.46154000000001</v>
      </c>
      <c r="M27" s="8">
        <v>1.2307691999999999</v>
      </c>
      <c r="N27" s="9">
        <v>2.4615385000000001</v>
      </c>
    </row>
    <row r="28" spans="1:14">
      <c r="A28" s="6">
        <v>25</v>
      </c>
      <c r="B28" s="7">
        <v>19126.922999999999</v>
      </c>
      <c r="C28" s="7">
        <v>15796.154</v>
      </c>
      <c r="D28" s="8">
        <v>1255.1282000000001</v>
      </c>
      <c r="E28" s="8">
        <v>1058.3333</v>
      </c>
      <c r="F28" s="9">
        <v>1017.3077</v>
      </c>
      <c r="G28" s="8">
        <v>789.74359000000004</v>
      </c>
      <c r="H28" s="8">
        <v>80.128204999999994</v>
      </c>
      <c r="I28" s="8">
        <v>80.128204999999994</v>
      </c>
      <c r="J28" s="9">
        <v>4.4871794999999999</v>
      </c>
      <c r="K28" s="7">
        <v>1880.1282000000001</v>
      </c>
      <c r="L28" s="8">
        <v>477.5641</v>
      </c>
      <c r="M28" s="8">
        <v>0.64102563999999995</v>
      </c>
      <c r="N28" s="9">
        <v>0</v>
      </c>
    </row>
    <row r="29" spans="1:14">
      <c r="A29" s="6">
        <v>26</v>
      </c>
      <c r="B29" s="7">
        <v>18710</v>
      </c>
      <c r="C29" s="7">
        <v>15676.666999999999</v>
      </c>
      <c r="D29" s="8">
        <v>1210</v>
      </c>
      <c r="E29" s="8">
        <v>944.66666999999995</v>
      </c>
      <c r="F29" s="9">
        <v>878.66666999999995</v>
      </c>
      <c r="G29" s="8">
        <v>701.33333000000005</v>
      </c>
      <c r="H29" s="8">
        <v>83.333332999999996</v>
      </c>
      <c r="I29" s="8">
        <v>76</v>
      </c>
      <c r="J29" s="9">
        <v>1.3333333000000001</v>
      </c>
      <c r="K29" s="7">
        <v>1845.3333</v>
      </c>
      <c r="L29" s="8">
        <v>459.33332999999999</v>
      </c>
      <c r="M29" s="8">
        <v>1.3333333000000001</v>
      </c>
      <c r="N29" s="9">
        <v>1.3333333000000001</v>
      </c>
    </row>
    <row r="30" spans="1:14">
      <c r="A30" s="6">
        <v>27</v>
      </c>
      <c r="B30" s="7">
        <v>18137.769</v>
      </c>
      <c r="C30" s="7">
        <v>15245.308000000001</v>
      </c>
      <c r="D30" s="8">
        <v>1104.2308</v>
      </c>
      <c r="E30" s="8">
        <v>913.15385000000003</v>
      </c>
      <c r="F30" s="9">
        <v>875.07691999999997</v>
      </c>
      <c r="G30" s="8">
        <v>638.30768999999998</v>
      </c>
      <c r="H30" s="8">
        <v>72</v>
      </c>
      <c r="I30" s="8">
        <v>67.153846000000001</v>
      </c>
      <c r="J30" s="9">
        <v>6.2307692000000001</v>
      </c>
      <c r="K30" s="7">
        <v>1823.5385000000001</v>
      </c>
      <c r="L30" s="8">
        <v>426.46154000000001</v>
      </c>
      <c r="M30" s="8">
        <v>0.69230769000000003</v>
      </c>
      <c r="N30" s="9">
        <v>0</v>
      </c>
    </row>
    <row r="31" spans="1:14">
      <c r="A31" s="6">
        <v>28</v>
      </c>
      <c r="B31" s="7">
        <v>17804.41</v>
      </c>
      <c r="C31" s="7">
        <v>15030.255999999999</v>
      </c>
      <c r="D31" s="8">
        <v>1097.7436</v>
      </c>
      <c r="E31" s="8">
        <v>860.10256000000004</v>
      </c>
      <c r="F31" s="9">
        <v>816.30768999999998</v>
      </c>
      <c r="G31" s="8">
        <v>621.02563999999995</v>
      </c>
      <c r="H31" s="8">
        <v>58.871794999999999</v>
      </c>
      <c r="I31" s="8">
        <v>73.948718</v>
      </c>
      <c r="J31" s="9">
        <v>0.71794871999999998</v>
      </c>
      <c r="K31" s="7">
        <v>1772.6153999999999</v>
      </c>
      <c r="L31" s="8">
        <v>444.41025999999999</v>
      </c>
      <c r="M31" s="8">
        <v>4.3076923000000003</v>
      </c>
      <c r="N31" s="9">
        <v>0</v>
      </c>
    </row>
    <row r="32" spans="1:14">
      <c r="A32" s="6">
        <v>29</v>
      </c>
      <c r="B32" s="7">
        <v>17273.59</v>
      </c>
      <c r="C32" s="7">
        <v>14609.308000000001</v>
      </c>
      <c r="D32" s="8">
        <v>1094.5641000000001</v>
      </c>
      <c r="E32" s="8">
        <v>801.58974000000001</v>
      </c>
      <c r="F32" s="9">
        <v>768.12820999999997</v>
      </c>
      <c r="G32" s="8">
        <v>622.38462000000004</v>
      </c>
      <c r="H32" s="8">
        <v>55.769230999999998</v>
      </c>
      <c r="I32" s="8">
        <v>61.717948999999997</v>
      </c>
      <c r="J32" s="9">
        <v>0.74358974</v>
      </c>
      <c r="K32" s="7">
        <v>1669.3589999999999</v>
      </c>
      <c r="L32" s="8">
        <v>461.02564000000001</v>
      </c>
      <c r="M32" s="8">
        <v>0.74358974</v>
      </c>
      <c r="N32" s="9">
        <v>0.74358974</v>
      </c>
    </row>
    <row r="33" spans="1:14">
      <c r="A33" s="6">
        <v>30</v>
      </c>
      <c r="B33" s="7">
        <v>16918.462</v>
      </c>
      <c r="C33" s="7">
        <v>14406.154</v>
      </c>
      <c r="D33" s="8">
        <v>990</v>
      </c>
      <c r="E33" s="8">
        <v>756.92308000000003</v>
      </c>
      <c r="F33" s="9">
        <v>765.38462000000004</v>
      </c>
      <c r="G33" s="8">
        <v>542.30768999999998</v>
      </c>
      <c r="H33" s="8">
        <v>60</v>
      </c>
      <c r="I33" s="8">
        <v>61.538462000000003</v>
      </c>
      <c r="J33" s="9">
        <v>1.5384614999999999</v>
      </c>
      <c r="K33" s="7">
        <v>1719.2308</v>
      </c>
      <c r="L33" s="8">
        <v>443.07691999999997</v>
      </c>
      <c r="M33" s="8">
        <v>3.0769231000000001</v>
      </c>
      <c r="N33" s="9">
        <v>0</v>
      </c>
    </row>
    <row r="34" spans="1:14">
      <c r="A34" s="6">
        <v>31</v>
      </c>
      <c r="B34" s="7">
        <v>16414.102999999999</v>
      </c>
      <c r="C34" s="7">
        <v>14038.231</v>
      </c>
      <c r="D34" s="8">
        <v>999.94871999999998</v>
      </c>
      <c r="E34" s="8">
        <v>689.94871999999998</v>
      </c>
      <c r="F34" s="9">
        <v>685.97436000000005</v>
      </c>
      <c r="G34" s="8">
        <v>499.97435999999999</v>
      </c>
      <c r="H34" s="8">
        <v>35.769230999999998</v>
      </c>
      <c r="I34" s="8">
        <v>50.076923000000001</v>
      </c>
      <c r="J34" s="9">
        <v>0.79487178999999997</v>
      </c>
      <c r="K34" s="7">
        <v>1582.5897</v>
      </c>
      <c r="L34" s="8">
        <v>430.02564000000001</v>
      </c>
      <c r="M34" s="8">
        <v>3.1794872000000001</v>
      </c>
      <c r="N34" s="9">
        <v>0.79487178999999997</v>
      </c>
    </row>
    <row r="35" spans="1:14">
      <c r="A35" s="6">
        <v>32</v>
      </c>
      <c r="B35" s="7">
        <v>15734.154</v>
      </c>
      <c r="C35" s="7">
        <v>13539.281999999999</v>
      </c>
      <c r="D35" s="8">
        <v>959.17948999999999</v>
      </c>
      <c r="E35" s="8">
        <v>621.12820999999997</v>
      </c>
      <c r="F35" s="9">
        <v>614.56410000000005</v>
      </c>
      <c r="G35" s="8">
        <v>497.23077000000001</v>
      </c>
      <c r="H35" s="8">
        <v>45.948718</v>
      </c>
      <c r="I35" s="8">
        <v>53.333333000000003</v>
      </c>
      <c r="J35" s="9">
        <v>0.82051282000000003</v>
      </c>
      <c r="K35" s="7">
        <v>1468.7179000000001</v>
      </c>
      <c r="L35" s="8">
        <v>447.17948999999999</v>
      </c>
      <c r="M35" s="8">
        <v>0</v>
      </c>
      <c r="N35" s="9">
        <v>0</v>
      </c>
    </row>
    <row r="36" spans="1:14">
      <c r="A36" s="6">
        <v>33</v>
      </c>
      <c r="B36" s="7">
        <v>15070.846</v>
      </c>
      <c r="C36" s="7">
        <v>12978.308000000001</v>
      </c>
      <c r="D36" s="8">
        <v>915.53845999999999</v>
      </c>
      <c r="E36" s="8">
        <v>609.23077000000001</v>
      </c>
      <c r="F36" s="9">
        <v>567.76922999999999</v>
      </c>
      <c r="G36" s="8">
        <v>474.69231000000002</v>
      </c>
      <c r="H36" s="8">
        <v>47.384614999999997</v>
      </c>
      <c r="I36" s="8">
        <v>49.076923000000001</v>
      </c>
      <c r="J36" s="9">
        <v>0.84615384999999999</v>
      </c>
      <c r="K36" s="7">
        <v>1368.2308</v>
      </c>
      <c r="L36" s="8">
        <v>429</v>
      </c>
      <c r="M36" s="8">
        <v>0</v>
      </c>
      <c r="N36" s="9">
        <v>0.84615384999999999</v>
      </c>
    </row>
    <row r="37" spans="1:14">
      <c r="A37" s="6">
        <v>34</v>
      </c>
      <c r="B37" s="7">
        <v>15132.615</v>
      </c>
      <c r="C37" s="7">
        <v>13160.615</v>
      </c>
      <c r="D37" s="8">
        <v>900.56410000000005</v>
      </c>
      <c r="E37" s="8">
        <v>522.20513000000005</v>
      </c>
      <c r="F37" s="9">
        <v>549.23077000000001</v>
      </c>
      <c r="G37" s="8">
        <v>412.35897</v>
      </c>
      <c r="H37" s="8">
        <v>38.358974000000003</v>
      </c>
      <c r="I37" s="8">
        <v>33.128205000000001</v>
      </c>
      <c r="J37" s="9">
        <v>0.87179487</v>
      </c>
      <c r="K37" s="7">
        <v>1425.3846000000001</v>
      </c>
      <c r="L37" s="8">
        <v>461.17948999999999</v>
      </c>
      <c r="M37" s="8">
        <v>1.7435897</v>
      </c>
      <c r="N37" s="9">
        <v>0.87179487</v>
      </c>
    </row>
    <row r="38" spans="1:14">
      <c r="A38" s="6">
        <v>35</v>
      </c>
      <c r="B38" s="7">
        <v>14266.538</v>
      </c>
      <c r="C38" s="7">
        <v>12409.744000000001</v>
      </c>
      <c r="D38" s="8">
        <v>818.46154000000001</v>
      </c>
      <c r="E38" s="8">
        <v>518.71794999999997</v>
      </c>
      <c r="F38" s="9">
        <v>519.61537999999996</v>
      </c>
      <c r="G38" s="8">
        <v>404.74358999999998</v>
      </c>
      <c r="H38" s="8">
        <v>29.615385</v>
      </c>
      <c r="I38" s="8">
        <v>42.179487000000002</v>
      </c>
      <c r="J38" s="9">
        <v>5.3846154000000004</v>
      </c>
      <c r="K38" s="7">
        <v>1313.8462</v>
      </c>
      <c r="L38" s="8">
        <v>401.15384999999998</v>
      </c>
      <c r="M38" s="8">
        <v>0.89743589999999995</v>
      </c>
      <c r="N38" s="9">
        <v>0.89743589999999995</v>
      </c>
    </row>
    <row r="39" spans="1:14">
      <c r="A39" s="6">
        <v>36</v>
      </c>
      <c r="B39" s="7">
        <v>14006.769</v>
      </c>
      <c r="C39" s="7">
        <v>12220.615</v>
      </c>
      <c r="D39" s="8">
        <v>878.76922999999999</v>
      </c>
      <c r="E39" s="8">
        <v>434.76922999999999</v>
      </c>
      <c r="F39" s="9">
        <v>472.61538000000002</v>
      </c>
      <c r="G39" s="8">
        <v>350.76922999999999</v>
      </c>
      <c r="H39" s="8">
        <v>35.076923000000001</v>
      </c>
      <c r="I39" s="8">
        <v>41.538462000000003</v>
      </c>
      <c r="J39" s="9">
        <v>0</v>
      </c>
      <c r="K39" s="7">
        <v>1268.3077000000001</v>
      </c>
      <c r="L39" s="8">
        <v>483.69231000000002</v>
      </c>
      <c r="M39" s="8">
        <v>0</v>
      </c>
      <c r="N39" s="9">
        <v>2.7692307999999999</v>
      </c>
    </row>
    <row r="40" spans="1:14">
      <c r="A40" s="6">
        <v>37</v>
      </c>
      <c r="B40" s="7">
        <v>14177.641</v>
      </c>
      <c r="C40" s="7">
        <v>12462.359</v>
      </c>
      <c r="D40" s="8">
        <v>833.92308000000003</v>
      </c>
      <c r="E40" s="8">
        <v>423.12821000000002</v>
      </c>
      <c r="F40" s="9">
        <v>458.23077000000001</v>
      </c>
      <c r="G40" s="8">
        <v>314.02564000000001</v>
      </c>
      <c r="H40" s="8">
        <v>18.974359</v>
      </c>
      <c r="I40" s="8">
        <v>31.307691999999999</v>
      </c>
      <c r="J40" s="9">
        <v>3.7948718000000001</v>
      </c>
      <c r="K40" s="7">
        <v>1191.5897</v>
      </c>
      <c r="L40" s="8">
        <v>495.23077000000001</v>
      </c>
      <c r="M40" s="8">
        <v>0</v>
      </c>
      <c r="N40" s="9">
        <v>0.94871795000000003</v>
      </c>
    </row>
    <row r="41" spans="1:14">
      <c r="A41" s="6">
        <v>38</v>
      </c>
      <c r="B41" s="7">
        <v>15115.231</v>
      </c>
      <c r="C41" s="7">
        <v>13305.846</v>
      </c>
      <c r="D41" s="8">
        <v>911.02563999999995</v>
      </c>
      <c r="E41" s="8">
        <v>424.82051000000001</v>
      </c>
      <c r="F41" s="9">
        <v>473.53845999999999</v>
      </c>
      <c r="G41" s="8">
        <v>330.30768999999998</v>
      </c>
      <c r="H41" s="8">
        <v>10.717949000000001</v>
      </c>
      <c r="I41" s="8">
        <v>21.435897000000001</v>
      </c>
      <c r="J41" s="9">
        <v>2.9230768999999999</v>
      </c>
      <c r="K41" s="7">
        <v>1143.8974000000001</v>
      </c>
      <c r="L41" s="8">
        <v>662.56410000000005</v>
      </c>
      <c r="M41" s="8">
        <v>0</v>
      </c>
      <c r="N41" s="9">
        <v>2.9230768999999999</v>
      </c>
    </row>
    <row r="42" spans="1:14" ht="13" thickBot="1">
      <c r="A42" s="10">
        <v>39</v>
      </c>
      <c r="B42" s="11">
        <v>18363</v>
      </c>
      <c r="C42" s="11">
        <v>16214</v>
      </c>
      <c r="D42" s="12">
        <v>873</v>
      </c>
      <c r="E42" s="12">
        <v>452</v>
      </c>
      <c r="F42" s="13">
        <v>824</v>
      </c>
      <c r="G42" s="12">
        <v>255</v>
      </c>
      <c r="H42" s="12">
        <v>7</v>
      </c>
      <c r="I42" s="12">
        <v>18</v>
      </c>
      <c r="J42" s="13">
        <v>1</v>
      </c>
      <c r="K42" s="11">
        <v>1177</v>
      </c>
      <c r="L42" s="12">
        <v>934</v>
      </c>
      <c r="M42" s="12">
        <v>2</v>
      </c>
      <c r="N42" s="13">
        <v>6</v>
      </c>
    </row>
    <row r="43" spans="1:14">
      <c r="A43" s="6" t="s">
        <v>16</v>
      </c>
      <c r="B43" s="14">
        <f ca="1">SUM(B4:B42)</f>
        <v>761416.51500000001</v>
      </c>
      <c r="C43" s="14">
        <f t="shared" ref="C43:N43" ca="1" si="0">SUM(C4:C42)</f>
        <v>615257.51599999995</v>
      </c>
      <c r="D43" s="14">
        <f t="shared" ca="1" si="0"/>
        <v>52227.102859999999</v>
      </c>
      <c r="E43" s="14">
        <f t="shared" ca="1" si="0"/>
        <v>52454.358830000012</v>
      </c>
      <c r="F43" s="14">
        <f t="shared" ca="1" si="0"/>
        <v>41477.538310000018</v>
      </c>
      <c r="G43" s="14">
        <f t="shared" ca="1" si="0"/>
        <v>34240.871880000006</v>
      </c>
      <c r="H43" s="14">
        <f t="shared" ca="1" si="0"/>
        <v>4602.4102429999994</v>
      </c>
      <c r="I43" s="14">
        <f t="shared" ca="1" si="0"/>
        <v>3815.2820329999995</v>
      </c>
      <c r="J43" s="14">
        <f t="shared" ca="1" si="0"/>
        <v>97.538461480000009</v>
      </c>
      <c r="K43" s="14">
        <f t="shared" ca="1" si="0"/>
        <v>66555.077099999995</v>
      </c>
      <c r="L43" s="14">
        <f t="shared" ca="1" si="0"/>
        <v>20470.205169999994</v>
      </c>
      <c r="M43" s="14">
        <f t="shared" ca="1" si="0"/>
        <v>75.538461099999992</v>
      </c>
      <c r="N43" s="14">
        <f t="shared" ca="1" si="0"/>
        <v>32.794871739999998</v>
      </c>
    </row>
    <row r="44" spans="1:14">
      <c r="A44" s="6" t="s">
        <v>17</v>
      </c>
      <c r="B44" s="15">
        <f ca="1">B4/B43</f>
        <v>3.3485463603320977E-2</v>
      </c>
      <c r="C44" s="15">
        <f t="shared" ref="C44:N44" ca="1" si="1">C4/C43</f>
        <v>3.14890033785463E-2</v>
      </c>
      <c r="D44" s="15">
        <f t="shared" ca="1" si="1"/>
        <v>3.186183435180498E-2</v>
      </c>
      <c r="E44" s="15">
        <f t="shared" ca="1" si="1"/>
        <v>5.7117787097732395E-2</v>
      </c>
      <c r="F44" s="15">
        <f t="shared" ca="1" si="1"/>
        <v>3.5257885583036649E-2</v>
      </c>
      <c r="G44" s="15">
        <f t="shared" ca="1" si="1"/>
        <v>3.9714870718414653E-2</v>
      </c>
      <c r="H44" s="15">
        <f t="shared" ca="1" si="1"/>
        <v>6.1088393940461692E-2</v>
      </c>
      <c r="I44" s="15">
        <f t="shared" ca="1" si="1"/>
        <v>5.7750207741981634E-2</v>
      </c>
      <c r="J44" s="15">
        <f t="shared" ca="1" si="1"/>
        <v>3.75920087764747E-2</v>
      </c>
      <c r="K44" s="15">
        <f t="shared" ca="1" si="1"/>
        <v>2.1946349754885946E-2</v>
      </c>
      <c r="L44" s="15">
        <f t="shared" ca="1" si="1"/>
        <v>5.0771728537589461E-2</v>
      </c>
      <c r="M44" s="15">
        <f t="shared" ca="1" si="1"/>
        <v>0.13781398043333981</v>
      </c>
      <c r="N44" s="15">
        <f t="shared" ca="1" si="1"/>
        <v>3.9874902099556131E-2</v>
      </c>
    </row>
  </sheetData>
  <pageMargins left="0.70000000000000007" right="0.70000000000000007" top="0.75000000000000011" bottom="0.75000000000000011" header="0.30000000000000004" footer="0.30000000000000004"/>
  <pageSetup paperSize="9" scale="6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</vt:lpstr>
    </vt:vector>
  </TitlesOfParts>
  <Company>EPFL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Massouras</dc:creator>
  <cp:lastModifiedBy>Andreas Massouras</cp:lastModifiedBy>
  <dcterms:created xsi:type="dcterms:W3CDTF">2012-09-14T09:06:53Z</dcterms:created>
  <dcterms:modified xsi:type="dcterms:W3CDTF">2012-09-14T09:07:00Z</dcterms:modified>
</cp:coreProperties>
</file>