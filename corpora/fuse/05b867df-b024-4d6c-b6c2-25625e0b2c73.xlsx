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worksheets/sheet1.xml" ContentType="application/vnd.openxmlformats-officedocument.spreadsheetml.workshee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pivotTables/pivotTable3.xml" ContentType="application/vnd.openxmlformats-officedocument.spreadsheetml.pivotTable+xml"/>
  <Override PartName="/xl/charts/chart2.xml" ContentType="application/vnd.openxmlformats-officedocument.drawingml.chart+xml"/>
  <Override PartName="/xl/pivotTables/pivotTable4.xml" ContentType="application/vnd.openxmlformats-officedocument.spreadsheetml.pivotTable+xml"/>
  <Override PartName="/xl/pivotTables/pivotTable2.xml" ContentType="application/vnd.openxmlformats-officedocument.spreadsheetml.pivotTable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xl/pivotCache/pivotCacheRecords1.xml" ContentType="application/vnd.openxmlformats-officedocument.spreadsheetml.pivotCacheRecords+xml"/>
  <Override PartName="/xl/externalLinks/externalLink3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docProps/app.xml" ContentType="application/vnd.openxmlformats-officedocument.extended-properties+xml"/>
  <Override PartName="/xl/pivotCache/pivotCacheDefinition4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calcChain.xml" ContentType="application/vnd.openxmlformats-officedocument.spreadsheetml.calcChain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0" windowWidth="27795" windowHeight="12840" firstSheet="1" activeTab="1"/>
  </bookViews>
  <sheets>
    <sheet name="Sheet1" sheetId="1" state="hidden" r:id="rId1"/>
    <sheet name="Table" sheetId="3" r:id="rId2"/>
    <sheet name="Sheet2" sheetId="2" state="hidden" r:id="rId3"/>
    <sheet name="TOTAL AWARDS GRAPH" sheetId="4" r:id="rId4"/>
    <sheet name="GENDER % GRAPH" sheetId="5" r:id="rId5"/>
    <sheet name="ETHNICITY % GRAPH" sheetId="7" r:id="rId6"/>
    <sheet name="AGE % GRAPH" sheetId="8" r:id="rId7"/>
  </sheets>
  <externalReferences>
    <externalReference r:id="rId8"/>
    <externalReference r:id="rId9"/>
    <externalReference r:id="rId10"/>
  </externalReferences>
  <calcPr calcId="145621"/>
  <pivotCaches>
    <pivotCache cacheId="54" r:id="rId11"/>
    <pivotCache cacheId="57" r:id="rId12"/>
    <pivotCache cacheId="60" r:id="rId13"/>
    <pivotCache cacheId="63" r:id="rId14"/>
  </pivotCaches>
</workbook>
</file>

<file path=xl/calcChain.xml><?xml version="1.0" encoding="utf-8"?>
<calcChain xmlns="http://schemas.openxmlformats.org/spreadsheetml/2006/main">
  <c r="G24" i="3" l="1"/>
  <c r="G12" i="3"/>
  <c r="H23" i="1" l="1"/>
  <c r="H11" i="1"/>
  <c r="G14" i="3" l="1"/>
  <c r="F4" i="3"/>
  <c r="F15" i="3" s="1"/>
  <c r="H15" i="3" s="1"/>
  <c r="E4" i="3"/>
  <c r="E15" i="3" s="1"/>
  <c r="D4" i="3"/>
  <c r="D15" i="3" s="1"/>
  <c r="C4" i="3"/>
  <c r="C15" i="3" s="1"/>
  <c r="B4" i="3"/>
  <c r="B15" i="3" s="1"/>
  <c r="B8" i="3" l="1"/>
  <c r="C8" i="3"/>
  <c r="D8" i="3"/>
  <c r="E8" i="3"/>
  <c r="F8" i="3"/>
  <c r="H8" i="3" s="1"/>
  <c r="B13" i="3"/>
  <c r="C13" i="3"/>
  <c r="D13" i="3"/>
  <c r="E13" i="3"/>
  <c r="F13" i="3"/>
  <c r="H13" i="3" s="1"/>
  <c r="B33" i="3"/>
  <c r="B31" i="3"/>
  <c r="B29" i="3"/>
  <c r="B27" i="3"/>
  <c r="B25" i="3"/>
  <c r="B19" i="3"/>
  <c r="B17" i="3"/>
  <c r="B32" i="3"/>
  <c r="B30" i="3"/>
  <c r="B28" i="3"/>
  <c r="B26" i="3"/>
  <c r="B20" i="3"/>
  <c r="B18" i="3"/>
  <c r="C33" i="3"/>
  <c r="C31" i="3"/>
  <c r="C29" i="3"/>
  <c r="C27" i="3"/>
  <c r="C25" i="3"/>
  <c r="C19" i="3"/>
  <c r="C17" i="3"/>
  <c r="C32" i="3"/>
  <c r="C30" i="3"/>
  <c r="C28" i="3"/>
  <c r="C26" i="3"/>
  <c r="C20" i="3"/>
  <c r="C18" i="3"/>
  <c r="D33" i="3"/>
  <c r="D31" i="3"/>
  <c r="D29" i="3"/>
  <c r="D27" i="3"/>
  <c r="D25" i="3"/>
  <c r="D19" i="3"/>
  <c r="D17" i="3"/>
  <c r="D32" i="3"/>
  <c r="D30" i="3"/>
  <c r="D28" i="3"/>
  <c r="D26" i="3"/>
  <c r="D20" i="3"/>
  <c r="D18" i="3"/>
  <c r="E33" i="3"/>
  <c r="E31" i="3"/>
  <c r="E29" i="3"/>
  <c r="E27" i="3"/>
  <c r="E25" i="3"/>
  <c r="E20" i="3"/>
  <c r="E19" i="3"/>
  <c r="E17" i="3"/>
  <c r="E32" i="3"/>
  <c r="E30" i="3"/>
  <c r="E28" i="3"/>
  <c r="E26" i="3"/>
  <c r="E18" i="3"/>
  <c r="F33" i="3"/>
  <c r="H33" i="3" s="1"/>
  <c r="F31" i="3"/>
  <c r="H31" i="3" s="1"/>
  <c r="F29" i="3"/>
  <c r="H29" i="3" s="1"/>
  <c r="F27" i="3"/>
  <c r="H27" i="3" s="1"/>
  <c r="F25" i="3"/>
  <c r="H25" i="3" s="1"/>
  <c r="F20" i="3"/>
  <c r="H20" i="3" s="1"/>
  <c r="F19" i="3"/>
  <c r="H19" i="3" s="1"/>
  <c r="F17" i="3"/>
  <c r="H17" i="3" s="1"/>
  <c r="F32" i="3"/>
  <c r="H32" i="3" s="1"/>
  <c r="F30" i="3"/>
  <c r="H30" i="3" s="1"/>
  <c r="F28" i="3"/>
  <c r="H28" i="3" s="1"/>
  <c r="F26" i="3"/>
  <c r="H26" i="3" s="1"/>
  <c r="F18" i="3"/>
  <c r="H18" i="3" s="1"/>
  <c r="B7" i="3"/>
  <c r="C7" i="3"/>
  <c r="D7" i="3"/>
  <c r="E7" i="3"/>
  <c r="F7" i="3"/>
  <c r="H7" i="3" s="1"/>
  <c r="B9" i="3"/>
  <c r="C9" i="3"/>
  <c r="D9" i="3"/>
  <c r="E9" i="3"/>
  <c r="F9" i="3"/>
  <c r="H9" i="3" s="1"/>
  <c r="B14" i="3"/>
  <c r="C14" i="3"/>
  <c r="D14" i="3"/>
  <c r="E14" i="3"/>
  <c r="F14" i="3"/>
  <c r="H14" i="3" s="1"/>
  <c r="B16" i="3"/>
  <c r="C16" i="3"/>
  <c r="D16" i="3"/>
  <c r="E16" i="3"/>
  <c r="F16" i="3"/>
  <c r="H16" i="3" s="1"/>
  <c r="G26" i="1"/>
  <c r="G27" i="1"/>
  <c r="G28" i="1"/>
  <c r="G29" i="1"/>
  <c r="G30" i="1"/>
  <c r="G31" i="1"/>
  <c r="G32" i="1"/>
  <c r="G33" i="1"/>
  <c r="G25" i="1"/>
  <c r="G8" i="1"/>
  <c r="G9" i="1"/>
  <c r="G7" i="1"/>
  <c r="G14" i="1"/>
  <c r="G15" i="1"/>
  <c r="G16" i="1"/>
  <c r="G17" i="1"/>
  <c r="G18" i="1"/>
  <c r="G19" i="1"/>
  <c r="G20" i="1"/>
  <c r="G21" i="1"/>
  <c r="G13" i="1"/>
  <c r="F21" i="3" l="1"/>
  <c r="H21" i="3" s="1"/>
  <c r="D21" i="3"/>
  <c r="B21" i="3"/>
  <c r="E21" i="3"/>
  <c r="C21" i="3"/>
  <c r="F4" i="1"/>
  <c r="F7" i="1" s="1"/>
  <c r="H7" i="1" s="1"/>
  <c r="F31" i="1" l="1"/>
  <c r="H31" i="1" s="1"/>
  <c r="F27" i="1"/>
  <c r="H27" i="1" s="1"/>
  <c r="F19" i="1"/>
  <c r="H19" i="1" s="1"/>
  <c r="F15" i="1"/>
  <c r="H15" i="1" s="1"/>
  <c r="F33" i="1"/>
  <c r="H33" i="1" s="1"/>
  <c r="F29" i="1"/>
  <c r="H29" i="1" s="1"/>
  <c r="F25" i="1"/>
  <c r="H25" i="1" s="1"/>
  <c r="F17" i="1"/>
  <c r="H17" i="1" s="1"/>
  <c r="F13" i="1"/>
  <c r="H13" i="1" s="1"/>
  <c r="F32" i="1"/>
  <c r="H32" i="1" s="1"/>
  <c r="F30" i="1"/>
  <c r="H30" i="1" s="1"/>
  <c r="F28" i="1"/>
  <c r="H28" i="1" s="1"/>
  <c r="F26" i="1"/>
  <c r="H26" i="1" s="1"/>
  <c r="F20" i="1"/>
  <c r="H20" i="1" s="1"/>
  <c r="F18" i="1"/>
  <c r="H18" i="1" s="1"/>
  <c r="F16" i="1"/>
  <c r="H16" i="1" s="1"/>
  <c r="F14" i="1"/>
  <c r="H14" i="1" s="1"/>
  <c r="F9" i="1"/>
  <c r="H9" i="1" s="1"/>
  <c r="F8" i="1"/>
  <c r="H8" i="1" s="1"/>
  <c r="C4" i="1"/>
  <c r="D4" i="1"/>
  <c r="E4" i="1"/>
  <c r="B4" i="1"/>
  <c r="F21" i="1" l="1"/>
  <c r="H21" i="1" s="1"/>
  <c r="E25" i="1"/>
  <c r="E26" i="1"/>
  <c r="E27" i="1"/>
  <c r="E28" i="1"/>
  <c r="E29" i="1"/>
  <c r="E30" i="1"/>
  <c r="E31" i="1"/>
  <c r="E32" i="1"/>
  <c r="E33" i="1"/>
  <c r="E20" i="1"/>
  <c r="E7" i="1"/>
  <c r="E8" i="1"/>
  <c r="E9" i="1"/>
  <c r="E13" i="1"/>
  <c r="E14" i="1"/>
  <c r="E15" i="1"/>
  <c r="E16" i="1"/>
  <c r="E17" i="1"/>
  <c r="E18" i="1"/>
  <c r="E19" i="1"/>
  <c r="C25" i="1"/>
  <c r="C26" i="1"/>
  <c r="C27" i="1"/>
  <c r="C28" i="1"/>
  <c r="C29" i="1"/>
  <c r="C30" i="1"/>
  <c r="C31" i="1"/>
  <c r="C32" i="1"/>
  <c r="C33" i="1"/>
  <c r="C7" i="1"/>
  <c r="C8" i="1"/>
  <c r="C9" i="1"/>
  <c r="C13" i="1"/>
  <c r="C14" i="1"/>
  <c r="C15" i="1"/>
  <c r="C16" i="1"/>
  <c r="C17" i="1"/>
  <c r="C18" i="1"/>
  <c r="C19" i="1"/>
  <c r="C20" i="1"/>
  <c r="B25" i="1"/>
  <c r="B26" i="1"/>
  <c r="B27" i="1"/>
  <c r="B28" i="1"/>
  <c r="B29" i="1"/>
  <c r="B30" i="1"/>
  <c r="B31" i="1"/>
  <c r="B32" i="1"/>
  <c r="B33" i="1"/>
  <c r="B20" i="1"/>
  <c r="B15" i="1"/>
  <c r="B17" i="1"/>
  <c r="B19" i="1"/>
  <c r="B14" i="1"/>
  <c r="B16" i="1"/>
  <c r="B18" i="1"/>
  <c r="B13" i="1"/>
  <c r="D25" i="1"/>
  <c r="D26" i="1"/>
  <c r="D27" i="1"/>
  <c r="D28" i="1"/>
  <c r="D29" i="1"/>
  <c r="D30" i="1"/>
  <c r="D31" i="1"/>
  <c r="D32" i="1"/>
  <c r="D33" i="1"/>
  <c r="D7" i="1"/>
  <c r="D8" i="1"/>
  <c r="D9" i="1"/>
  <c r="D13" i="1"/>
  <c r="D14" i="1"/>
  <c r="D15" i="1"/>
  <c r="D16" i="1"/>
  <c r="D17" i="1"/>
  <c r="D18" i="1"/>
  <c r="D19" i="1"/>
  <c r="D20" i="1"/>
  <c r="B7" i="1"/>
  <c r="B9" i="1"/>
  <c r="B8" i="1"/>
  <c r="B21" i="1" l="1"/>
  <c r="C21" i="1"/>
  <c r="D21" i="1"/>
  <c r="E21" i="1"/>
</calcChain>
</file>

<file path=xl/sharedStrings.xml><?xml version="1.0" encoding="utf-8"?>
<sst xmlns="http://schemas.openxmlformats.org/spreadsheetml/2006/main" count="226" uniqueCount="69">
  <si>
    <t>#4  Awards</t>
  </si>
  <si>
    <t>MSJC</t>
  </si>
  <si>
    <t>Gender</t>
  </si>
  <si>
    <t>AA/AS</t>
  </si>
  <si>
    <t>Total</t>
  </si>
  <si>
    <t>Female</t>
  </si>
  <si>
    <t>Male</t>
  </si>
  <si>
    <t>Unknown</t>
  </si>
  <si>
    <t>Ethnicity</t>
  </si>
  <si>
    <t>White</t>
  </si>
  <si>
    <t>Hispanic</t>
  </si>
  <si>
    <t>African American</t>
  </si>
  <si>
    <t>Asian</t>
  </si>
  <si>
    <t>Native American</t>
  </si>
  <si>
    <t>Filipino</t>
  </si>
  <si>
    <t>Pacific Islander</t>
  </si>
  <si>
    <t>Multi-Race</t>
  </si>
  <si>
    <t xml:space="preserve">Age </t>
  </si>
  <si>
    <t>&lt;18</t>
  </si>
  <si>
    <t>18 &amp; 19</t>
  </si>
  <si>
    <t>20 to 24</t>
  </si>
  <si>
    <t>30 to 34</t>
  </si>
  <si>
    <t>35 to 39</t>
  </si>
  <si>
    <t>40 to 49</t>
  </si>
  <si>
    <t>50 +</t>
  </si>
  <si>
    <t>DSPS</t>
  </si>
  <si>
    <t>Grand Total</t>
  </si>
  <si>
    <t>AY 07-08</t>
  </si>
  <si>
    <t>AY 08-09</t>
  </si>
  <si>
    <t>AY 09-10</t>
  </si>
  <si>
    <t>AY 10-11</t>
  </si>
  <si>
    <t>AY 11-12</t>
  </si>
  <si>
    <t>F</t>
  </si>
  <si>
    <t>M</t>
  </si>
  <si>
    <t>(blank)</t>
  </si>
  <si>
    <t>W</t>
  </si>
  <si>
    <t>B</t>
  </si>
  <si>
    <t>A</t>
  </si>
  <si>
    <t>N</t>
  </si>
  <si>
    <t>P</t>
  </si>
  <si>
    <t>Hispanics</t>
  </si>
  <si>
    <t>25 to 29</t>
  </si>
  <si>
    <t>AY 11-12 Enrollment %</t>
  </si>
  <si>
    <t>Age</t>
  </si>
  <si>
    <t xml:space="preserve">maybe a better comparison for awards would be to look at the % of students with </t>
  </si>
  <si>
    <t xml:space="preserve">4 or more terms of enrollment as a comparison to awards. </t>
  </si>
  <si>
    <t>This would accont for students who have not had time to earn an award yet.</t>
  </si>
  <si>
    <t>example would be gap analysis = awards % - students with 4 or more terms %</t>
  </si>
  <si>
    <t>this would remove nearly all the 18 to 20 year olds from the comparison</t>
  </si>
  <si>
    <t>so the gap we see on the 18 &amp; 19 year olds would go away. We see nearly 0%</t>
  </si>
  <si>
    <t>of 18 &amp; 19 year olds with awards, if we remove students with less than 4</t>
  </si>
  <si>
    <t>terms of enrollment from the comparison, we would see nearly 0%</t>
  </si>
  <si>
    <t>for 18 &amp; 19 year olds. See sheet 3 for example</t>
  </si>
  <si>
    <t>AA/AS Gap</t>
  </si>
  <si>
    <t>gap analysis = AY Award % - AY Enroll %</t>
  </si>
  <si>
    <t>MSJC AWARDS</t>
  </si>
  <si>
    <t>AY11-12  + 3 terms</t>
  </si>
  <si>
    <t>click here for graph</t>
  </si>
  <si>
    <t>BACK TO TABLE</t>
  </si>
  <si>
    <t>Column Labels</t>
  </si>
  <si>
    <t>Values</t>
  </si>
  <si>
    <t xml:space="preserve"> AY 07-08</t>
  </si>
  <si>
    <t xml:space="preserve"> AY 08-09</t>
  </si>
  <si>
    <t xml:space="preserve"> AY 09-10</t>
  </si>
  <si>
    <t xml:space="preserve"> AY 10-11</t>
  </si>
  <si>
    <t xml:space="preserve"> AY 11-12</t>
  </si>
  <si>
    <t>Awards</t>
  </si>
  <si>
    <t>AA &amp; AS</t>
  </si>
  <si>
    <t>Comparison (Enrolled AY 11-12 + 3 Terms)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</si>
</sst>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1"/>
      <color rgb="FF0000FF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18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8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/>
    <xf numFmtId="43" fontId="20" fillId="0" borderId="0" applyFont="0" applyFill="0" applyBorder="0" applyAlignment="0" applyProtection="0"/>
    <xf numFmtId="0" fontId="8" fillId="4" borderId="0" applyNumberFormat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</cellStyleXfs>
  <cellXfs count="94">
    <xf numFmtId="0" fontId="0" fillId="0" borderId="0" xfId="0"/>
    <xf numFmtId="0" fontId="0" fillId="0" borderId="0" xfId="0"/>
    <xf numFmtId="0" fontId="1" fillId="0" borderId="0" xfId="0" applyFont="1"/>
    <xf numFmtId="0" fontId="22" fillId="0" borderId="14" xfId="3" applyFont="1" applyBorder="1" applyAlignment="1">
      <alignment horizontal="center" vertical="center" wrapText="1"/>
    </xf>
    <xf numFmtId="0" fontId="16" fillId="0" borderId="0" xfId="3" applyFont="1" applyBorder="1" applyAlignment="1">
      <alignment horizontal="right"/>
    </xf>
    <xf numFmtId="0" fontId="22" fillId="0" borderId="11" xfId="3" applyFont="1" applyBorder="1" applyAlignment="1">
      <alignment horizontal="center"/>
    </xf>
    <xf numFmtId="0" fontId="23" fillId="0" borderId="0" xfId="3" applyFont="1" applyBorder="1" applyAlignment="1">
      <alignment horizontal="center"/>
    </xf>
    <xf numFmtId="0" fontId="25" fillId="0" borderId="16" xfId="3" applyFont="1" applyBorder="1" applyAlignment="1">
      <alignment horizontal="center" vertical="center"/>
    </xf>
    <xf numFmtId="0" fontId="23" fillId="0" borderId="0" xfId="3" applyFont="1" applyBorder="1" applyAlignment="1">
      <alignment horizontal="center" vertical="center"/>
    </xf>
    <xf numFmtId="0" fontId="25" fillId="0" borderId="19" xfId="3" applyFont="1" applyBorder="1" applyAlignment="1">
      <alignment horizontal="center" vertical="center"/>
    </xf>
    <xf numFmtId="0" fontId="23" fillId="0" borderId="25" xfId="3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3" fillId="0" borderId="26" xfId="3" applyFont="1" applyBorder="1" applyAlignment="1">
      <alignment horizontal="center"/>
    </xf>
    <xf numFmtId="0" fontId="23" fillId="0" borderId="22" xfId="3" applyFont="1" applyBorder="1" applyAlignment="1">
      <alignment horizontal="center"/>
    </xf>
    <xf numFmtId="0" fontId="16" fillId="0" borderId="21" xfId="3" applyFont="1" applyBorder="1"/>
    <xf numFmtId="0" fontId="16" fillId="0" borderId="23" xfId="3" applyFont="1" applyBorder="1"/>
    <xf numFmtId="0" fontId="21" fillId="0" borderId="28" xfId="50" applyFont="1" applyBorder="1" applyAlignment="1" applyProtection="1"/>
    <xf numFmtId="0" fontId="21" fillId="0" borderId="23" xfId="50" applyFont="1" applyBorder="1" applyAlignment="1" applyProtection="1"/>
    <xf numFmtId="0" fontId="21" fillId="0" borderId="24" xfId="50" applyFont="1" applyBorder="1" applyAlignment="1" applyProtection="1"/>
    <xf numFmtId="0" fontId="25" fillId="0" borderId="31" xfId="3" applyFont="1" applyBorder="1" applyAlignment="1">
      <alignment horizontal="center" vertical="center"/>
    </xf>
    <xf numFmtId="0" fontId="16" fillId="0" borderId="0" xfId="3" applyFont="1" applyBorder="1"/>
    <xf numFmtId="0" fontId="16" fillId="0" borderId="24" xfId="3" applyFont="1" applyBorder="1"/>
    <xf numFmtId="0" fontId="16" fillId="0" borderId="27" xfId="3" applyFont="1" applyBorder="1" applyAlignment="1">
      <alignment horizontal="right"/>
    </xf>
    <xf numFmtId="0" fontId="22" fillId="0" borderId="11" xfId="3" applyFont="1" applyFill="1" applyBorder="1" applyAlignment="1">
      <alignment horizontal="center" vertical="center"/>
    </xf>
    <xf numFmtId="0" fontId="16" fillId="33" borderId="32" xfId="0" applyFont="1" applyFill="1" applyBorder="1" applyAlignment="1">
      <alignment horizontal="left"/>
    </xf>
    <xf numFmtId="0" fontId="0" fillId="0" borderId="0" xfId="0" applyAlignment="1">
      <alignment horizontal="left"/>
    </xf>
    <xf numFmtId="9" fontId="0" fillId="0" borderId="0" xfId="1" applyFont="1"/>
    <xf numFmtId="0" fontId="16" fillId="0" borderId="33" xfId="0" applyFont="1" applyBorder="1" applyAlignment="1">
      <alignment horizontal="left"/>
    </xf>
    <xf numFmtId="9" fontId="23" fillId="0" borderId="25" xfId="1" applyFont="1" applyBorder="1" applyAlignment="1">
      <alignment horizontal="center" vertical="center"/>
    </xf>
    <xf numFmtId="0" fontId="14" fillId="0" borderId="0" xfId="0" applyFont="1"/>
    <xf numFmtId="0" fontId="22" fillId="0" borderId="31" xfId="3" applyFont="1" applyFill="1" applyBorder="1" applyAlignment="1">
      <alignment horizontal="center" vertical="center" wrapText="1"/>
    </xf>
    <xf numFmtId="9" fontId="23" fillId="0" borderId="10" xfId="1" applyNumberFormat="1" applyFont="1" applyBorder="1" applyAlignment="1">
      <alignment horizontal="center" vertical="center"/>
    </xf>
    <xf numFmtId="9" fontId="23" fillId="0" borderId="0" xfId="1" applyFont="1" applyBorder="1" applyAlignment="1">
      <alignment horizontal="center" vertical="center"/>
    </xf>
    <xf numFmtId="0" fontId="1" fillId="0" borderId="0" xfId="48"/>
    <xf numFmtId="0" fontId="27" fillId="0" borderId="10" xfId="48" applyFont="1" applyBorder="1"/>
    <xf numFmtId="0" fontId="27" fillId="0" borderId="0" xfId="48" applyFont="1"/>
    <xf numFmtId="0" fontId="27" fillId="0" borderId="0" xfId="0" applyFont="1"/>
    <xf numFmtId="0" fontId="21" fillId="0" borderId="0" xfId="50" applyFont="1" applyBorder="1" applyAlignment="1" applyProtection="1"/>
    <xf numFmtId="0" fontId="27" fillId="0" borderId="18" xfId="48" applyFont="1" applyBorder="1" applyAlignment="1">
      <alignment horizontal="center"/>
    </xf>
    <xf numFmtId="0" fontId="0" fillId="0" borderId="34" xfId="0" applyBorder="1" applyAlignment="1">
      <alignment horizontal="left"/>
    </xf>
    <xf numFmtId="0" fontId="21" fillId="0" borderId="35" xfId="50" applyFont="1" applyBorder="1" applyAlignment="1" applyProtection="1"/>
    <xf numFmtId="9" fontId="23" fillId="0" borderId="36" xfId="1" applyNumberFormat="1" applyFont="1" applyBorder="1" applyAlignment="1">
      <alignment horizontal="center" vertical="center"/>
    </xf>
    <xf numFmtId="0" fontId="28" fillId="0" borderId="37" xfId="3" applyFont="1" applyBorder="1" applyAlignment="1">
      <alignment horizontal="center" vertical="center"/>
    </xf>
    <xf numFmtId="0" fontId="27" fillId="0" borderId="38" xfId="48" applyFont="1" applyBorder="1" applyAlignment="1">
      <alignment horizontal="center"/>
    </xf>
    <xf numFmtId="0" fontId="28" fillId="0" borderId="30" xfId="3" applyFont="1" applyBorder="1" applyAlignment="1">
      <alignment horizontal="center" vertical="center"/>
    </xf>
    <xf numFmtId="9" fontId="27" fillId="0" borderId="10" xfId="48" applyNumberFormat="1" applyFont="1" applyBorder="1" applyAlignment="1">
      <alignment horizontal="center"/>
    </xf>
    <xf numFmtId="9" fontId="27" fillId="0" borderId="10" xfId="0" applyNumberFormat="1" applyFont="1" applyBorder="1" applyAlignment="1">
      <alignment horizontal="center"/>
    </xf>
    <xf numFmtId="0" fontId="27" fillId="0" borderId="29" xfId="48" applyFont="1" applyBorder="1" applyAlignment="1">
      <alignment horizontal="center"/>
    </xf>
    <xf numFmtId="0" fontId="27" fillId="0" borderId="17" xfId="0" applyFont="1" applyBorder="1" applyAlignment="1">
      <alignment horizontal="center" vertical="center"/>
    </xf>
    <xf numFmtId="0" fontId="25" fillId="0" borderId="24" xfId="3" applyFont="1" applyBorder="1" applyAlignment="1"/>
    <xf numFmtId="0" fontId="27" fillId="0" borderId="17" xfId="0" applyFont="1" applyBorder="1" applyAlignment="1">
      <alignment vertical="center"/>
    </xf>
    <xf numFmtId="9" fontId="27" fillId="0" borderId="10" xfId="1" applyFont="1" applyBorder="1" applyAlignment="1">
      <alignment horizontal="center"/>
    </xf>
    <xf numFmtId="0" fontId="22" fillId="0" borderId="39" xfId="3" applyFont="1" applyBorder="1" applyAlignment="1">
      <alignment horizontal="center" vertical="center" wrapText="1"/>
    </xf>
    <xf numFmtId="9" fontId="23" fillId="0" borderId="10" xfId="1" applyFont="1" applyBorder="1" applyAlignment="1">
      <alignment horizontal="center" vertical="center"/>
    </xf>
    <xf numFmtId="0" fontId="16" fillId="0" borderId="12" xfId="3" applyFont="1" applyBorder="1"/>
    <xf numFmtId="9" fontId="23" fillId="0" borderId="13" xfId="1" applyFont="1" applyBorder="1" applyAlignment="1">
      <alignment horizontal="center" vertical="center"/>
    </xf>
    <xf numFmtId="9" fontId="27" fillId="0" borderId="13" xfId="1" applyFont="1" applyBorder="1" applyAlignment="1">
      <alignment horizontal="center"/>
    </xf>
    <xf numFmtId="9" fontId="27" fillId="0" borderId="40" xfId="48" applyNumberFormat="1" applyFont="1" applyBorder="1" applyAlignment="1">
      <alignment horizontal="center"/>
    </xf>
    <xf numFmtId="0" fontId="16" fillId="0" borderId="34" xfId="3" applyFont="1" applyBorder="1"/>
    <xf numFmtId="9" fontId="27" fillId="0" borderId="41" xfId="48" applyNumberFormat="1" applyFont="1" applyBorder="1" applyAlignment="1">
      <alignment horizontal="center"/>
    </xf>
    <xf numFmtId="0" fontId="16" fillId="0" borderId="35" xfId="3" applyFont="1" applyBorder="1"/>
    <xf numFmtId="9" fontId="23" fillId="0" borderId="36" xfId="1" applyFont="1" applyBorder="1" applyAlignment="1">
      <alignment horizontal="center" vertical="center"/>
    </xf>
    <xf numFmtId="9" fontId="27" fillId="0" borderId="36" xfId="1" applyFont="1" applyBorder="1" applyAlignment="1">
      <alignment horizontal="center"/>
    </xf>
    <xf numFmtId="9" fontId="27" fillId="0" borderId="42" xfId="48" applyNumberFormat="1" applyFont="1" applyBorder="1" applyAlignment="1">
      <alignment horizontal="center"/>
    </xf>
    <xf numFmtId="0" fontId="27" fillId="0" borderId="44" xfId="48" applyFont="1" applyBorder="1"/>
    <xf numFmtId="0" fontId="21" fillId="0" borderId="12" xfId="50" applyFont="1" applyBorder="1" applyAlignment="1" applyProtection="1"/>
    <xf numFmtId="9" fontId="27" fillId="0" borderId="13" xfId="48" applyNumberFormat="1" applyFont="1" applyBorder="1" applyAlignment="1">
      <alignment horizontal="center"/>
    </xf>
    <xf numFmtId="0" fontId="21" fillId="0" borderId="34" xfId="50" applyFont="1" applyBorder="1" applyAlignment="1" applyProtection="1"/>
    <xf numFmtId="9" fontId="27" fillId="0" borderId="36" xfId="48" applyNumberFormat="1" applyFont="1" applyBorder="1" applyAlignment="1">
      <alignment horizontal="center"/>
    </xf>
    <xf numFmtId="0" fontId="29" fillId="0" borderId="43" xfId="48" applyFont="1" applyBorder="1" applyAlignment="1">
      <alignment horizontal="center" vertical="center"/>
    </xf>
    <xf numFmtId="0" fontId="25" fillId="0" borderId="11" xfId="3" applyFont="1" applyBorder="1" applyAlignment="1">
      <alignment horizontal="center" vertical="center"/>
    </xf>
    <xf numFmtId="0" fontId="23" fillId="0" borderId="45" xfId="3" applyFont="1" applyBorder="1" applyAlignment="1">
      <alignment horizontal="center"/>
    </xf>
    <xf numFmtId="9" fontId="27" fillId="0" borderId="41" xfId="1" applyFont="1" applyBorder="1" applyAlignment="1">
      <alignment horizontal="center"/>
    </xf>
    <xf numFmtId="9" fontId="27" fillId="0" borderId="42" xfId="1" applyFont="1" applyBorder="1" applyAlignment="1">
      <alignment horizontal="center"/>
    </xf>
    <xf numFmtId="0" fontId="0" fillId="0" borderId="46" xfId="0" applyBorder="1" applyAlignment="1">
      <alignment horizontal="left"/>
    </xf>
    <xf numFmtId="9" fontId="23" fillId="0" borderId="47" xfId="1" applyNumberFormat="1" applyFont="1" applyBorder="1" applyAlignment="1">
      <alignment horizontal="center" vertical="center"/>
    </xf>
    <xf numFmtId="9" fontId="27" fillId="0" borderId="47" xfId="1" applyFont="1" applyBorder="1" applyAlignment="1">
      <alignment horizontal="center"/>
    </xf>
    <xf numFmtId="9" fontId="27" fillId="0" borderId="48" xfId="1" applyFont="1" applyBorder="1" applyAlignment="1">
      <alignment horizontal="center"/>
    </xf>
    <xf numFmtId="0" fontId="22" fillId="0" borderId="16" xfId="3" applyFont="1" applyFill="1" applyBorder="1" applyAlignment="1">
      <alignment horizontal="center" vertical="center" wrapText="1"/>
    </xf>
    <xf numFmtId="9" fontId="27" fillId="34" borderId="41" xfId="48" applyNumberFormat="1" applyFont="1" applyFill="1" applyBorder="1" applyAlignment="1">
      <alignment horizontal="center"/>
    </xf>
    <xf numFmtId="0" fontId="21" fillId="34" borderId="34" xfId="50" applyFont="1" applyFill="1" applyBorder="1" applyAlignment="1" applyProtection="1"/>
    <xf numFmtId="0" fontId="26" fillId="0" borderId="15" xfId="3" applyFont="1" applyBorder="1" applyAlignment="1">
      <alignment horizontal="center" vertical="center" wrapText="1"/>
    </xf>
    <xf numFmtId="0" fontId="26" fillId="0" borderId="15" xfId="3" applyFont="1" applyBorder="1" applyAlignment="1">
      <alignment horizontal="center" vertical="center" wrapText="1"/>
    </xf>
    <xf numFmtId="0" fontId="26" fillId="0" borderId="20" xfId="3" applyFont="1" applyBorder="1" applyAlignment="1">
      <alignment horizontal="center" vertical="center" wrapText="1"/>
    </xf>
    <xf numFmtId="0" fontId="24" fillId="0" borderId="12" xfId="3" applyFont="1" applyBorder="1" applyAlignment="1">
      <alignment horizontal="center"/>
    </xf>
    <xf numFmtId="0" fontId="24" fillId="0" borderId="13" xfId="3" applyFont="1" applyBorder="1" applyAlignment="1">
      <alignment horizontal="center"/>
    </xf>
    <xf numFmtId="0" fontId="26" fillId="0" borderId="12" xfId="3" applyFont="1" applyBorder="1" applyAlignment="1">
      <alignment horizontal="center"/>
    </xf>
    <xf numFmtId="0" fontId="26" fillId="0" borderId="13" xfId="3" applyFont="1" applyBorder="1" applyAlignment="1">
      <alignment horizontal="center"/>
    </xf>
    <xf numFmtId="0" fontId="0" fillId="0" borderId="0" xfId="0" pivotButton="1"/>
    <xf numFmtId="0" fontId="0" fillId="0" borderId="0" xfId="0" applyNumberFormat="1"/>
    <xf numFmtId="0" fontId="19" fillId="0" borderId="14" xfId="50" applyBorder="1" applyAlignment="1" applyProtection="1">
      <alignment horizontal="center" vertical="center" wrapText="1"/>
    </xf>
    <xf numFmtId="0" fontId="19" fillId="0" borderId="0" xfId="50" applyAlignment="1" applyProtection="1"/>
    <xf numFmtId="9" fontId="0" fillId="0" borderId="0" xfId="0" applyNumberFormat="1"/>
    <xf numFmtId="0" fontId="0" fillId="0" borderId="0" xfId="0" applyAlignment="1">
      <alignment horizontal="center"/>
    </xf>
  </cellXfs>
  <cellStyles count="118">
    <cellStyle name="20% - Accent1 2" xfId="79"/>
    <cellStyle name="20% - Accent1 3" xfId="24"/>
    <cellStyle name="20% - Accent2 2" xfId="83"/>
    <cellStyle name="20% - Accent2 3" xfId="28"/>
    <cellStyle name="20% - Accent3 2" xfId="87"/>
    <cellStyle name="20% - Accent3 3" xfId="32"/>
    <cellStyle name="20% - Accent4 2" xfId="91"/>
    <cellStyle name="20% - Accent4 3" xfId="36"/>
    <cellStyle name="20% - Accent5 2" xfId="95"/>
    <cellStyle name="20% - Accent5 3" xfId="40"/>
    <cellStyle name="20% - Accent6 2" xfId="99"/>
    <cellStyle name="20% - Accent6 3" xfId="44"/>
    <cellStyle name="40% - Accent1 2" xfId="80"/>
    <cellStyle name="40% - Accent1 3" xfId="25"/>
    <cellStyle name="40% - Accent2 2" xfId="84"/>
    <cellStyle name="40% - Accent2 3" xfId="29"/>
    <cellStyle name="40% - Accent3 2" xfId="88"/>
    <cellStyle name="40% - Accent3 3" xfId="33"/>
    <cellStyle name="40% - Accent4 2" xfId="92"/>
    <cellStyle name="40% - Accent4 3" xfId="37"/>
    <cellStyle name="40% - Accent5 2" xfId="96"/>
    <cellStyle name="40% - Accent5 3" xfId="41"/>
    <cellStyle name="40% - Accent6 2" xfId="100"/>
    <cellStyle name="40% - Accent6 3" xfId="45"/>
    <cellStyle name="60% - Accent1 2" xfId="81"/>
    <cellStyle name="60% - Accent1 3" xfId="26"/>
    <cellStyle name="60% - Accent2 2" xfId="85"/>
    <cellStyle name="60% - Accent2 3" xfId="30"/>
    <cellStyle name="60% - Accent3 2" xfId="89"/>
    <cellStyle name="60% - Accent3 3" xfId="34"/>
    <cellStyle name="60% - Accent4 2" xfId="93"/>
    <cellStyle name="60% - Accent4 3" xfId="38"/>
    <cellStyle name="60% - Accent5 2" xfId="97"/>
    <cellStyle name="60% - Accent5 3" xfId="42"/>
    <cellStyle name="60% - Accent6 2" xfId="101"/>
    <cellStyle name="60% - Accent6 3" xfId="46"/>
    <cellStyle name="Accent1 2" xfId="78"/>
    <cellStyle name="Accent1 3" xfId="23"/>
    <cellStyle name="Accent2 2" xfId="82"/>
    <cellStyle name="Accent2 3" xfId="27"/>
    <cellStyle name="Accent3 2" xfId="86"/>
    <cellStyle name="Accent3 3" xfId="31"/>
    <cellStyle name="Accent4 2" xfId="90"/>
    <cellStyle name="Accent4 3" xfId="35"/>
    <cellStyle name="Accent5 2" xfId="94"/>
    <cellStyle name="Accent5 3" xfId="39"/>
    <cellStyle name="Accent6 2" xfId="98"/>
    <cellStyle name="Accent6 3" xfId="43"/>
    <cellStyle name="Bad 2" xfId="67"/>
    <cellStyle name="Bad 3" xfId="12"/>
    <cellStyle name="Calculation 2" xfId="71"/>
    <cellStyle name="Calculation 3" xfId="16"/>
    <cellStyle name="Check Cell 2" xfId="73"/>
    <cellStyle name="Check Cell 3" xfId="18"/>
    <cellStyle name="Comma 2" xfId="53"/>
    <cellStyle name="Comma 2 2" xfId="56"/>
    <cellStyle name="Comma 3" xfId="102"/>
    <cellStyle name="Comma 4" xfId="5"/>
    <cellStyle name="Explanatory Text 2" xfId="76"/>
    <cellStyle name="Explanatory Text 3" xfId="21"/>
    <cellStyle name="Good 2" xfId="66"/>
    <cellStyle name="Good 3" xfId="11"/>
    <cellStyle name="Heading 1 2" xfId="62"/>
    <cellStyle name="Heading 1 3" xfId="7"/>
    <cellStyle name="Heading 2 2" xfId="63"/>
    <cellStyle name="Heading 2 3" xfId="8"/>
    <cellStyle name="Heading 3 2" xfId="64"/>
    <cellStyle name="Heading 3 3" xfId="9"/>
    <cellStyle name="Heading 4 2" xfId="65"/>
    <cellStyle name="Heading 4 3" xfId="10"/>
    <cellStyle name="Hyperlink" xfId="50" builtinId="8"/>
    <cellStyle name="Hyperlink 2" xfId="54"/>
    <cellStyle name="Input 2" xfId="69"/>
    <cellStyle name="Input 3" xfId="14"/>
    <cellStyle name="Linked Cell 2" xfId="72"/>
    <cellStyle name="Linked Cell 3" xfId="17"/>
    <cellStyle name="Neutral 2" xfId="57"/>
    <cellStyle name="Neutral 3" xfId="68"/>
    <cellStyle name="Neutral 4" xfId="13"/>
    <cellStyle name="Normal" xfId="0" builtinId="0"/>
    <cellStyle name="Normal 10" xfId="4"/>
    <cellStyle name="Normal 11" xfId="3"/>
    <cellStyle name="Normal 2" xfId="48"/>
    <cellStyle name="Normal 2 2" xfId="52"/>
    <cellStyle name="Normal 2 2 2" xfId="55"/>
    <cellStyle name="Normal 3" xfId="47"/>
    <cellStyle name="Normal 3 2" xfId="58"/>
    <cellStyle name="Normal 3 2 2" xfId="108"/>
    <cellStyle name="Normal 3 3" xfId="110"/>
    <cellStyle name="Normal 3 4" xfId="116"/>
    <cellStyle name="Normal 3 5" xfId="112"/>
    <cellStyle name="Normal 3 6" xfId="103"/>
    <cellStyle name="Normal 4" xfId="61"/>
    <cellStyle name="Normal 5" xfId="106"/>
    <cellStyle name="Normal 6" xfId="107"/>
    <cellStyle name="Normal 7" xfId="113"/>
    <cellStyle name="Normal 8" xfId="115"/>
    <cellStyle name="Normal 9" xfId="60"/>
    <cellStyle name="Note 2" xfId="49"/>
    <cellStyle name="Note 3" xfId="75"/>
    <cellStyle name="Note 4" xfId="20"/>
    <cellStyle name="Output 2" xfId="70"/>
    <cellStyle name="Output 3" xfId="15"/>
    <cellStyle name="Percent" xfId="1" builtinId="5"/>
    <cellStyle name="Percent 2" xfId="51"/>
    <cellStyle name="Percent 2 2" xfId="59"/>
    <cellStyle name="Percent 2 2 2" xfId="109"/>
    <cellStyle name="Percent 2 3" xfId="111"/>
    <cellStyle name="Percent 2 4" xfId="117"/>
    <cellStyle name="Percent 2 5" xfId="114"/>
    <cellStyle name="Percent 2 6" xfId="104"/>
    <cellStyle name="Percent 3" xfId="105"/>
    <cellStyle name="Percent 4" xfId="6"/>
    <cellStyle name="Title" xfId="2" builtinId="15" customBuiltin="1"/>
    <cellStyle name="Total 2" xfId="77"/>
    <cellStyle name="Total 3" xfId="22"/>
    <cellStyle name="Warning Text 2" xfId="74"/>
    <cellStyle name="Warning Text 3" xfId="19"/>
  </cellStyles>
  <dxfs count="18"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pivotCacheDefinition" Target="pivotCache/pivotCacheDefinition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3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pivotCacheDefinition" Target="pivotCache/pivotCacheDefinition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pivotSource>
    <c:name>[4. Total Awards Percentages.xlsx]TOTAL AWARDS GRAPH!PivotTable1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AA &amp; AS AWARDS BY ACADEMIC YEAR</a:t>
            </a:r>
          </a:p>
        </c:rich>
      </c:tx>
      <c:layout/>
      <c:overlay val="1"/>
    </c:title>
    <c:autoTitleDeleted val="0"/>
    <c:pivotFmts>
      <c:pivotFmt>
        <c:idx val="0"/>
        <c:dLbl>
          <c:idx val="0"/>
          <c:layout/>
          <c:dLblPos val="outEnd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"/>
        <c:dLbl>
          <c:idx val="0"/>
          <c:layout/>
          <c:dLblPos val="outEnd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"/>
        <c:dLbl>
          <c:idx val="0"/>
          <c:layout/>
          <c:dLblPos val="outEnd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3"/>
        <c:dLbl>
          <c:idx val="0"/>
          <c:layout/>
          <c:dLblPos val="outEnd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4"/>
        <c:dLbl>
          <c:idx val="0"/>
          <c:layout/>
          <c:dLblPos val="outEnd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5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AWARDS GRAPH'!$AB$2:$AB$3</c:f>
              <c:strCache>
                <c:ptCount val="1"/>
                <c:pt idx="0">
                  <c:v>AA &amp; AS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'TOTAL AWARDS GRAPH'!$AA$4:$AA$8</c:f>
              <c:strCache>
                <c:ptCount val="5"/>
                <c:pt idx="0">
                  <c:v> AY 07-08</c:v>
                </c:pt>
                <c:pt idx="1">
                  <c:v> AY 08-09</c:v>
                </c:pt>
                <c:pt idx="2">
                  <c:v> AY 09-10</c:v>
                </c:pt>
                <c:pt idx="3">
                  <c:v> AY 10-11</c:v>
                </c:pt>
                <c:pt idx="4">
                  <c:v> AY 11-12</c:v>
                </c:pt>
              </c:strCache>
            </c:strRef>
          </c:cat>
          <c:val>
            <c:numRef>
              <c:f>'TOTAL AWARDS GRAPH'!$AB$4:$AB$8</c:f>
              <c:numCache>
                <c:formatCode>General</c:formatCode>
                <c:ptCount val="5"/>
                <c:pt idx="0">
                  <c:v>1398</c:v>
                </c:pt>
                <c:pt idx="1">
                  <c:v>1527</c:v>
                </c:pt>
                <c:pt idx="2">
                  <c:v>1499</c:v>
                </c:pt>
                <c:pt idx="3">
                  <c:v>1566</c:v>
                </c:pt>
                <c:pt idx="4">
                  <c:v>1568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85542016"/>
        <c:axId val="85543552"/>
      </c:barChart>
      <c:catAx>
        <c:axId val="855420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ACADEMIC YEAR</a:t>
                </a:r>
              </a:p>
            </c:rich>
          </c:tx>
          <c:layout>
            <c:manualLayout>
              <c:xMode val="edge"/>
              <c:yMode val="edge"/>
              <c:x val="0.43679749781643673"/>
              <c:y val="0.95691049535280825"/>
            </c:manualLayout>
          </c:layout>
          <c:overlay val="0"/>
        </c:title>
        <c:majorTickMark val="out"/>
        <c:minorTickMark val="none"/>
        <c:tickLblPos val="nextTo"/>
        <c:crossAx val="85543552"/>
        <c:crosses val="autoZero"/>
        <c:auto val="1"/>
        <c:lblAlgn val="ctr"/>
        <c:lblOffset val="100"/>
        <c:noMultiLvlLbl val="0"/>
      </c:catAx>
      <c:valAx>
        <c:axId val="85543552"/>
        <c:scaling>
          <c:orientation val="minMax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AA &amp; AS</a:t>
                </a:r>
              </a:p>
              <a:p>
                <a:pPr>
                  <a:defRPr/>
                </a:pPr>
                <a:r>
                  <a:rPr lang="en-US"/>
                  <a:t>AWARDS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8554201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pivotSource>
    <c:name>[4. Total Awards Percentages.xlsx]GENDER % GRAPH!PivotTable2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GENDER % of MSJC AA &amp; AS AWARDS</a:t>
            </a:r>
          </a:p>
        </c:rich>
      </c:tx>
      <c:layout>
        <c:manualLayout>
          <c:xMode val="edge"/>
          <c:yMode val="edge"/>
          <c:x val="0.33754324245089412"/>
          <c:y val="3.4349983133541213E-2"/>
        </c:manualLayout>
      </c:layout>
      <c:overlay val="0"/>
    </c:title>
    <c:autoTitleDeleted val="0"/>
    <c:pivotFmts>
      <c:pivotFmt>
        <c:idx val="0"/>
      </c:pivotFmt>
      <c:pivotFmt>
        <c:idx val="4"/>
        <c:dLbl>
          <c:idx val="0"/>
          <c:layout/>
          <c:dLblPos val="inBase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5"/>
        <c:dLbl>
          <c:idx val="0"/>
          <c:layout/>
          <c:dLblPos val="inBase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"/>
        <c:dLbl>
          <c:idx val="0"/>
          <c:layout/>
          <c:dLblPos val="inBase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9"/>
        <c:dLbl>
          <c:idx val="0"/>
          <c:layout/>
          <c:dLblPos val="inBase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0"/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1"/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2"/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'GENDER % GRAPH'!$AE$2:$AE$3</c:f>
              <c:strCache>
                <c:ptCount val="1"/>
                <c:pt idx="0">
                  <c:v>Female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'GENDER % GRAPH'!$AD$4:$AD$9</c:f>
              <c:strCache>
                <c:ptCount val="6"/>
                <c:pt idx="0">
                  <c:v>AY 07-08</c:v>
                </c:pt>
                <c:pt idx="1">
                  <c:v>AY 08-09</c:v>
                </c:pt>
                <c:pt idx="2">
                  <c:v>AY 09-10</c:v>
                </c:pt>
                <c:pt idx="3">
                  <c:v>AY 10-11</c:v>
                </c:pt>
                <c:pt idx="4">
                  <c:v>AY 11-12</c:v>
                </c:pt>
                <c:pt idx="5">
                  <c:v>Comparison (Enrolled AY 11-12 + 3 Terms)</c:v>
                </c:pt>
              </c:strCache>
            </c:strRef>
          </c:cat>
          <c:val>
            <c:numRef>
              <c:f>'GENDER % GRAPH'!$AE$4:$AE$9</c:f>
              <c:numCache>
                <c:formatCode>0%</c:formatCode>
                <c:ptCount val="6"/>
                <c:pt idx="0">
                  <c:v>0.67668097281831185</c:v>
                </c:pt>
                <c:pt idx="1">
                  <c:v>0.67125081859855928</c:v>
                </c:pt>
                <c:pt idx="2">
                  <c:v>0.65577051367578387</c:v>
                </c:pt>
                <c:pt idx="3">
                  <c:v>0.64750957854406133</c:v>
                </c:pt>
                <c:pt idx="4">
                  <c:v>0.61288265306122447</c:v>
                </c:pt>
                <c:pt idx="5">
                  <c:v>0.59751318764129613</c:v>
                </c:pt>
              </c:numCache>
            </c:numRef>
          </c:val>
        </c:ser>
        <c:ser>
          <c:idx val="1"/>
          <c:order val="1"/>
          <c:tx>
            <c:strRef>
              <c:f>'GENDER % GRAPH'!$AF$2:$AF$3</c:f>
              <c:strCache>
                <c:ptCount val="1"/>
                <c:pt idx="0">
                  <c:v>Male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'GENDER % GRAPH'!$AD$4:$AD$9</c:f>
              <c:strCache>
                <c:ptCount val="6"/>
                <c:pt idx="0">
                  <c:v>AY 07-08</c:v>
                </c:pt>
                <c:pt idx="1">
                  <c:v>AY 08-09</c:v>
                </c:pt>
                <c:pt idx="2">
                  <c:v>AY 09-10</c:v>
                </c:pt>
                <c:pt idx="3">
                  <c:v>AY 10-11</c:v>
                </c:pt>
                <c:pt idx="4">
                  <c:v>AY 11-12</c:v>
                </c:pt>
                <c:pt idx="5">
                  <c:v>Comparison (Enrolled AY 11-12 + 3 Terms)</c:v>
                </c:pt>
              </c:strCache>
            </c:strRef>
          </c:cat>
          <c:val>
            <c:numRef>
              <c:f>'GENDER % GRAPH'!$AF$4:$AF$9</c:f>
              <c:numCache>
                <c:formatCode>0%</c:formatCode>
                <c:ptCount val="6"/>
                <c:pt idx="0">
                  <c:v>0.32260371959942774</c:v>
                </c:pt>
                <c:pt idx="1">
                  <c:v>0.3235101506221349</c:v>
                </c:pt>
                <c:pt idx="2">
                  <c:v>0.3322214809873249</c:v>
                </c:pt>
                <c:pt idx="3">
                  <c:v>0.33971902937420179</c:v>
                </c:pt>
                <c:pt idx="4">
                  <c:v>0.37691326530612246</c:v>
                </c:pt>
                <c:pt idx="5">
                  <c:v>0.39344385832705353</c:v>
                </c:pt>
              </c:numCache>
            </c:numRef>
          </c:val>
        </c:ser>
        <c:ser>
          <c:idx val="2"/>
          <c:order val="2"/>
          <c:tx>
            <c:strRef>
              <c:f>'GENDER % GRAPH'!$AG$2:$AG$3</c:f>
              <c:strCache>
                <c:ptCount val="1"/>
                <c:pt idx="0">
                  <c:v>Unknown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'GENDER % GRAPH'!$AD$4:$AD$9</c:f>
              <c:strCache>
                <c:ptCount val="6"/>
                <c:pt idx="0">
                  <c:v>AY 07-08</c:v>
                </c:pt>
                <c:pt idx="1">
                  <c:v>AY 08-09</c:v>
                </c:pt>
                <c:pt idx="2">
                  <c:v>AY 09-10</c:v>
                </c:pt>
                <c:pt idx="3">
                  <c:v>AY 10-11</c:v>
                </c:pt>
                <c:pt idx="4">
                  <c:v>AY 11-12</c:v>
                </c:pt>
                <c:pt idx="5">
                  <c:v>Comparison (Enrolled AY 11-12 + 3 Terms)</c:v>
                </c:pt>
              </c:strCache>
            </c:strRef>
          </c:cat>
          <c:val>
            <c:numRef>
              <c:f>'GENDER % GRAPH'!$AG$4:$AG$9</c:f>
              <c:numCache>
                <c:formatCode>0%</c:formatCode>
                <c:ptCount val="6"/>
                <c:pt idx="0">
                  <c:v>7.1530758226037196E-4</c:v>
                </c:pt>
                <c:pt idx="1">
                  <c:v>5.2390307793058286E-3</c:v>
                </c:pt>
                <c:pt idx="2">
                  <c:v>1.200800533689126E-2</c:v>
                </c:pt>
                <c:pt idx="3">
                  <c:v>1.277139208173691E-2</c:v>
                </c:pt>
                <c:pt idx="4">
                  <c:v>1.020408163265306E-2</c:v>
                </c:pt>
                <c:pt idx="5">
                  <c:v>9.0429540316503392E-3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22811520"/>
        <c:axId val="122813056"/>
      </c:barChart>
      <c:catAx>
        <c:axId val="122811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ACADEMIC</a:t>
                </a:r>
                <a:r>
                  <a:rPr lang="en-US" baseline="0"/>
                  <a:t> YEAR</a:t>
                </a:r>
                <a:endParaRPr lang="en-US"/>
              </a:p>
            </c:rich>
          </c:tx>
          <c:layout/>
          <c:overlay val="0"/>
        </c:title>
        <c:majorTickMark val="out"/>
        <c:minorTickMark val="none"/>
        <c:tickLblPos val="nextTo"/>
        <c:crossAx val="122813056"/>
        <c:crosses val="autoZero"/>
        <c:auto val="1"/>
        <c:lblAlgn val="ctr"/>
        <c:lblOffset val="100"/>
        <c:noMultiLvlLbl val="0"/>
      </c:catAx>
      <c:valAx>
        <c:axId val="122813056"/>
        <c:scaling>
          <c:orientation val="minMax"/>
          <c:max val="1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GENDER %</a:t>
                </a:r>
              </a:p>
            </c:rich>
          </c:tx>
          <c:layout/>
          <c:overlay val="0"/>
        </c:title>
        <c:numFmt formatCode="0.00%" sourceLinked="0"/>
        <c:majorTickMark val="out"/>
        <c:minorTickMark val="none"/>
        <c:tickLblPos val="nextTo"/>
        <c:crossAx val="122811520"/>
        <c:crosses val="autoZero"/>
        <c:crossBetween val="between"/>
        <c:majorUnit val="0.25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pivotSource>
    <c:name>[4. Total Awards Percentages.xlsx]ETHNICITY % GRAPH!PivotTable6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ETHNICITY % of MSJC AA &amp; AS AWARDS</a:t>
            </a:r>
            <a:endParaRPr lang="en-US">
              <a:effectLst/>
            </a:endParaRPr>
          </a:p>
        </c:rich>
      </c:tx>
      <c:layout>
        <c:manualLayout>
          <c:xMode val="edge"/>
          <c:yMode val="edge"/>
          <c:x val="0.35301392953791338"/>
          <c:y val="2.2172240191345203E-2"/>
        </c:manualLayout>
      </c:layout>
      <c:overlay val="0"/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  <c:marker>
          <c:symbol val="none"/>
        </c:marker>
      </c:pivotFmt>
      <c:pivotFmt>
        <c:idx val="11"/>
        <c:marker>
          <c:symbol val="none"/>
        </c:marker>
      </c:pivotFmt>
      <c:pivotFmt>
        <c:idx val="12"/>
        <c:marker>
          <c:symbol val="none"/>
        </c:marker>
      </c:pivotFmt>
      <c:pivotFmt>
        <c:idx val="13"/>
        <c:marker>
          <c:symbol val="none"/>
        </c:marker>
      </c:pivotFmt>
      <c:pivotFmt>
        <c:idx val="14"/>
        <c:marker>
          <c:symbol val="none"/>
        </c:marker>
      </c:pivotFmt>
      <c:pivotFmt>
        <c:idx val="15"/>
        <c:marker>
          <c:symbol val="none"/>
        </c:marker>
      </c:pivotFmt>
      <c:pivotFmt>
        <c:idx val="16"/>
        <c:marker>
          <c:symbol val="none"/>
        </c:marker>
      </c:pivotFmt>
      <c:pivotFmt>
        <c:idx val="17"/>
        <c:marker>
          <c:symbol val="none"/>
        </c:marker>
      </c:pivotFmt>
      <c:pivotFmt>
        <c:idx val="18"/>
        <c:marker>
          <c:symbol val="none"/>
        </c:marker>
      </c:pivotFmt>
      <c:pivotFmt>
        <c:idx val="19"/>
        <c:marker>
          <c:symbol val="none"/>
        </c:marker>
      </c:pivotFmt>
      <c:pivotFmt>
        <c:idx val="20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1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2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3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4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5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6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7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8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'ETHNICITY % GRAPH'!$AE$1:$AE$2</c:f>
              <c:strCache>
                <c:ptCount val="1"/>
                <c:pt idx="0">
                  <c:v>White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'ETHNICITY % GRAPH'!$AD$3:$AD$8</c:f>
              <c:strCache>
                <c:ptCount val="6"/>
                <c:pt idx="0">
                  <c:v>AY 09-10</c:v>
                </c:pt>
                <c:pt idx="1">
                  <c:v>AY 08-09</c:v>
                </c:pt>
                <c:pt idx="2">
                  <c:v>AY 07-08</c:v>
                </c:pt>
                <c:pt idx="3">
                  <c:v>AY 10-11</c:v>
                </c:pt>
                <c:pt idx="4">
                  <c:v>AY 11-12</c:v>
                </c:pt>
                <c:pt idx="5">
                  <c:v>Comparison (Enrolled AY 11-12 + 3 Terms)</c:v>
                </c:pt>
              </c:strCache>
            </c:strRef>
          </c:cat>
          <c:val>
            <c:numRef>
              <c:f>'ETHNICITY % GRAPH'!$AE$3:$AE$8</c:f>
              <c:numCache>
                <c:formatCode>0%</c:formatCode>
                <c:ptCount val="6"/>
                <c:pt idx="0">
                  <c:v>0.50166777851901267</c:v>
                </c:pt>
                <c:pt idx="1">
                  <c:v>0.52521283562540932</c:v>
                </c:pt>
                <c:pt idx="2">
                  <c:v>0.50786838340486407</c:v>
                </c:pt>
                <c:pt idx="3">
                  <c:v>0.48595146871008937</c:v>
                </c:pt>
                <c:pt idx="4">
                  <c:v>0.48596938775510207</c:v>
                </c:pt>
                <c:pt idx="5">
                  <c:v>0.41</c:v>
                </c:pt>
              </c:numCache>
            </c:numRef>
          </c:val>
        </c:ser>
        <c:ser>
          <c:idx val="1"/>
          <c:order val="1"/>
          <c:tx>
            <c:strRef>
              <c:f>'ETHNICITY % GRAPH'!$AF$1:$AF$2</c:f>
              <c:strCache>
                <c:ptCount val="1"/>
                <c:pt idx="0">
                  <c:v>Hispanic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'ETHNICITY % GRAPH'!$AD$3:$AD$8</c:f>
              <c:strCache>
                <c:ptCount val="6"/>
                <c:pt idx="0">
                  <c:v>AY 09-10</c:v>
                </c:pt>
                <c:pt idx="1">
                  <c:v>AY 08-09</c:v>
                </c:pt>
                <c:pt idx="2">
                  <c:v>AY 07-08</c:v>
                </c:pt>
                <c:pt idx="3">
                  <c:v>AY 10-11</c:v>
                </c:pt>
                <c:pt idx="4">
                  <c:v>AY 11-12</c:v>
                </c:pt>
                <c:pt idx="5">
                  <c:v>Comparison (Enrolled AY 11-12 + 3 Terms)</c:v>
                </c:pt>
              </c:strCache>
            </c:strRef>
          </c:cat>
          <c:val>
            <c:numRef>
              <c:f>'ETHNICITY % GRAPH'!$AF$3:$AF$8</c:f>
              <c:numCache>
                <c:formatCode>0%</c:formatCode>
                <c:ptCount val="6"/>
                <c:pt idx="0">
                  <c:v>0.34356237491661107</c:v>
                </c:pt>
                <c:pt idx="1">
                  <c:v>0.33071381794368043</c:v>
                </c:pt>
                <c:pt idx="2">
                  <c:v>0.32260371959942774</c:v>
                </c:pt>
                <c:pt idx="3">
                  <c:v>0.36143039591315451</c:v>
                </c:pt>
                <c:pt idx="4">
                  <c:v>0.35395408163265307</c:v>
                </c:pt>
                <c:pt idx="5">
                  <c:v>0.35561416729464956</c:v>
                </c:pt>
              </c:numCache>
            </c:numRef>
          </c:val>
        </c:ser>
        <c:ser>
          <c:idx val="2"/>
          <c:order val="2"/>
          <c:tx>
            <c:strRef>
              <c:f>'ETHNICITY % GRAPH'!$AG$1:$AG$2</c:f>
              <c:strCache>
                <c:ptCount val="1"/>
                <c:pt idx="0">
                  <c:v>African American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'ETHNICITY % GRAPH'!$AD$3:$AD$8</c:f>
              <c:strCache>
                <c:ptCount val="6"/>
                <c:pt idx="0">
                  <c:v>AY 09-10</c:v>
                </c:pt>
                <c:pt idx="1">
                  <c:v>AY 08-09</c:v>
                </c:pt>
                <c:pt idx="2">
                  <c:v>AY 07-08</c:v>
                </c:pt>
                <c:pt idx="3">
                  <c:v>AY 10-11</c:v>
                </c:pt>
                <c:pt idx="4">
                  <c:v>AY 11-12</c:v>
                </c:pt>
                <c:pt idx="5">
                  <c:v>Comparison (Enrolled AY 11-12 + 3 Terms)</c:v>
                </c:pt>
              </c:strCache>
            </c:strRef>
          </c:cat>
          <c:val>
            <c:numRef>
              <c:f>'ETHNICITY % GRAPH'!$AG$3:$AG$8</c:f>
              <c:numCache>
                <c:formatCode>0%</c:formatCode>
                <c:ptCount val="6"/>
                <c:pt idx="0">
                  <c:v>5.2034689793195463E-2</c:v>
                </c:pt>
                <c:pt idx="1">
                  <c:v>4.5841519318926001E-2</c:v>
                </c:pt>
                <c:pt idx="2">
                  <c:v>5.8655221745350504E-2</c:v>
                </c:pt>
                <c:pt idx="3">
                  <c:v>4.5338441890166031E-2</c:v>
                </c:pt>
                <c:pt idx="4">
                  <c:v>5.038265306122449E-2</c:v>
                </c:pt>
                <c:pt idx="5">
                  <c:v>7.0000000000000007E-2</c:v>
                </c:pt>
              </c:numCache>
            </c:numRef>
          </c:val>
        </c:ser>
        <c:ser>
          <c:idx val="3"/>
          <c:order val="3"/>
          <c:tx>
            <c:strRef>
              <c:f>'ETHNICITY % GRAPH'!$AH$1:$AH$2</c:f>
              <c:strCache>
                <c:ptCount val="1"/>
                <c:pt idx="0">
                  <c:v>Filipino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'ETHNICITY % GRAPH'!$AD$3:$AD$8</c:f>
              <c:strCache>
                <c:ptCount val="6"/>
                <c:pt idx="0">
                  <c:v>AY 09-10</c:v>
                </c:pt>
                <c:pt idx="1">
                  <c:v>AY 08-09</c:v>
                </c:pt>
                <c:pt idx="2">
                  <c:v>AY 07-08</c:v>
                </c:pt>
                <c:pt idx="3">
                  <c:v>AY 10-11</c:v>
                </c:pt>
                <c:pt idx="4">
                  <c:v>AY 11-12</c:v>
                </c:pt>
                <c:pt idx="5">
                  <c:v>Comparison (Enrolled AY 11-12 + 3 Terms)</c:v>
                </c:pt>
              </c:strCache>
            </c:strRef>
          </c:cat>
          <c:val>
            <c:numRef>
              <c:f>'ETHNICITY % GRAPH'!$AH$3:$AH$8</c:f>
              <c:numCache>
                <c:formatCode>0%</c:formatCode>
                <c:ptCount val="6"/>
                <c:pt idx="0">
                  <c:v>4.3362241494329552E-2</c:v>
                </c:pt>
                <c:pt idx="1">
                  <c:v>4.7151277013752456E-2</c:v>
                </c:pt>
                <c:pt idx="2">
                  <c:v>4.7210300429184553E-2</c:v>
                </c:pt>
                <c:pt idx="3">
                  <c:v>3.2567049808429116E-2</c:v>
                </c:pt>
                <c:pt idx="4">
                  <c:v>5.1020408163265307E-2</c:v>
                </c:pt>
                <c:pt idx="5">
                  <c:v>0.03</c:v>
                </c:pt>
              </c:numCache>
            </c:numRef>
          </c:val>
        </c:ser>
        <c:ser>
          <c:idx val="4"/>
          <c:order val="4"/>
          <c:tx>
            <c:strRef>
              <c:f>'ETHNICITY % GRAPH'!$AI$1:$AI$2</c:f>
              <c:strCache>
                <c:ptCount val="1"/>
                <c:pt idx="0">
                  <c:v>Asian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'ETHNICITY % GRAPH'!$AD$3:$AD$8</c:f>
              <c:strCache>
                <c:ptCount val="6"/>
                <c:pt idx="0">
                  <c:v>AY 09-10</c:v>
                </c:pt>
                <c:pt idx="1">
                  <c:v>AY 08-09</c:v>
                </c:pt>
                <c:pt idx="2">
                  <c:v>AY 07-08</c:v>
                </c:pt>
                <c:pt idx="3">
                  <c:v>AY 10-11</c:v>
                </c:pt>
                <c:pt idx="4">
                  <c:v>AY 11-12</c:v>
                </c:pt>
                <c:pt idx="5">
                  <c:v>Comparison (Enrolled AY 11-12 + 3 Terms)</c:v>
                </c:pt>
              </c:strCache>
            </c:strRef>
          </c:cat>
          <c:val>
            <c:numRef>
              <c:f>'ETHNICITY % GRAPH'!$AI$3:$AI$8</c:f>
              <c:numCache>
                <c:formatCode>0%</c:formatCode>
                <c:ptCount val="6"/>
                <c:pt idx="0">
                  <c:v>3.2021347565043365E-2</c:v>
                </c:pt>
                <c:pt idx="1">
                  <c:v>1.3097576948264571E-2</c:v>
                </c:pt>
                <c:pt idx="2">
                  <c:v>2.6466380543633764E-2</c:v>
                </c:pt>
                <c:pt idx="3">
                  <c:v>3.2567049808429116E-2</c:v>
                </c:pt>
                <c:pt idx="4">
                  <c:v>2.8698979591836735E-2</c:v>
                </c:pt>
                <c:pt idx="5">
                  <c:v>0.03</c:v>
                </c:pt>
              </c:numCache>
            </c:numRef>
          </c:val>
        </c:ser>
        <c:ser>
          <c:idx val="5"/>
          <c:order val="5"/>
          <c:tx>
            <c:strRef>
              <c:f>'ETHNICITY % GRAPH'!$AJ$1:$AJ$2</c:f>
              <c:strCache>
                <c:ptCount val="1"/>
                <c:pt idx="0">
                  <c:v>Multi-Race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'ETHNICITY % GRAPH'!$AD$3:$AD$8</c:f>
              <c:strCache>
                <c:ptCount val="6"/>
                <c:pt idx="0">
                  <c:v>AY 09-10</c:v>
                </c:pt>
                <c:pt idx="1">
                  <c:v>AY 08-09</c:v>
                </c:pt>
                <c:pt idx="2">
                  <c:v>AY 07-08</c:v>
                </c:pt>
                <c:pt idx="3">
                  <c:v>AY 10-11</c:v>
                </c:pt>
                <c:pt idx="4">
                  <c:v>AY 11-12</c:v>
                </c:pt>
                <c:pt idx="5">
                  <c:v>Comparison (Enrolled AY 11-12 + 3 Terms)</c:v>
                </c:pt>
              </c:strCache>
            </c:strRef>
          </c:cat>
          <c:val>
            <c:numRef>
              <c:f>'ETHNICITY % GRAPH'!$AJ$3:$AJ$8</c:f>
              <c:numCache>
                <c:formatCode>0%</c:formatCode>
                <c:ptCount val="6"/>
                <c:pt idx="0">
                  <c:v>1.1340893929286191E-2</c:v>
                </c:pt>
                <c:pt idx="1">
                  <c:v>1.7026850032743943E-2</c:v>
                </c:pt>
                <c:pt idx="2">
                  <c:v>2.1459227467811159E-2</c:v>
                </c:pt>
                <c:pt idx="3">
                  <c:v>1.9795657726692211E-2</c:v>
                </c:pt>
                <c:pt idx="4">
                  <c:v>1.5306122448979591E-2</c:v>
                </c:pt>
                <c:pt idx="5">
                  <c:v>0.08</c:v>
                </c:pt>
              </c:numCache>
            </c:numRef>
          </c:val>
        </c:ser>
        <c:ser>
          <c:idx val="6"/>
          <c:order val="6"/>
          <c:tx>
            <c:strRef>
              <c:f>'ETHNICITY % GRAPH'!$AK$1:$AK$2</c:f>
              <c:strCache>
                <c:ptCount val="1"/>
                <c:pt idx="0">
                  <c:v>Pacific Islander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'ETHNICITY % GRAPH'!$AD$3:$AD$8</c:f>
              <c:strCache>
                <c:ptCount val="6"/>
                <c:pt idx="0">
                  <c:v>AY 09-10</c:v>
                </c:pt>
                <c:pt idx="1">
                  <c:v>AY 08-09</c:v>
                </c:pt>
                <c:pt idx="2">
                  <c:v>AY 07-08</c:v>
                </c:pt>
                <c:pt idx="3">
                  <c:v>AY 10-11</c:v>
                </c:pt>
                <c:pt idx="4">
                  <c:v>AY 11-12</c:v>
                </c:pt>
                <c:pt idx="5">
                  <c:v>Comparison (Enrolled AY 11-12 + 3 Terms)</c:v>
                </c:pt>
              </c:strCache>
            </c:strRef>
          </c:cat>
          <c:val>
            <c:numRef>
              <c:f>'ETHNICITY % GRAPH'!$AK$3:$AK$8</c:f>
              <c:numCache>
                <c:formatCode>0%</c:formatCode>
                <c:ptCount val="6"/>
                <c:pt idx="0">
                  <c:v>8.0053368912608412E-3</c:v>
                </c:pt>
                <c:pt idx="1">
                  <c:v>4.5841519318926003E-3</c:v>
                </c:pt>
                <c:pt idx="2">
                  <c:v>3.5765379113018598E-3</c:v>
                </c:pt>
                <c:pt idx="3">
                  <c:v>8.9399744572158362E-3</c:v>
                </c:pt>
                <c:pt idx="4">
                  <c:v>3.1887755102040817E-3</c:v>
                </c:pt>
                <c:pt idx="5">
                  <c:v>0.01</c:v>
                </c:pt>
              </c:numCache>
            </c:numRef>
          </c:val>
        </c:ser>
        <c:ser>
          <c:idx val="7"/>
          <c:order val="7"/>
          <c:tx>
            <c:strRef>
              <c:f>'ETHNICITY % GRAPH'!$AL$1:$AL$2</c:f>
              <c:strCache>
                <c:ptCount val="1"/>
                <c:pt idx="0">
                  <c:v>Native American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'ETHNICITY % GRAPH'!$AD$3:$AD$8</c:f>
              <c:strCache>
                <c:ptCount val="6"/>
                <c:pt idx="0">
                  <c:v>AY 09-10</c:v>
                </c:pt>
                <c:pt idx="1">
                  <c:v>AY 08-09</c:v>
                </c:pt>
                <c:pt idx="2">
                  <c:v>AY 07-08</c:v>
                </c:pt>
                <c:pt idx="3">
                  <c:v>AY 10-11</c:v>
                </c:pt>
                <c:pt idx="4">
                  <c:v>AY 11-12</c:v>
                </c:pt>
                <c:pt idx="5">
                  <c:v>Comparison (Enrolled AY 11-12 + 3 Terms)</c:v>
                </c:pt>
              </c:strCache>
            </c:strRef>
          </c:cat>
          <c:val>
            <c:numRef>
              <c:f>'ETHNICITY % GRAPH'!$AL$3:$AL$8</c:f>
              <c:numCache>
                <c:formatCode>0%</c:formatCode>
                <c:ptCount val="6"/>
                <c:pt idx="0">
                  <c:v>7.3382254836557703E-3</c:v>
                </c:pt>
                <c:pt idx="1">
                  <c:v>1.37524557956778E-2</c:v>
                </c:pt>
                <c:pt idx="2">
                  <c:v>1.1444921316165951E-2</c:v>
                </c:pt>
                <c:pt idx="3">
                  <c:v>1.2132822477650063E-2</c:v>
                </c:pt>
                <c:pt idx="4">
                  <c:v>6.3775510204081634E-3</c:v>
                </c:pt>
                <c:pt idx="5">
                  <c:v>0.01</c:v>
                </c:pt>
              </c:numCache>
            </c:numRef>
          </c:val>
        </c:ser>
        <c:ser>
          <c:idx val="8"/>
          <c:order val="8"/>
          <c:tx>
            <c:strRef>
              <c:f>'ETHNICITY % GRAPH'!$AM$1:$AM$2</c:f>
              <c:strCache>
                <c:ptCount val="1"/>
                <c:pt idx="0">
                  <c:v>Unknown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'ETHNICITY % GRAPH'!$AD$3:$AD$8</c:f>
              <c:strCache>
                <c:ptCount val="6"/>
                <c:pt idx="0">
                  <c:v>AY 09-10</c:v>
                </c:pt>
                <c:pt idx="1">
                  <c:v>AY 08-09</c:v>
                </c:pt>
                <c:pt idx="2">
                  <c:v>AY 07-08</c:v>
                </c:pt>
                <c:pt idx="3">
                  <c:v>AY 10-11</c:v>
                </c:pt>
                <c:pt idx="4">
                  <c:v>AY 11-12</c:v>
                </c:pt>
                <c:pt idx="5">
                  <c:v>Comparison (Enrolled AY 11-12 + 3 Terms)</c:v>
                </c:pt>
              </c:strCache>
            </c:strRef>
          </c:cat>
          <c:val>
            <c:numRef>
              <c:f>'ETHNICITY % GRAPH'!$AM$3:$AM$8</c:f>
              <c:numCache>
                <c:formatCode>0%</c:formatCode>
                <c:ptCount val="6"/>
                <c:pt idx="0">
                  <c:v>6.6711140760511434E-4</c:v>
                </c:pt>
                <c:pt idx="1">
                  <c:v>2.6195153896528822E-3</c:v>
                </c:pt>
                <c:pt idx="2">
                  <c:v>7.1530758226034941E-4</c:v>
                </c:pt>
                <c:pt idx="3">
                  <c:v>1.2771392081738497E-3</c:v>
                </c:pt>
                <c:pt idx="4">
                  <c:v>5.1020408163264808E-3</c:v>
                </c:pt>
                <c:pt idx="5">
                  <c:v>0.05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85607168"/>
        <c:axId val="95105408"/>
      </c:barChart>
      <c:catAx>
        <c:axId val="85607168"/>
        <c:scaling>
          <c:orientation val="minMax"/>
        </c:scaling>
        <c:delete val="0"/>
        <c:axPos val="b"/>
        <c:majorTickMark val="out"/>
        <c:minorTickMark val="none"/>
        <c:tickLblPos val="nextTo"/>
        <c:crossAx val="95105408"/>
        <c:crosses val="autoZero"/>
        <c:auto val="1"/>
        <c:lblAlgn val="ctr"/>
        <c:lblOffset val="100"/>
        <c:noMultiLvlLbl val="0"/>
      </c:catAx>
      <c:valAx>
        <c:axId val="95105408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8560716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pivotSource>
    <c:name>[4. Total Awards Percentages.xlsx]AGE % GRAPH!PivotTable7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AGE % of MSJC AA &amp; AS AWARDS</a:t>
            </a:r>
          </a:p>
        </c:rich>
      </c:tx>
      <c:layout/>
      <c:overlay val="0"/>
    </c:title>
    <c:autoTitleDeleted val="0"/>
    <c:pivotFmts>
      <c:pivotFmt>
        <c:idx val="0"/>
        <c:dLbl>
          <c:idx val="0"/>
          <c:layout/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1"/>
        <c:dLbl>
          <c:idx val="0"/>
          <c:layout/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2"/>
        <c:dLbl>
          <c:idx val="0"/>
          <c:layout/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3"/>
        <c:dLbl>
          <c:idx val="0"/>
          <c:layout/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4"/>
        <c:dLbl>
          <c:idx val="0"/>
          <c:layout/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5"/>
        <c:dLbl>
          <c:idx val="0"/>
          <c:layout/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6"/>
        <c:dLbl>
          <c:idx val="0"/>
          <c:layout/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7"/>
        <c:dLbl>
          <c:idx val="0"/>
          <c:layout/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  <c:pivotFmt>
        <c:idx val="8"/>
        <c:dLbl>
          <c:idx val="0"/>
          <c:layout/>
          <c:dLblPos val="ctr"/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'AGE % GRAPH'!$AL$1:$AL$2</c:f>
              <c:strCache>
                <c:ptCount val="1"/>
                <c:pt idx="0">
                  <c:v>&lt;18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% GRAPH'!$AK$3:$AK$8</c:f>
              <c:strCache>
                <c:ptCount val="6"/>
                <c:pt idx="0">
                  <c:v>AY 07-08</c:v>
                </c:pt>
                <c:pt idx="1">
                  <c:v>AY 08-09</c:v>
                </c:pt>
                <c:pt idx="2">
                  <c:v>AY 09-10</c:v>
                </c:pt>
                <c:pt idx="3">
                  <c:v>AY 10-11</c:v>
                </c:pt>
                <c:pt idx="4">
                  <c:v>AY 11-12</c:v>
                </c:pt>
                <c:pt idx="5">
                  <c:v>Comparison (Enrolled AY 11-12 + 3 Terms)</c:v>
                </c:pt>
              </c:strCache>
            </c:strRef>
          </c:cat>
          <c:val>
            <c:numRef>
              <c:f>'AGE % GRAPH'!$AL$3:$AL$8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1.277139208173691E-3</c:v>
                </c:pt>
                <c:pt idx="4">
                  <c:v>0</c:v>
                </c:pt>
                <c:pt idx="5">
                  <c:v>9.1183119819140922E-3</c:v>
                </c:pt>
              </c:numCache>
            </c:numRef>
          </c:val>
        </c:ser>
        <c:ser>
          <c:idx val="1"/>
          <c:order val="1"/>
          <c:tx>
            <c:strRef>
              <c:f>'AGE % GRAPH'!$AM$1:$AM$2</c:f>
              <c:strCache>
                <c:ptCount val="1"/>
                <c:pt idx="0">
                  <c:v>18 &amp; 19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% GRAPH'!$AK$3:$AK$8</c:f>
              <c:strCache>
                <c:ptCount val="6"/>
                <c:pt idx="0">
                  <c:v>AY 07-08</c:v>
                </c:pt>
                <c:pt idx="1">
                  <c:v>AY 08-09</c:v>
                </c:pt>
                <c:pt idx="2">
                  <c:v>AY 09-10</c:v>
                </c:pt>
                <c:pt idx="3">
                  <c:v>AY 10-11</c:v>
                </c:pt>
                <c:pt idx="4">
                  <c:v>AY 11-12</c:v>
                </c:pt>
                <c:pt idx="5">
                  <c:v>Comparison (Enrolled AY 11-12 + 3 Terms)</c:v>
                </c:pt>
              </c:strCache>
            </c:strRef>
          </c:cat>
          <c:val>
            <c:numRef>
              <c:f>'AGE % GRAPH'!$AM$3:$AM$8</c:f>
              <c:numCache>
                <c:formatCode>0%</c:formatCode>
                <c:ptCount val="6"/>
                <c:pt idx="0">
                  <c:v>1.5021459227467811E-2</c:v>
                </c:pt>
                <c:pt idx="1">
                  <c:v>1.3097576948264571E-2</c:v>
                </c:pt>
                <c:pt idx="2">
                  <c:v>6.6711140760507001E-3</c:v>
                </c:pt>
                <c:pt idx="3">
                  <c:v>7.6628352490421452E-3</c:v>
                </c:pt>
                <c:pt idx="4">
                  <c:v>1.0841836734693877E-2</c:v>
                </c:pt>
                <c:pt idx="5">
                  <c:v>0.13406179351921627</c:v>
                </c:pt>
              </c:numCache>
            </c:numRef>
          </c:val>
        </c:ser>
        <c:ser>
          <c:idx val="2"/>
          <c:order val="2"/>
          <c:tx>
            <c:strRef>
              <c:f>'AGE % GRAPH'!$AN$1:$AN$2</c:f>
              <c:strCache>
                <c:ptCount val="1"/>
                <c:pt idx="0">
                  <c:v>20 to 24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% GRAPH'!$AK$3:$AK$8</c:f>
              <c:strCache>
                <c:ptCount val="6"/>
                <c:pt idx="0">
                  <c:v>AY 07-08</c:v>
                </c:pt>
                <c:pt idx="1">
                  <c:v>AY 08-09</c:v>
                </c:pt>
                <c:pt idx="2">
                  <c:v>AY 09-10</c:v>
                </c:pt>
                <c:pt idx="3">
                  <c:v>AY 10-11</c:v>
                </c:pt>
                <c:pt idx="4">
                  <c:v>AY 11-12</c:v>
                </c:pt>
                <c:pt idx="5">
                  <c:v>Comparison (Enrolled AY 11-12 + 3 Terms)</c:v>
                </c:pt>
              </c:strCache>
            </c:strRef>
          </c:cat>
          <c:val>
            <c:numRef>
              <c:f>'AGE % GRAPH'!$AN$3:$AN$8</c:f>
              <c:numCache>
                <c:formatCode>0%</c:formatCode>
                <c:ptCount val="6"/>
                <c:pt idx="0">
                  <c:v>0.46924177396280403</c:v>
                </c:pt>
                <c:pt idx="1">
                  <c:v>0.49246889325474785</c:v>
                </c:pt>
                <c:pt idx="2">
                  <c:v>0.47698465643762511</c:v>
                </c:pt>
                <c:pt idx="3">
                  <c:v>0.48020434227330777</c:v>
                </c:pt>
                <c:pt idx="4">
                  <c:v>0.50637755102040816</c:v>
                </c:pt>
                <c:pt idx="5">
                  <c:v>0.42471740768651095</c:v>
                </c:pt>
              </c:numCache>
            </c:numRef>
          </c:val>
        </c:ser>
        <c:ser>
          <c:idx val="3"/>
          <c:order val="3"/>
          <c:tx>
            <c:strRef>
              <c:f>'AGE % GRAPH'!$AO$1:$AO$2</c:f>
              <c:strCache>
                <c:ptCount val="1"/>
                <c:pt idx="0">
                  <c:v>25 to 29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% GRAPH'!$AK$3:$AK$8</c:f>
              <c:strCache>
                <c:ptCount val="6"/>
                <c:pt idx="0">
                  <c:v>AY 07-08</c:v>
                </c:pt>
                <c:pt idx="1">
                  <c:v>AY 08-09</c:v>
                </c:pt>
                <c:pt idx="2">
                  <c:v>AY 09-10</c:v>
                </c:pt>
                <c:pt idx="3">
                  <c:v>AY 10-11</c:v>
                </c:pt>
                <c:pt idx="4">
                  <c:v>AY 11-12</c:v>
                </c:pt>
                <c:pt idx="5">
                  <c:v>Comparison (Enrolled AY 11-12 + 3 Terms)</c:v>
                </c:pt>
              </c:strCache>
            </c:strRef>
          </c:cat>
          <c:val>
            <c:numRef>
              <c:f>'AGE % GRAPH'!$AO$3:$AO$8</c:f>
              <c:numCache>
                <c:formatCode>0%</c:formatCode>
                <c:ptCount val="6"/>
                <c:pt idx="0">
                  <c:v>0.18240343347639484</c:v>
                </c:pt>
                <c:pt idx="1">
                  <c:v>0.16306483300589392</c:v>
                </c:pt>
                <c:pt idx="2">
                  <c:v>0.18812541694462975</c:v>
                </c:pt>
                <c:pt idx="3">
                  <c:v>0.18646232439335889</c:v>
                </c:pt>
                <c:pt idx="4">
                  <c:v>0.18494897959183673</c:v>
                </c:pt>
                <c:pt idx="5">
                  <c:v>0.1455162019593067</c:v>
                </c:pt>
              </c:numCache>
            </c:numRef>
          </c:val>
        </c:ser>
        <c:ser>
          <c:idx val="4"/>
          <c:order val="4"/>
          <c:tx>
            <c:strRef>
              <c:f>'AGE % GRAPH'!$AP$1:$AP$2</c:f>
              <c:strCache>
                <c:ptCount val="1"/>
                <c:pt idx="0">
                  <c:v>30 to 34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% GRAPH'!$AK$3:$AK$8</c:f>
              <c:strCache>
                <c:ptCount val="6"/>
                <c:pt idx="0">
                  <c:v>AY 07-08</c:v>
                </c:pt>
                <c:pt idx="1">
                  <c:v>AY 08-09</c:v>
                </c:pt>
                <c:pt idx="2">
                  <c:v>AY 09-10</c:v>
                </c:pt>
                <c:pt idx="3">
                  <c:v>AY 10-11</c:v>
                </c:pt>
                <c:pt idx="4">
                  <c:v>AY 11-12</c:v>
                </c:pt>
                <c:pt idx="5">
                  <c:v>Comparison (Enrolled AY 11-12 + 3 Terms)</c:v>
                </c:pt>
              </c:strCache>
            </c:strRef>
          </c:cat>
          <c:val>
            <c:numRef>
              <c:f>'AGE % GRAPH'!$AP$3:$AP$8</c:f>
              <c:numCache>
                <c:formatCode>0%</c:formatCode>
                <c:ptCount val="6"/>
                <c:pt idx="0">
                  <c:v>0.10014306151645208</c:v>
                </c:pt>
                <c:pt idx="1">
                  <c:v>0.10347085789129011</c:v>
                </c:pt>
                <c:pt idx="2">
                  <c:v>9.7398265510340226E-2</c:v>
                </c:pt>
                <c:pt idx="3">
                  <c:v>9.3231162196679443E-2</c:v>
                </c:pt>
                <c:pt idx="4">
                  <c:v>9.1836734693877556E-2</c:v>
                </c:pt>
                <c:pt idx="5">
                  <c:v>8.3270535041446866E-2</c:v>
                </c:pt>
              </c:numCache>
            </c:numRef>
          </c:val>
        </c:ser>
        <c:ser>
          <c:idx val="5"/>
          <c:order val="5"/>
          <c:tx>
            <c:strRef>
              <c:f>'AGE % GRAPH'!$AQ$1:$AQ$2</c:f>
              <c:strCache>
                <c:ptCount val="1"/>
                <c:pt idx="0">
                  <c:v>35 to 39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% GRAPH'!$AK$3:$AK$8</c:f>
              <c:strCache>
                <c:ptCount val="6"/>
                <c:pt idx="0">
                  <c:v>AY 07-08</c:v>
                </c:pt>
                <c:pt idx="1">
                  <c:v>AY 08-09</c:v>
                </c:pt>
                <c:pt idx="2">
                  <c:v>AY 09-10</c:v>
                </c:pt>
                <c:pt idx="3">
                  <c:v>AY 10-11</c:v>
                </c:pt>
                <c:pt idx="4">
                  <c:v>AY 11-12</c:v>
                </c:pt>
                <c:pt idx="5">
                  <c:v>Comparison (Enrolled AY 11-12 + 3 Terms)</c:v>
                </c:pt>
              </c:strCache>
            </c:strRef>
          </c:cat>
          <c:val>
            <c:numRef>
              <c:f>'AGE % GRAPH'!$AQ$3:$AQ$8</c:f>
              <c:numCache>
                <c:formatCode>0%</c:formatCode>
                <c:ptCount val="6"/>
                <c:pt idx="0">
                  <c:v>7.3676680972818306E-2</c:v>
                </c:pt>
                <c:pt idx="1">
                  <c:v>7.1381794368041915E-2</c:v>
                </c:pt>
                <c:pt idx="2">
                  <c:v>6.7378252168112079E-2</c:v>
                </c:pt>
                <c:pt idx="3">
                  <c:v>6.6411238825031929E-2</c:v>
                </c:pt>
                <c:pt idx="4">
                  <c:v>7.3341836734693883E-2</c:v>
                </c:pt>
                <c:pt idx="5">
                  <c:v>6.1115297663903542E-2</c:v>
                </c:pt>
              </c:numCache>
            </c:numRef>
          </c:val>
        </c:ser>
        <c:ser>
          <c:idx val="6"/>
          <c:order val="6"/>
          <c:tx>
            <c:strRef>
              <c:f>'AGE % GRAPH'!$AR$1:$AR$2</c:f>
              <c:strCache>
                <c:ptCount val="1"/>
                <c:pt idx="0">
                  <c:v>40 to 49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% GRAPH'!$AK$3:$AK$8</c:f>
              <c:strCache>
                <c:ptCount val="6"/>
                <c:pt idx="0">
                  <c:v>AY 07-08</c:v>
                </c:pt>
                <c:pt idx="1">
                  <c:v>AY 08-09</c:v>
                </c:pt>
                <c:pt idx="2">
                  <c:v>AY 09-10</c:v>
                </c:pt>
                <c:pt idx="3">
                  <c:v>AY 10-11</c:v>
                </c:pt>
                <c:pt idx="4">
                  <c:v>AY 11-12</c:v>
                </c:pt>
                <c:pt idx="5">
                  <c:v>Comparison (Enrolled AY 11-12 + 3 Terms)</c:v>
                </c:pt>
              </c:strCache>
            </c:strRef>
          </c:cat>
          <c:val>
            <c:numRef>
              <c:f>'AGE % GRAPH'!$AR$3:$AR$8</c:f>
              <c:numCache>
                <c:formatCode>0%</c:formatCode>
                <c:ptCount val="6"/>
                <c:pt idx="0">
                  <c:v>0.11444921316165951</c:v>
                </c:pt>
                <c:pt idx="1">
                  <c:v>0.11329404060248854</c:v>
                </c:pt>
                <c:pt idx="2">
                  <c:v>0.12341561040693796</c:v>
                </c:pt>
                <c:pt idx="3">
                  <c:v>0.11558109833971902</c:v>
                </c:pt>
                <c:pt idx="4">
                  <c:v>8.673469387755102E-2</c:v>
                </c:pt>
                <c:pt idx="5">
                  <c:v>9.0052750565184622E-2</c:v>
                </c:pt>
              </c:numCache>
            </c:numRef>
          </c:val>
        </c:ser>
        <c:ser>
          <c:idx val="7"/>
          <c:order val="7"/>
          <c:tx>
            <c:strRef>
              <c:f>'AGE % GRAPH'!$AS$1:$AS$2</c:f>
              <c:strCache>
                <c:ptCount val="1"/>
                <c:pt idx="0">
                  <c:v>50 +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% GRAPH'!$AK$3:$AK$8</c:f>
              <c:strCache>
                <c:ptCount val="6"/>
                <c:pt idx="0">
                  <c:v>AY 07-08</c:v>
                </c:pt>
                <c:pt idx="1">
                  <c:v>AY 08-09</c:v>
                </c:pt>
                <c:pt idx="2">
                  <c:v>AY 09-10</c:v>
                </c:pt>
                <c:pt idx="3">
                  <c:v>AY 10-11</c:v>
                </c:pt>
                <c:pt idx="4">
                  <c:v>AY 11-12</c:v>
                </c:pt>
                <c:pt idx="5">
                  <c:v>Comparison (Enrolled AY 11-12 + 3 Terms)</c:v>
                </c:pt>
              </c:strCache>
            </c:strRef>
          </c:cat>
          <c:val>
            <c:numRef>
              <c:f>'AGE % GRAPH'!$AS$3:$AS$8</c:f>
              <c:numCache>
                <c:formatCode>0%</c:formatCode>
                <c:ptCount val="6"/>
                <c:pt idx="0">
                  <c:v>4.5064377682403435E-2</c:v>
                </c:pt>
                <c:pt idx="1">
                  <c:v>4.3222003929273084E-2</c:v>
                </c:pt>
                <c:pt idx="2">
                  <c:v>4.0026684456304203E-2</c:v>
                </c:pt>
                <c:pt idx="3">
                  <c:v>4.9169859514687102E-2</c:v>
                </c:pt>
                <c:pt idx="4">
                  <c:v>4.5918367346938778E-2</c:v>
                </c:pt>
                <c:pt idx="5">
                  <c:v>5.1996985681989447E-2</c:v>
                </c:pt>
              </c:numCache>
            </c:numRef>
          </c:val>
        </c:ser>
        <c:ser>
          <c:idx val="8"/>
          <c:order val="8"/>
          <c:tx>
            <c:strRef>
              <c:f>'AGE % GRAPH'!$AT$1:$AT$2</c:f>
              <c:strCache>
                <c:ptCount val="1"/>
                <c:pt idx="0">
                  <c:v>Unknown</c:v>
                </c:pt>
              </c:strCache>
            </c:strRef>
          </c:tx>
          <c:invertIfNegative val="0"/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'AGE % GRAPH'!$AK$3:$AK$8</c:f>
              <c:strCache>
                <c:ptCount val="6"/>
                <c:pt idx="0">
                  <c:v>AY 07-08</c:v>
                </c:pt>
                <c:pt idx="1">
                  <c:v>AY 08-09</c:v>
                </c:pt>
                <c:pt idx="2">
                  <c:v>AY 09-10</c:v>
                </c:pt>
                <c:pt idx="3">
                  <c:v>AY 10-11</c:v>
                </c:pt>
                <c:pt idx="4">
                  <c:v>AY 11-12</c:v>
                </c:pt>
                <c:pt idx="5">
                  <c:v>Comparison (Enrolled AY 11-12 + 3 Terms)</c:v>
                </c:pt>
              </c:strCache>
            </c:strRef>
          </c:cat>
          <c:val>
            <c:numRef>
              <c:f>'AGE % GRAPH'!$AT$3:$AT$8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28329216"/>
        <c:axId val="157379968"/>
      </c:barChart>
      <c:catAx>
        <c:axId val="1283292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ACADEMIC YEAR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57379968"/>
        <c:crosses val="autoZero"/>
        <c:auto val="1"/>
        <c:lblAlgn val="ctr"/>
        <c:lblOffset val="100"/>
        <c:noMultiLvlLbl val="0"/>
      </c:catAx>
      <c:valAx>
        <c:axId val="157379968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Age</a:t>
                </a:r>
              </a:p>
              <a:p>
                <a:pPr>
                  <a:defRPr/>
                </a:pPr>
                <a:r>
                  <a:rPr lang="en-US"/>
                  <a:t>Group %</a:t>
                </a:r>
              </a:p>
            </c:rich>
          </c:tx>
          <c:layout/>
          <c:overlay val="0"/>
        </c:title>
        <c:numFmt formatCode="0%" sourceLinked="1"/>
        <c:majorTickMark val="out"/>
        <c:minorTickMark val="none"/>
        <c:tickLblPos val="nextTo"/>
        <c:crossAx val="12832921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962024</xdr:colOff>
      <xdr:row>1</xdr:row>
      <xdr:rowOff>14286</xdr:rowOff>
    </xdr:from>
    <xdr:to>
      <xdr:col>19</xdr:col>
      <xdr:colOff>581025</xdr:colOff>
      <xdr:row>38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76199</xdr:colOff>
      <xdr:row>1</xdr:row>
      <xdr:rowOff>61910</xdr:rowOff>
    </xdr:from>
    <xdr:to>
      <xdr:col>18</xdr:col>
      <xdr:colOff>1457324</xdr:colOff>
      <xdr:row>35</xdr:row>
      <xdr:rowOff>152399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114299</xdr:colOff>
      <xdr:row>0</xdr:row>
      <xdr:rowOff>109536</xdr:rowOff>
    </xdr:from>
    <xdr:to>
      <xdr:col>16</xdr:col>
      <xdr:colOff>133350</xdr:colOff>
      <xdr:row>39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76199</xdr:colOff>
      <xdr:row>1</xdr:row>
      <xdr:rowOff>61911</xdr:rowOff>
    </xdr:from>
    <xdr:to>
      <xdr:col>23</xdr:col>
      <xdr:colOff>66675</xdr:colOff>
      <xdr:row>38</xdr:row>
      <xdr:rowOff>28574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Graduates.AA&amp;A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ik%20Mesaris/_Equity/1.District/1.%20Access/Equity%20Acces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nroll%20comparis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y groupings"/>
      <sheetName val="type of award"/>
      <sheetName val="AA&amp;AS GENDER"/>
      <sheetName val="AA&amp;AS AGE"/>
      <sheetName val="AA&amp;AS Hispanics"/>
      <sheetName val="AA&amp;AS races"/>
      <sheetName val="AA&amp;AS multi race"/>
    </sheetNames>
    <sheetDataSet>
      <sheetData sheetId="0"/>
      <sheetData sheetId="1"/>
      <sheetData sheetId="2">
        <row r="1">
          <cell r="A1" t="str">
            <v>Row Labels</v>
          </cell>
          <cell r="B1" t="str">
            <v>AY 07-08</v>
          </cell>
          <cell r="C1" t="str">
            <v>AY 08-09</v>
          </cell>
          <cell r="D1" t="str">
            <v>AY 09-10</v>
          </cell>
          <cell r="E1" t="str">
            <v>AY 10-11</v>
          </cell>
          <cell r="F1" t="str">
            <v>AY 11-12</v>
          </cell>
          <cell r="G1" t="str">
            <v>Grand Total</v>
          </cell>
          <cell r="H1">
            <v>0</v>
          </cell>
          <cell r="I1">
            <v>0</v>
          </cell>
          <cell r="J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</row>
        <row r="3">
          <cell r="A3" t="str">
            <v>Count of PERSON Id</v>
          </cell>
          <cell r="B3" t="str">
            <v>Column Labels</v>
          </cell>
        </row>
        <row r="4">
          <cell r="A4" t="str">
            <v>Row Labels</v>
          </cell>
          <cell r="B4" t="str">
            <v>AY 07-08</v>
          </cell>
          <cell r="C4" t="str">
            <v>AY 08-09</v>
          </cell>
          <cell r="D4" t="str">
            <v>AY 09-10</v>
          </cell>
          <cell r="E4" t="str">
            <v>AY 10-11</v>
          </cell>
          <cell r="F4" t="str">
            <v>AY 11-12</v>
          </cell>
        </row>
        <row r="5">
          <cell r="A5" t="str">
            <v>F</v>
          </cell>
          <cell r="B5">
            <v>946</v>
          </cell>
          <cell r="C5">
            <v>1025</v>
          </cell>
          <cell r="D5">
            <v>983</v>
          </cell>
          <cell r="E5">
            <v>1014</v>
          </cell>
          <cell r="F5">
            <v>961</v>
          </cell>
        </row>
        <row r="6">
          <cell r="A6" t="str">
            <v>M</v>
          </cell>
          <cell r="B6">
            <v>451</v>
          </cell>
          <cell r="C6">
            <v>494</v>
          </cell>
          <cell r="D6">
            <v>498</v>
          </cell>
          <cell r="E6">
            <v>532</v>
          </cell>
          <cell r="F6">
            <v>591</v>
          </cell>
        </row>
        <row r="7">
          <cell r="A7" t="str">
            <v>(blank)</v>
          </cell>
          <cell r="B7">
            <v>1</v>
          </cell>
          <cell r="C7">
            <v>8</v>
          </cell>
          <cell r="D7">
            <v>18</v>
          </cell>
          <cell r="E7">
            <v>20</v>
          </cell>
          <cell r="F7">
            <v>16</v>
          </cell>
        </row>
        <row r="8">
          <cell r="A8" t="str">
            <v>Grand Total</v>
          </cell>
          <cell r="B8">
            <v>1398</v>
          </cell>
          <cell r="C8">
            <v>1527</v>
          </cell>
          <cell r="D8">
            <v>1499</v>
          </cell>
          <cell r="E8">
            <v>1566</v>
          </cell>
          <cell r="F8">
            <v>1568</v>
          </cell>
        </row>
      </sheetData>
      <sheetData sheetId="3">
        <row r="1">
          <cell r="A1" t="str">
            <v>Row Labels</v>
          </cell>
          <cell r="B1" t="str">
            <v>AY 07-08</v>
          </cell>
          <cell r="C1" t="str">
            <v>AY 08-09</v>
          </cell>
          <cell r="D1" t="str">
            <v>AY 09-10</v>
          </cell>
          <cell r="E1" t="str">
            <v>AY 10-11</v>
          </cell>
          <cell r="F1" t="str">
            <v>AY 11-12</v>
          </cell>
          <cell r="G1" t="str">
            <v>Grand Total</v>
          </cell>
          <cell r="H1">
            <v>0</v>
          </cell>
          <cell r="I1">
            <v>0</v>
          </cell>
          <cell r="J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</row>
        <row r="3">
          <cell r="A3" t="str">
            <v>Count of PERSON Id</v>
          </cell>
          <cell r="B3" t="str">
            <v>Column Labels</v>
          </cell>
        </row>
        <row r="4">
          <cell r="A4" t="str">
            <v>Row Labels</v>
          </cell>
          <cell r="B4" t="str">
            <v>AY 07-08</v>
          </cell>
          <cell r="C4" t="str">
            <v>AY 08-09</v>
          </cell>
          <cell r="D4" t="str">
            <v>AY 09-10</v>
          </cell>
          <cell r="E4" t="str">
            <v>AY 10-11</v>
          </cell>
          <cell r="F4" t="str">
            <v>AY 11-12</v>
          </cell>
        </row>
        <row r="5">
          <cell r="A5" t="str">
            <v>&lt;18</v>
          </cell>
          <cell r="B5"/>
          <cell r="C5"/>
          <cell r="D5"/>
          <cell r="E5">
            <v>2</v>
          </cell>
          <cell r="F5"/>
        </row>
        <row r="6">
          <cell r="A6" t="str">
            <v>18 &amp; 19</v>
          </cell>
          <cell r="B6">
            <v>21</v>
          </cell>
          <cell r="C6">
            <v>20</v>
          </cell>
          <cell r="D6">
            <v>10</v>
          </cell>
          <cell r="E6">
            <v>12</v>
          </cell>
          <cell r="F6">
            <v>17</v>
          </cell>
        </row>
        <row r="7">
          <cell r="A7" t="str">
            <v>20 to 24</v>
          </cell>
          <cell r="B7">
            <v>656</v>
          </cell>
          <cell r="C7">
            <v>752</v>
          </cell>
          <cell r="D7">
            <v>715</v>
          </cell>
          <cell r="E7">
            <v>752</v>
          </cell>
          <cell r="F7">
            <v>794</v>
          </cell>
        </row>
        <row r="8">
          <cell r="A8" t="str">
            <v>25 to 29</v>
          </cell>
          <cell r="B8">
            <v>255</v>
          </cell>
          <cell r="C8">
            <v>249</v>
          </cell>
          <cell r="D8">
            <v>282</v>
          </cell>
          <cell r="E8">
            <v>292</v>
          </cell>
          <cell r="F8">
            <v>290</v>
          </cell>
        </row>
        <row r="9">
          <cell r="A9" t="str">
            <v>30 to 34</v>
          </cell>
          <cell r="B9">
            <v>140</v>
          </cell>
          <cell r="C9">
            <v>158</v>
          </cell>
          <cell r="D9">
            <v>146</v>
          </cell>
          <cell r="E9">
            <v>146</v>
          </cell>
          <cell r="F9">
            <v>144</v>
          </cell>
        </row>
        <row r="10">
          <cell r="A10" t="str">
            <v>35 to 39</v>
          </cell>
          <cell r="B10">
            <v>103</v>
          </cell>
          <cell r="C10">
            <v>109</v>
          </cell>
          <cell r="D10">
            <v>101</v>
          </cell>
          <cell r="E10">
            <v>104</v>
          </cell>
          <cell r="F10">
            <v>115</v>
          </cell>
        </row>
        <row r="11">
          <cell r="A11" t="str">
            <v>40 to 49</v>
          </cell>
          <cell r="B11">
            <v>160</v>
          </cell>
          <cell r="C11">
            <v>173</v>
          </cell>
          <cell r="D11">
            <v>185</v>
          </cell>
          <cell r="E11">
            <v>181</v>
          </cell>
          <cell r="F11">
            <v>136</v>
          </cell>
        </row>
        <row r="12">
          <cell r="A12" t="str">
            <v>50 +</v>
          </cell>
          <cell r="B12">
            <v>63</v>
          </cell>
          <cell r="C12">
            <v>66</v>
          </cell>
          <cell r="D12">
            <v>60</v>
          </cell>
          <cell r="E12">
            <v>77</v>
          </cell>
          <cell r="F12">
            <v>72</v>
          </cell>
        </row>
        <row r="13">
          <cell r="A13" t="str">
            <v>Grand Total</v>
          </cell>
          <cell r="B13">
            <v>1398</v>
          </cell>
          <cell r="C13">
            <v>1527</v>
          </cell>
          <cell r="D13">
            <v>1499</v>
          </cell>
          <cell r="E13">
            <v>1566</v>
          </cell>
          <cell r="F13">
            <v>1568</v>
          </cell>
        </row>
      </sheetData>
      <sheetData sheetId="4">
        <row r="1">
          <cell r="A1" t="str">
            <v>Row Labels</v>
          </cell>
          <cell r="B1" t="str">
            <v>AY 07-08</v>
          </cell>
          <cell r="C1" t="str">
            <v>AY 08-09</v>
          </cell>
          <cell r="D1" t="str">
            <v>AY 09-10</v>
          </cell>
          <cell r="E1" t="str">
            <v>AY 10-11</v>
          </cell>
          <cell r="F1" t="str">
            <v>AY 11-12</v>
          </cell>
          <cell r="G1" t="str">
            <v>Grand Total</v>
          </cell>
          <cell r="H1">
            <v>0</v>
          </cell>
          <cell r="I1">
            <v>0</v>
          </cell>
          <cell r="J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</row>
        <row r="3">
          <cell r="A3" t="str">
            <v>Count of PERSON Id</v>
          </cell>
          <cell r="B3" t="str">
            <v>Column Labels</v>
          </cell>
        </row>
        <row r="4">
          <cell r="A4" t="str">
            <v>Row Labels</v>
          </cell>
          <cell r="B4" t="str">
            <v>AY 07-08</v>
          </cell>
          <cell r="C4" t="str">
            <v>AY 08-09</v>
          </cell>
          <cell r="D4" t="str">
            <v>AY 09-10</v>
          </cell>
          <cell r="E4" t="str">
            <v>AY 10-11</v>
          </cell>
          <cell r="F4" t="str">
            <v>AY 11-12</v>
          </cell>
        </row>
        <row r="5">
          <cell r="A5" t="str">
            <v>Hispanics</v>
          </cell>
          <cell r="B5">
            <v>451</v>
          </cell>
          <cell r="C5">
            <v>505</v>
          </cell>
          <cell r="D5">
            <v>515</v>
          </cell>
          <cell r="E5">
            <v>566</v>
          </cell>
          <cell r="F5">
            <v>555</v>
          </cell>
        </row>
        <row r="6">
          <cell r="A6" t="str">
            <v>Grand Total</v>
          </cell>
          <cell r="B6">
            <v>451</v>
          </cell>
          <cell r="C6">
            <v>505</v>
          </cell>
          <cell r="D6">
            <v>515</v>
          </cell>
          <cell r="E6">
            <v>566</v>
          </cell>
          <cell r="F6">
            <v>555</v>
          </cell>
        </row>
      </sheetData>
      <sheetData sheetId="5">
        <row r="1">
          <cell r="A1" t="str">
            <v>Row Labels</v>
          </cell>
          <cell r="B1" t="str">
            <v>AY 07-08</v>
          </cell>
          <cell r="C1" t="str">
            <v>AY 08-09</v>
          </cell>
          <cell r="D1" t="str">
            <v>AY 09-10</v>
          </cell>
          <cell r="E1" t="str">
            <v>AY 10-11</v>
          </cell>
          <cell r="F1" t="str">
            <v>AY 11-12</v>
          </cell>
          <cell r="G1" t="str">
            <v>Grand Total</v>
          </cell>
          <cell r="H1">
            <v>0</v>
          </cell>
          <cell r="I1">
            <v>0</v>
          </cell>
          <cell r="J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</row>
        <row r="3">
          <cell r="A3" t="str">
            <v>Count of PERSON Id</v>
          </cell>
          <cell r="B3" t="str">
            <v>Column Labels</v>
          </cell>
        </row>
        <row r="4">
          <cell r="A4" t="str">
            <v>Row Labels</v>
          </cell>
          <cell r="B4" t="str">
            <v>AY 07-08</v>
          </cell>
          <cell r="C4" t="str">
            <v>AY 08-09</v>
          </cell>
          <cell r="D4" t="str">
            <v>AY 09-10</v>
          </cell>
          <cell r="E4" t="str">
            <v>AY 10-11</v>
          </cell>
          <cell r="F4" t="str">
            <v>AY 11-12</v>
          </cell>
        </row>
        <row r="5">
          <cell r="A5" t="str">
            <v>W</v>
          </cell>
          <cell r="B5">
            <v>710</v>
          </cell>
          <cell r="C5">
            <v>802</v>
          </cell>
          <cell r="D5">
            <v>752</v>
          </cell>
          <cell r="E5">
            <v>761</v>
          </cell>
          <cell r="F5">
            <v>762</v>
          </cell>
        </row>
        <row r="6">
          <cell r="A6" t="str">
            <v>B</v>
          </cell>
          <cell r="B6">
            <v>82</v>
          </cell>
          <cell r="C6">
            <v>70</v>
          </cell>
          <cell r="D6">
            <v>78</v>
          </cell>
          <cell r="E6">
            <v>71</v>
          </cell>
          <cell r="F6">
            <v>79</v>
          </cell>
        </row>
        <row r="7">
          <cell r="A7" t="str">
            <v>F</v>
          </cell>
          <cell r="B7">
            <v>66</v>
          </cell>
          <cell r="C7">
            <v>72</v>
          </cell>
          <cell r="D7">
            <v>65</v>
          </cell>
          <cell r="E7">
            <v>51</v>
          </cell>
          <cell r="F7">
            <v>80</v>
          </cell>
        </row>
        <row r="8">
          <cell r="A8" t="str">
            <v>A</v>
          </cell>
          <cell r="B8">
            <v>37</v>
          </cell>
          <cell r="C8">
            <v>20</v>
          </cell>
          <cell r="D8">
            <v>48</v>
          </cell>
          <cell r="E8">
            <v>51</v>
          </cell>
          <cell r="F8">
            <v>45</v>
          </cell>
        </row>
        <row r="9">
          <cell r="A9" t="str">
            <v>N</v>
          </cell>
          <cell r="B9">
            <v>16</v>
          </cell>
          <cell r="C9">
            <v>21</v>
          </cell>
          <cell r="D9">
            <v>11</v>
          </cell>
          <cell r="E9">
            <v>19</v>
          </cell>
          <cell r="F9">
            <v>10</v>
          </cell>
        </row>
        <row r="10">
          <cell r="A10" t="str">
            <v>P</v>
          </cell>
          <cell r="B10">
            <v>5</v>
          </cell>
          <cell r="C10">
            <v>7</v>
          </cell>
          <cell r="D10">
            <v>12</v>
          </cell>
          <cell r="E10">
            <v>14</v>
          </cell>
          <cell r="F10">
            <v>5</v>
          </cell>
        </row>
        <row r="11">
          <cell r="A11"/>
          <cell r="B11">
            <v>1</v>
          </cell>
          <cell r="C11">
            <v>4</v>
          </cell>
          <cell r="D11"/>
          <cell r="E11">
            <v>2</v>
          </cell>
          <cell r="F11">
            <v>4</v>
          </cell>
        </row>
        <row r="12">
          <cell r="A12" t="str">
            <v>Grand Total</v>
          </cell>
          <cell r="B12">
            <v>917</v>
          </cell>
          <cell r="C12">
            <v>996</v>
          </cell>
          <cell r="D12">
            <v>966</v>
          </cell>
          <cell r="E12">
            <v>969</v>
          </cell>
          <cell r="F12">
            <v>985</v>
          </cell>
        </row>
      </sheetData>
      <sheetData sheetId="6">
        <row r="1">
          <cell r="A1" t="str">
            <v>Row Labels</v>
          </cell>
          <cell r="B1" t="str">
            <v>AY 07-08</v>
          </cell>
          <cell r="C1" t="str">
            <v>AY 08-09</v>
          </cell>
          <cell r="D1" t="str">
            <v>AY 09-10</v>
          </cell>
          <cell r="E1" t="str">
            <v>AY 10-11</v>
          </cell>
          <cell r="F1" t="str">
            <v>AY 11-12</v>
          </cell>
          <cell r="G1" t="str">
            <v>Grand Total</v>
          </cell>
          <cell r="H1">
            <v>0</v>
          </cell>
          <cell r="I1">
            <v>0</v>
          </cell>
          <cell r="J1">
            <v>0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</row>
        <row r="3">
          <cell r="A3" t="str">
            <v>Count of PERSON Id</v>
          </cell>
          <cell r="B3" t="str">
            <v>Column Labels</v>
          </cell>
        </row>
        <row r="4">
          <cell r="A4" t="str">
            <v>Row Labels</v>
          </cell>
          <cell r="B4" t="str">
            <v>AY 07-08</v>
          </cell>
          <cell r="C4" t="str">
            <v>AY 08-09</v>
          </cell>
          <cell r="D4" t="str">
            <v>AY 09-10</v>
          </cell>
          <cell r="E4" t="str">
            <v>AY 10-11</v>
          </cell>
          <cell r="F4" t="str">
            <v>AY 11-12</v>
          </cell>
        </row>
        <row r="5">
          <cell r="A5" t="str">
            <v>Multi-Race</v>
          </cell>
          <cell r="B5">
            <v>30</v>
          </cell>
          <cell r="C5">
            <v>26</v>
          </cell>
          <cell r="D5">
            <v>17</v>
          </cell>
          <cell r="E5">
            <v>31</v>
          </cell>
          <cell r="F5">
            <v>24</v>
          </cell>
        </row>
        <row r="6">
          <cell r="A6" t="str">
            <v>Grand Total</v>
          </cell>
          <cell r="B6">
            <v>30</v>
          </cell>
          <cell r="C6">
            <v>26</v>
          </cell>
          <cell r="D6">
            <v>17</v>
          </cell>
          <cell r="E6">
            <v>31</v>
          </cell>
          <cell r="F6">
            <v>24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gender"/>
      <sheetName val="ethnic"/>
      <sheetName val="Sheet2"/>
    </sheetNames>
    <sheetDataSet>
      <sheetData sheetId="0">
        <row r="4">
          <cell r="K4">
            <v>0.56593631616668372</v>
          </cell>
        </row>
        <row r="5">
          <cell r="K5">
            <v>0.42484898126343812</v>
          </cell>
        </row>
        <row r="6">
          <cell r="K6">
            <v>9.214702569878162E-3</v>
          </cell>
        </row>
        <row r="12">
          <cell r="K12">
            <v>0.3996109347803829</v>
          </cell>
        </row>
        <row r="13">
          <cell r="K13">
            <v>0.37345141804033993</v>
          </cell>
        </row>
        <row r="14">
          <cell r="K14">
            <v>7.7147537626702165E-2</v>
          </cell>
        </row>
        <row r="15">
          <cell r="K15">
            <v>2.4470154602232005E-2</v>
          </cell>
        </row>
        <row r="16">
          <cell r="K16">
            <v>7.2181836797378931E-3</v>
          </cell>
        </row>
        <row r="17">
          <cell r="K17">
            <v>3.0664482440872325E-2</v>
          </cell>
        </row>
        <row r="18">
          <cell r="K18">
            <v>4.607351284939081E-3</v>
          </cell>
        </row>
        <row r="19">
          <cell r="K19">
            <v>4.6483055185829833E-2</v>
          </cell>
        </row>
        <row r="20">
          <cell r="K20">
            <v>3.6346882358963856E-2</v>
          </cell>
        </row>
        <row r="25">
          <cell r="K25">
            <v>1.003378724275622E-2</v>
          </cell>
        </row>
        <row r="26">
          <cell r="K26">
            <v>0.20768915736664278</v>
          </cell>
        </row>
        <row r="27">
          <cell r="K27">
            <v>0.38517456742090711</v>
          </cell>
        </row>
        <row r="28">
          <cell r="K28">
            <v>0.1343810791440565</v>
          </cell>
        </row>
        <row r="29">
          <cell r="K29">
            <v>7.8632128596293635E-2</v>
          </cell>
        </row>
        <row r="30">
          <cell r="K30">
            <v>5.4981058666939697E-2</v>
          </cell>
        </row>
        <row r="31">
          <cell r="K31">
            <v>8.0526261902324148E-2</v>
          </cell>
        </row>
        <row r="32">
          <cell r="K32">
            <v>4.8479574075970103E-2</v>
          </cell>
        </row>
        <row r="33">
          <cell r="K33">
            <v>1.0238558410975735E-4</v>
          </cell>
        </row>
      </sheetData>
      <sheetData sheetId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der"/>
      <sheetName val="age"/>
      <sheetName val="hispanic"/>
      <sheetName val="Sheet4"/>
      <sheetName val="Sheet5"/>
    </sheetNames>
    <sheetDataSet>
      <sheetData sheetId="0"/>
      <sheetData sheetId="1"/>
      <sheetData sheetId="2">
        <row r="9">
          <cell r="E9">
            <v>0.35561416729464956</v>
          </cell>
        </row>
      </sheetData>
      <sheetData sheetId="3"/>
      <sheetData sheetId="4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nmesaris" refreshedDate="41137.444823958336" createdVersion="4" refreshedVersion="4" minRefreshableVersion="3" recordCount="2">
  <cacheSource type="worksheet">
    <worksheetSource ref="A2:F4" sheet="Table"/>
  </cacheSource>
  <cacheFields count="6">
    <cacheField name="Awards" numFmtId="0">
      <sharedItems count="2">
        <s v="click here for graph"/>
        <s v="Total"/>
      </sharedItems>
    </cacheField>
    <cacheField name="AY 07-08" numFmtId="0">
      <sharedItems containsMixedTypes="1" containsNumber="1" containsInteger="1" minValue="1398" maxValue="1398"/>
    </cacheField>
    <cacheField name="AY 08-09" numFmtId="0">
      <sharedItems containsMixedTypes="1" containsNumber="1" containsInteger="1" minValue="1527" maxValue="1527"/>
    </cacheField>
    <cacheField name="AY 09-10" numFmtId="0">
      <sharedItems containsMixedTypes="1" containsNumber="1" containsInteger="1" minValue="1499" maxValue="1499"/>
    </cacheField>
    <cacheField name="AY 10-11" numFmtId="0">
      <sharedItems containsMixedTypes="1" containsNumber="1" containsInteger="1" minValue="1566" maxValue="1566"/>
    </cacheField>
    <cacheField name="AY 11-12" numFmtId="0">
      <sharedItems containsMixedTypes="1" containsNumber="1" containsInteger="1" minValue="1568" maxValue="156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nmesaris" refreshedDate="41137.444824074075" createdVersion="4" refreshedVersion="4" minRefreshableVersion="3" recordCount="9">
  <cacheSource type="worksheet">
    <worksheetSource ref="A12:H21" sheet="Table"/>
  </cacheSource>
  <cacheFields count="8">
    <cacheField name="Ethnicity" numFmtId="0">
      <sharedItems count="9">
        <s v="White"/>
        <s v="Hispanic"/>
        <s v="African American"/>
        <s v="Asian"/>
        <s v="Native American"/>
        <s v="Filipino"/>
        <s v="Pacific Islander"/>
        <s v="Multi-Race"/>
        <s v="Unknown"/>
      </sharedItems>
    </cacheField>
    <cacheField name="AA/AS" numFmtId="9">
      <sharedItems containsSemiMixedTypes="0" containsString="0" containsNumber="1" minValue="7.1530758226034941E-4" maxValue="0.50786838340486407"/>
    </cacheField>
    <cacheField name="AA/AS2" numFmtId="9">
      <sharedItems containsSemiMixedTypes="0" containsString="0" containsNumber="1" minValue="2.6195153896528822E-3" maxValue="0.52521283562540932"/>
    </cacheField>
    <cacheField name="AA/AS3" numFmtId="9">
      <sharedItems containsSemiMixedTypes="0" containsString="0" containsNumber="1" minValue="6.6711140760511434E-4" maxValue="0.50166777851901267"/>
    </cacheField>
    <cacheField name="AA/AS4" numFmtId="9">
      <sharedItems containsSemiMixedTypes="0" containsString="0" containsNumber="1" minValue="1.2771392081738497E-3" maxValue="0.48595146871008937"/>
    </cacheField>
    <cacheField name="AA/AS5" numFmtId="9">
      <sharedItems containsSemiMixedTypes="0" containsString="0" containsNumber="1" minValue="3.1887755102040817E-3" maxValue="0.48596938775510207"/>
    </cacheField>
    <cacheField name="AY11-12  + 3 terms" numFmtId="9">
      <sharedItems containsSemiMixedTypes="0" containsString="0" containsNumber="1" minValue="0.01" maxValue="0.41"/>
    </cacheField>
    <cacheField name="AA/AS Gap" numFmtId="9">
      <sharedItems containsSemiMixedTypes="0" containsString="0" containsNumber="1" minValue="-6.4693877551020407E-2" maxValue="7.5969387755102091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nmesaris" refreshedDate="41137.444824189814" createdVersion="4" refreshedVersion="4" minRefreshableVersion="3" recordCount="3">
  <cacheSource type="worksheet">
    <worksheetSource ref="A6:H9" sheet="Table"/>
  </cacheSource>
  <cacheFields count="8">
    <cacheField name="Gender" numFmtId="0">
      <sharedItems count="3">
        <s v="Female"/>
        <s v="Male"/>
        <s v="Unknown"/>
      </sharedItems>
    </cacheField>
    <cacheField name="AA/AS" numFmtId="9">
      <sharedItems containsSemiMixedTypes="0" containsString="0" containsNumber="1" minValue="7.1530758226037196E-4" maxValue="0.67668097281831185"/>
    </cacheField>
    <cacheField name="AA/AS2" numFmtId="9">
      <sharedItems containsSemiMixedTypes="0" containsString="0" containsNumber="1" minValue="5.2390307793058286E-3" maxValue="0.67125081859855928"/>
    </cacheField>
    <cacheField name="AA/AS3" numFmtId="9">
      <sharedItems containsSemiMixedTypes="0" containsString="0" containsNumber="1" minValue="1.200800533689126E-2" maxValue="0.65577051367578387"/>
    </cacheField>
    <cacheField name="AA/AS4" numFmtId="9">
      <sharedItems containsSemiMixedTypes="0" containsString="0" containsNumber="1" minValue="1.277139208173691E-2" maxValue="0.64750957854406133"/>
    </cacheField>
    <cacheField name="AA/AS5" numFmtId="9">
      <sharedItems containsSemiMixedTypes="0" containsString="0" containsNumber="1" minValue="1.020408163265306E-2" maxValue="0.61288265306122447"/>
    </cacheField>
    <cacheField name="AY11-12  + 3 terms" numFmtId="9">
      <sharedItems containsSemiMixedTypes="0" containsString="0" containsNumber="1" minValue="9.0429540316503392E-3" maxValue="0.59751318764129613"/>
    </cacheField>
    <cacheField name="AA/AS Gap" numFmtId="9">
      <sharedItems containsSemiMixedTypes="0" containsString="0" containsNumber="1" minValue="-1.6530593020931073E-2" maxValue="1.5369465419928341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nmesaris" refreshedDate="41137.444824421298" createdVersion="4" refreshedVersion="4" minRefreshableVersion="3" recordCount="9">
  <cacheSource type="worksheet">
    <worksheetSource ref="A24:H33" sheet="Table"/>
  </cacheSource>
  <cacheFields count="8">
    <cacheField name="Age " numFmtId="0">
      <sharedItems count="9">
        <s v="&lt;18"/>
        <s v="18 &amp; 19"/>
        <s v="20 to 24"/>
        <s v="25 to 29"/>
        <s v="30 to 34"/>
        <s v="35 to 39"/>
        <s v="40 to 49"/>
        <s v="50 +"/>
        <s v="Unknown"/>
      </sharedItems>
    </cacheField>
    <cacheField name="AA/AS" numFmtId="9">
      <sharedItems containsSemiMixedTypes="0" containsString="0" containsNumber="1" minValue="0" maxValue="0.46924177396280403"/>
    </cacheField>
    <cacheField name="AA/AS2" numFmtId="9">
      <sharedItems containsSemiMixedTypes="0" containsString="0" containsNumber="1" minValue="0" maxValue="0.49246889325474785"/>
    </cacheField>
    <cacheField name="AA/AS3" numFmtId="9">
      <sharedItems containsSemiMixedTypes="0" containsString="0" containsNumber="1" minValue="0" maxValue="0.47698465643762511"/>
    </cacheField>
    <cacheField name="AA/AS4" numFmtId="9">
      <sharedItems containsSemiMixedTypes="0" containsString="0" containsNumber="1" minValue="0" maxValue="0.48020434227330777"/>
    </cacheField>
    <cacheField name="AA/AS5" numFmtId="9">
      <sharedItems containsSemiMixedTypes="0" containsString="0" containsNumber="1" minValue="0" maxValue="0.50637755102040816"/>
    </cacheField>
    <cacheField name="AY11-12  + 3 terms" numFmtId="9">
      <sharedItems containsSemiMixedTypes="0" containsString="0" containsNumber="1" minValue="0" maxValue="0.42471740768651095"/>
    </cacheField>
    <cacheField name="AA/AS Gap" numFmtId="9">
      <sharedItems containsSemiMixedTypes="0" containsString="0" containsNumber="1" minValue="-0.12321995678452238" maxValue="8.1660143333897206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">
  <r>
    <x v="0"/>
    <s v="AA/AS"/>
    <s v="AA/AS"/>
    <s v="AA/AS"/>
    <s v="AA/AS"/>
    <s v="AA/AS"/>
  </r>
  <r>
    <x v="1"/>
    <n v="1398"/>
    <n v="1527"/>
    <n v="1499"/>
    <n v="1566"/>
    <n v="156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9">
  <r>
    <x v="0"/>
    <n v="0.50786838340486407"/>
    <n v="0.52521283562540932"/>
    <n v="0.50166777851901267"/>
    <n v="0.48595146871008937"/>
    <n v="0.48596938775510207"/>
    <n v="0.41"/>
    <n v="7.5969387755102091E-2"/>
  </r>
  <r>
    <x v="1"/>
    <n v="0.32260371959942774"/>
    <n v="0.33071381794368043"/>
    <n v="0.34356237491661107"/>
    <n v="0.36143039591315451"/>
    <n v="0.35395408163265307"/>
    <n v="0.35561416729464956"/>
    <n v="-1.660085661996491E-3"/>
  </r>
  <r>
    <x v="2"/>
    <n v="5.8655221745350504E-2"/>
    <n v="4.5841519318926001E-2"/>
    <n v="5.2034689793195463E-2"/>
    <n v="4.5338441890166031E-2"/>
    <n v="5.038265306122449E-2"/>
    <n v="7.0000000000000007E-2"/>
    <n v="-1.9617346938775516E-2"/>
  </r>
  <r>
    <x v="3"/>
    <n v="2.6466380543633764E-2"/>
    <n v="1.3097576948264571E-2"/>
    <n v="3.2021347565043365E-2"/>
    <n v="3.2567049808429116E-2"/>
    <n v="2.8698979591836735E-2"/>
    <n v="0.03"/>
    <n v="-1.3010204081632636E-3"/>
  </r>
  <r>
    <x v="4"/>
    <n v="1.1444921316165951E-2"/>
    <n v="1.37524557956778E-2"/>
    <n v="7.3382254836557703E-3"/>
    <n v="1.2132822477650063E-2"/>
    <n v="6.3775510204081634E-3"/>
    <n v="0.01"/>
    <n v="-3.6224489795918368E-3"/>
  </r>
  <r>
    <x v="5"/>
    <n v="4.7210300429184553E-2"/>
    <n v="4.7151277013752456E-2"/>
    <n v="4.3362241494329552E-2"/>
    <n v="3.2567049808429116E-2"/>
    <n v="5.1020408163265307E-2"/>
    <n v="0.03"/>
    <n v="2.1020408163265308E-2"/>
  </r>
  <r>
    <x v="6"/>
    <n v="3.5765379113018598E-3"/>
    <n v="4.5841519318926003E-3"/>
    <n v="8.0053368912608412E-3"/>
    <n v="8.9399744572158362E-3"/>
    <n v="3.1887755102040817E-3"/>
    <n v="0.01"/>
    <n v="-6.8112244897959185E-3"/>
  </r>
  <r>
    <x v="7"/>
    <n v="2.1459227467811159E-2"/>
    <n v="1.7026850032743943E-2"/>
    <n v="1.1340893929286191E-2"/>
    <n v="1.9795657726692211E-2"/>
    <n v="1.5306122448979591E-2"/>
    <n v="0.08"/>
    <n v="-6.4693877551020407E-2"/>
  </r>
  <r>
    <x v="8"/>
    <n v="7.1530758226034941E-4"/>
    <n v="2.6195153896528822E-3"/>
    <n v="6.6711140760511434E-4"/>
    <n v="1.2771392081738497E-3"/>
    <n v="5.1020408163264808E-3"/>
    <n v="0.05"/>
    <n v="-4.4897959183673522E-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3">
  <r>
    <x v="0"/>
    <n v="0.67668097281831185"/>
    <n v="0.67125081859855928"/>
    <n v="0.65577051367578387"/>
    <n v="0.64750957854406133"/>
    <n v="0.61288265306122447"/>
    <n v="0.59751318764129613"/>
    <n v="1.5369465419928341E-2"/>
  </r>
  <r>
    <x v="1"/>
    <n v="0.32260371959942774"/>
    <n v="0.3235101506221349"/>
    <n v="0.3322214809873249"/>
    <n v="0.33971902937420179"/>
    <n v="0.37691326530612246"/>
    <n v="0.39344385832705353"/>
    <n v="-1.6530593020931073E-2"/>
  </r>
  <r>
    <x v="2"/>
    <n v="7.1530758226037196E-4"/>
    <n v="5.2390307793058286E-3"/>
    <n v="1.200800533689126E-2"/>
    <n v="1.277139208173691E-2"/>
    <n v="1.020408163265306E-2"/>
    <n v="9.0429540316503392E-3"/>
    <n v="1.1611276010027212E-3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9">
  <r>
    <x v="0"/>
    <n v="0"/>
    <n v="0"/>
    <n v="0"/>
    <n v="1.277139208173691E-3"/>
    <n v="0"/>
    <n v="9.1183119819140922E-3"/>
    <n v="-9.1183119819140922E-3"/>
  </r>
  <r>
    <x v="1"/>
    <n v="1.5021459227467811E-2"/>
    <n v="1.3097576948264571E-2"/>
    <n v="6.6711140760507001E-3"/>
    <n v="7.6628352490421452E-3"/>
    <n v="1.0841836734693877E-2"/>
    <n v="0.13406179351921627"/>
    <n v="-0.12321995678452238"/>
  </r>
  <r>
    <x v="2"/>
    <n v="0.46924177396280403"/>
    <n v="0.49246889325474785"/>
    <n v="0.47698465643762511"/>
    <n v="0.48020434227330777"/>
    <n v="0.50637755102040816"/>
    <n v="0.42471740768651095"/>
    <n v="8.1660143333897206E-2"/>
  </r>
  <r>
    <x v="3"/>
    <n v="0.18240343347639484"/>
    <n v="0.16306483300589392"/>
    <n v="0.18812541694462975"/>
    <n v="0.18646232439335889"/>
    <n v="0.18494897959183673"/>
    <n v="0.1455162019593067"/>
    <n v="3.9432777632530031E-2"/>
  </r>
  <r>
    <x v="4"/>
    <n v="0.10014306151645208"/>
    <n v="0.10347085789129011"/>
    <n v="9.7398265510340226E-2"/>
    <n v="9.3231162196679443E-2"/>
    <n v="9.1836734693877556E-2"/>
    <n v="8.3270535041446866E-2"/>
    <n v="8.5661996524306894E-3"/>
  </r>
  <r>
    <x v="5"/>
    <n v="7.3676680972818306E-2"/>
    <n v="7.1381794368041915E-2"/>
    <n v="6.7378252168112079E-2"/>
    <n v="6.6411238825031929E-2"/>
    <n v="7.3341836734693883E-2"/>
    <n v="6.1115297663903542E-2"/>
    <n v="1.222653907079034E-2"/>
  </r>
  <r>
    <x v="6"/>
    <n v="0.11444921316165951"/>
    <n v="0.11329404060248854"/>
    <n v="0.12341561040693796"/>
    <n v="0.11558109833971902"/>
    <n v="8.673469387755102E-2"/>
    <n v="9.0052750565184622E-2"/>
    <n v="-3.3180566876336026E-3"/>
  </r>
  <r>
    <x v="7"/>
    <n v="4.5064377682403435E-2"/>
    <n v="4.3222003929273084E-2"/>
    <n v="4.0026684456304203E-2"/>
    <n v="4.9169859514687102E-2"/>
    <n v="4.5918367346938778E-2"/>
    <n v="5.1996985681989447E-2"/>
    <n v="-6.0786183350506687E-3"/>
  </r>
  <r>
    <x v="8"/>
    <n v="0"/>
    <n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PivotTable1" cacheId="54" dataOnRows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5">
  <location ref="AA2:AC8" firstHeaderRow="1" firstDataRow="2" firstDataCol="1"/>
  <pivotFields count="6">
    <pivotField axis="axisCol" showAll="0" defaultSubtotal="0">
      <items count="2">
        <item h="1" x="0"/>
        <item n="AA &amp; AS" x="1"/>
      </items>
    </pivotField>
    <pivotField dataField="1" showAll="0"/>
    <pivotField dataField="1" showAll="0"/>
    <pivotField dataField="1" showAll="0"/>
    <pivotField dataField="1" showAll="0"/>
    <pivotField dataField="1" showAll="0"/>
  </pivotFields>
  <rowFields count="1">
    <field x="-2"/>
  </rowFields>
  <rowItems count="5">
    <i>
      <x/>
    </i>
    <i i="1">
      <x v="1"/>
    </i>
    <i i="2">
      <x v="2"/>
    </i>
    <i i="3">
      <x v="3"/>
    </i>
    <i i="4">
      <x v="4"/>
    </i>
  </rowItems>
  <colFields count="1">
    <field x="0"/>
  </colFields>
  <colItems count="2">
    <i>
      <x v="1"/>
    </i>
    <i t="grand">
      <x/>
    </i>
  </colItems>
  <dataFields count="5">
    <dataField name=" AY 07-08" fld="1" baseField="0" baseItem="1"/>
    <dataField name=" AY 08-09" fld="2" baseField="0" baseItem="1"/>
    <dataField name=" AY 09-10" fld="3" baseField="0" baseItem="1"/>
    <dataField name=" AY 10-11" fld="4" baseField="0" baseItem="1"/>
    <dataField name=" AY 11-12" fld="5" baseField="0" baseItem="1"/>
  </dataFields>
  <chartFormats count="6">
    <chartFormat chart="0" format="0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60" dataOnRows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5">
  <location ref="AD2:AH9" firstHeaderRow="1" firstDataRow="2" firstDataCol="1"/>
  <pivotFields count="8">
    <pivotField axis="axisCol" showAll="0">
      <items count="4">
        <item x="0"/>
        <item x="1"/>
        <item x="2"/>
        <item t="default"/>
      </items>
    </pivotField>
    <pivotField dataField="1" numFmtId="9" showAll="0"/>
    <pivotField dataField="1" numFmtId="9" showAll="0"/>
    <pivotField dataField="1" numFmtId="9" showAll="0"/>
    <pivotField dataField="1" numFmtId="9" showAll="0"/>
    <pivotField dataField="1" numFmtId="9" showAll="0"/>
    <pivotField dataField="1" numFmtId="9" showAll="0"/>
    <pivotField numFmtId="9" showAll="0"/>
  </pivotFields>
  <rowFields count="1">
    <field x="-2"/>
  </rowFields>
  <rowItems count="6">
    <i>
      <x/>
    </i>
    <i i="1">
      <x v="1"/>
    </i>
    <i i="2">
      <x v="2"/>
    </i>
    <i i="3">
      <x v="3"/>
    </i>
    <i i="4">
      <x v="4"/>
    </i>
    <i i="5">
      <x v="5"/>
    </i>
  </rowItems>
  <colFields count="1">
    <field x="0"/>
  </colFields>
  <colItems count="4">
    <i>
      <x/>
    </i>
    <i>
      <x v="1"/>
    </i>
    <i>
      <x v="2"/>
    </i>
    <i t="grand">
      <x/>
    </i>
  </colItems>
  <dataFields count="6">
    <dataField name="AY 07-08" fld="1" baseField="0" baseItem="0"/>
    <dataField name="AY 08-09" fld="2" baseField="0" baseItem="0"/>
    <dataField name="AY 09-10" fld="3" baseField="0" baseItem="0"/>
    <dataField name="AY 10-11" fld="4" baseField="0" baseItem="0"/>
    <dataField name="AY 11-12" fld="5" baseField="0" baseItem="0"/>
    <dataField name="Comparison (Enrolled AY 11-12 + 3 Terms)" fld="6" baseField="0" baseItem="0"/>
  </dataFields>
  <formats count="2">
    <format dxfId="17">
      <pivotArea outline="0" collapsedLevelsAreSubtotals="1" fieldPosition="0">
        <references count="1">
          <reference field="0" count="0" selected="0"/>
        </references>
      </pivotArea>
    </format>
    <format dxfId="15">
      <pivotArea grandCol="1" outline="0" collapsedLevelsAreSubtotals="1" fieldPosition="0"/>
    </format>
  </formats>
  <chartFormats count="4">
    <chartFormat chart="0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6" cacheId="57" dataOnRows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D1:AN8" firstHeaderRow="1" firstDataRow="2" firstDataCol="1"/>
  <pivotFields count="8">
    <pivotField axis="axisCol" showAll="0" sortType="descending">
      <items count="10">
        <item x="0"/>
        <item x="8"/>
        <item x="6"/>
        <item x="4"/>
        <item x="7"/>
        <item x="1"/>
        <item x="5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9" showAll="0"/>
    <pivotField dataField="1" numFmtId="9" showAll="0"/>
    <pivotField dataField="1" numFmtId="9" showAll="0"/>
    <pivotField dataField="1" numFmtId="9" showAll="0"/>
    <pivotField dataField="1" numFmtId="9" showAll="0"/>
    <pivotField dataField="1" numFmtId="9" showAll="0"/>
    <pivotField numFmtId="9" showAll="0"/>
  </pivotFields>
  <rowFields count="1">
    <field x="-2"/>
  </rowFields>
  <rowItems count="6">
    <i>
      <x/>
    </i>
    <i i="1">
      <x v="1"/>
    </i>
    <i i="2">
      <x v="2"/>
    </i>
    <i i="3">
      <x v="3"/>
    </i>
    <i i="4">
      <x v="4"/>
    </i>
    <i i="5">
      <x v="5"/>
    </i>
  </rowItems>
  <colFields count="1">
    <field x="0"/>
  </colFields>
  <colItems count="10">
    <i>
      <x/>
    </i>
    <i>
      <x v="5"/>
    </i>
    <i>
      <x v="8"/>
    </i>
    <i>
      <x v="6"/>
    </i>
    <i>
      <x v="7"/>
    </i>
    <i>
      <x v="4"/>
    </i>
    <i>
      <x v="2"/>
    </i>
    <i>
      <x v="3"/>
    </i>
    <i>
      <x v="1"/>
    </i>
    <i t="grand">
      <x/>
    </i>
  </colItems>
  <dataFields count="6">
    <dataField name="AY 09-10" fld="3" baseField="0" baseItem="0"/>
    <dataField name="AY 08-09" fld="2" baseField="0" baseItem="0"/>
    <dataField name="AY 07-08" fld="1" baseField="0" baseItem="0"/>
    <dataField name="AY 10-11" fld="4" baseField="0" baseItem="0"/>
    <dataField name="AY 11-12" fld="5" baseField="0" baseItem="0"/>
    <dataField name="Comparison (Enrolled AY 11-12 + 3 Terms)" fld="6" baseField="0" baseItem="0"/>
  </dataFields>
  <formats count="1">
    <format dxfId="16">
      <pivotArea outline="0" collapsedLevelsAreSubtotals="1" fieldPosition="0"/>
    </format>
  </formats>
  <chartFormats count="29">
    <chartFormat chart="0" format="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2"/>
          </reference>
          <reference field="0" count="1" selected="0">
            <x v="8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2"/>
          </reference>
          <reference field="0" count="1" selected="0">
            <x v="7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2"/>
          </reference>
          <reference field="0" count="1" selected="0">
            <x v="6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2"/>
          </reference>
          <reference field="0" count="1" selected="0">
            <x v="5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2"/>
          </reference>
          <reference field="0" count="1" selected="0">
            <x v="4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2"/>
          </reference>
          <reference field="0" count="1" selected="0">
            <x v="3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2"/>
          </reference>
          <reference field="0" count="1" selected="0">
            <x v="2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2"/>
          </reference>
          <reference field="0" count="1" selected="0">
            <x v="1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2"/>
          </reference>
          <reference field="0" count="1" selected="0">
            <x v="0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6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7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8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0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7" cacheId="63" dataOnRows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K1:AU8" firstHeaderRow="1" firstDataRow="2" firstDataCol="1"/>
  <pivotFields count="8">
    <pivotField axis="axisCol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numFmtId="9" showAll="0"/>
    <pivotField dataField="1" numFmtId="9" showAll="0"/>
    <pivotField dataField="1" numFmtId="9" showAll="0"/>
    <pivotField dataField="1" numFmtId="9" showAll="0"/>
    <pivotField dataField="1" numFmtId="9" showAll="0"/>
    <pivotField dataField="1" numFmtId="9" showAll="0"/>
    <pivotField numFmtId="9" showAll="0"/>
  </pivotFields>
  <rowFields count="1">
    <field x="-2"/>
  </rowFields>
  <rowItems count="6">
    <i>
      <x/>
    </i>
    <i i="1">
      <x v="1"/>
    </i>
    <i i="2">
      <x v="2"/>
    </i>
    <i i="3">
      <x v="3"/>
    </i>
    <i i="4">
      <x v="4"/>
    </i>
    <i i="5">
      <x v="5"/>
    </i>
  </rowItems>
  <colFields count="1">
    <field x="0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6">
    <dataField name="AY 07-08" fld="1" baseField="0" baseItem="0"/>
    <dataField name="AY 08-09" fld="2" baseField="0" baseItem="0"/>
    <dataField name="AY 09-10" fld="3" baseField="0" baseItem="0"/>
    <dataField name="AY 10-11" fld="4" baseField="0" baseItem="0"/>
    <dataField name="AY 11-12" fld="5" baseField="0" baseItem="0"/>
    <dataField name="Comparison (Enrolled AY 11-12 + 3 Terms)" fld="6" baseField="0" baseItem="0"/>
  </dataFields>
  <formats count="1">
    <format dxfId="0">
      <pivotArea outline="0" collapsedLevelsAreSubtotals="1" fieldPosition="0"/>
    </format>
  </formats>
  <chartFormats count="1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6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7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8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Views>
    <sheetView workbookViewId="0">
      <selection activeCell="H36" sqref="H36"/>
    </sheetView>
  </sheetViews>
  <sheetFormatPr defaultRowHeight="15" x14ac:dyDescent="0.25"/>
  <cols>
    <col min="1" max="1" width="16.28515625" bestFit="1" customWidth="1"/>
    <col min="2" max="6" width="8.140625" bestFit="1" customWidth="1"/>
    <col min="7" max="7" width="21" style="33" bestFit="1" customWidth="1"/>
    <col min="8" max="8" width="36.140625" bestFit="1" customWidth="1"/>
  </cols>
  <sheetData>
    <row r="1" spans="1:13" x14ac:dyDescent="0.25">
      <c r="A1" s="82" t="s">
        <v>0</v>
      </c>
      <c r="B1" s="84" t="s">
        <v>1</v>
      </c>
      <c r="C1" s="85"/>
      <c r="D1" s="85"/>
      <c r="E1" s="85"/>
      <c r="F1" s="85"/>
    </row>
    <row r="2" spans="1:13" ht="15.75" thickBot="1" x14ac:dyDescent="0.3">
      <c r="A2" s="83"/>
      <c r="B2" s="49" t="s">
        <v>27</v>
      </c>
      <c r="C2" s="49" t="s">
        <v>28</v>
      </c>
      <c r="D2" s="49" t="s">
        <v>29</v>
      </c>
      <c r="E2" s="49" t="s">
        <v>30</v>
      </c>
      <c r="F2" s="49" t="s">
        <v>31</v>
      </c>
    </row>
    <row r="3" spans="1:13" ht="15.75" thickBot="1" x14ac:dyDescent="0.3">
      <c r="A3" s="3"/>
      <c r="B3" s="7" t="s">
        <v>3</v>
      </c>
      <c r="C3" s="7" t="s">
        <v>3</v>
      </c>
      <c r="D3" s="7" t="s">
        <v>3</v>
      </c>
      <c r="E3" s="7" t="s">
        <v>3</v>
      </c>
      <c r="F3" s="7" t="s">
        <v>3</v>
      </c>
    </row>
    <row r="4" spans="1:13" ht="15.75" thickBot="1" x14ac:dyDescent="0.3">
      <c r="A4" s="22" t="s">
        <v>4</v>
      </c>
      <c r="B4" s="10">
        <f>VLOOKUP(Sheet2!$A1,'[1]AA&amp;AS GENDER'!$A:$F,HLOOKUP(Sheet1!B$2,'[1]AA&amp;AS GENDER'!$1:$2,2,FALSE),FALSE)</f>
        <v>1398</v>
      </c>
      <c r="C4" s="10">
        <f>VLOOKUP(Sheet2!$A1,'[1]AA&amp;AS GENDER'!$A:$F,HLOOKUP(Sheet1!C$2,'[1]AA&amp;AS GENDER'!$1:$2,2,FALSE),FALSE)</f>
        <v>1527</v>
      </c>
      <c r="D4" s="10">
        <f>VLOOKUP(Sheet2!$A1,'[1]AA&amp;AS GENDER'!$A:$F,HLOOKUP(Sheet1!D$2,'[1]AA&amp;AS GENDER'!$1:$2,2,FALSE),FALSE)</f>
        <v>1499</v>
      </c>
      <c r="E4" s="10">
        <f>VLOOKUP(Sheet2!$A1,'[1]AA&amp;AS GENDER'!$A:$F,HLOOKUP(Sheet1!E$2,'[1]AA&amp;AS GENDER'!$1:$2,2,FALSE),FALSE)</f>
        <v>1566</v>
      </c>
      <c r="F4" s="10">
        <f>VLOOKUP(Sheet2!$A1,'[1]AA&amp;AS GENDER'!$A:$F,HLOOKUP(Sheet1!F$2,'[1]AA&amp;AS GENDER'!$1:$2,2,FALSE),FALSE)</f>
        <v>1568</v>
      </c>
    </row>
    <row r="5" spans="1:13" ht="15.75" thickBot="1" x14ac:dyDescent="0.3">
      <c r="A5" s="4"/>
      <c r="B5" s="6"/>
      <c r="C5" s="6"/>
      <c r="D5" s="6"/>
      <c r="E5" s="6"/>
      <c r="F5" s="6"/>
      <c r="G5" s="34" t="s">
        <v>42</v>
      </c>
      <c r="H5" s="50" t="s">
        <v>54</v>
      </c>
      <c r="J5" s="29"/>
      <c r="K5" s="29"/>
      <c r="L5" s="29"/>
      <c r="M5" s="29"/>
    </row>
    <row r="6" spans="1:13" s="1" customFormat="1" ht="15.75" thickBot="1" x14ac:dyDescent="0.3">
      <c r="A6" s="3" t="s">
        <v>2</v>
      </c>
      <c r="B6" s="7" t="s">
        <v>3</v>
      </c>
      <c r="C6" s="7" t="s">
        <v>3</v>
      </c>
      <c r="D6" s="7" t="s">
        <v>3</v>
      </c>
      <c r="E6" s="7" t="s">
        <v>3</v>
      </c>
      <c r="F6" s="7" t="s">
        <v>3</v>
      </c>
      <c r="G6" s="43" t="s">
        <v>2</v>
      </c>
      <c r="H6" s="44" t="s">
        <v>3</v>
      </c>
      <c r="J6" s="29"/>
      <c r="K6" s="29"/>
      <c r="L6" s="29"/>
      <c r="M6" s="29"/>
    </row>
    <row r="7" spans="1:13" ht="15.75" thickBot="1" x14ac:dyDescent="0.3">
      <c r="A7" s="14" t="s">
        <v>5</v>
      </c>
      <c r="B7" s="28">
        <f>(VLOOKUP(Sheet2!$A7,'[1]AA&amp;AS GENDER'!$A:$F,HLOOKUP(Sheet1!B$2,'[1]AA&amp;AS GENDER'!$1:$2,2,FALSE),FALSE))/(B$4)</f>
        <v>0.67668097281831185</v>
      </c>
      <c r="C7" s="28">
        <f>(VLOOKUP(Sheet2!$A7,'[1]AA&amp;AS GENDER'!$A:$F,HLOOKUP(Sheet1!C$2,'[1]AA&amp;AS GENDER'!$1:$2,2,FALSE),FALSE))/(C$4)</f>
        <v>0.67125081859855928</v>
      </c>
      <c r="D7" s="28">
        <f>(VLOOKUP(Sheet2!$A7,'[1]AA&amp;AS GENDER'!$A:$F,HLOOKUP(Sheet1!D$2,'[1]AA&amp;AS GENDER'!$1:$2,2,FALSE),FALSE))/(D$4)</f>
        <v>0.65577051367578387</v>
      </c>
      <c r="E7" s="28">
        <f>(VLOOKUP(Sheet2!$A7,'[1]AA&amp;AS GENDER'!$A:$F,HLOOKUP(Sheet1!E$2,'[1]AA&amp;AS GENDER'!$1:$2,2,FALSE),FALSE))/(E$4)</f>
        <v>0.64750957854406133</v>
      </c>
      <c r="F7" s="28">
        <f>(VLOOKUP(Sheet2!$A7,'[1]AA&amp;AS GENDER'!$A:$F,HLOOKUP(Sheet1!F$2,'[1]AA&amp;AS GENDER'!$1:$2,2,FALSE),FALSE))/(F$4)</f>
        <v>0.61288265306122447</v>
      </c>
      <c r="G7" s="45">
        <f>[2]Sheet1!$K4</f>
        <v>0.56593631616668372</v>
      </c>
      <c r="H7" s="46">
        <f>F7-G7</f>
        <v>4.6946336894540752E-2</v>
      </c>
      <c r="I7" s="26"/>
      <c r="J7" s="29"/>
      <c r="K7" s="29"/>
      <c r="L7" s="29"/>
      <c r="M7" s="29"/>
    </row>
    <row r="8" spans="1:13" ht="15.75" thickBot="1" x14ac:dyDescent="0.3">
      <c r="A8" s="15" t="s">
        <v>6</v>
      </c>
      <c r="B8" s="28">
        <f>(VLOOKUP(Sheet2!$A8,'[1]AA&amp;AS GENDER'!$A:$F,HLOOKUP(Sheet1!B$2,'[1]AA&amp;AS GENDER'!$1:$2,2,FALSE),FALSE))/(B$4)</f>
        <v>0.32260371959942774</v>
      </c>
      <c r="C8" s="28">
        <f>(VLOOKUP(Sheet2!$A8,'[1]AA&amp;AS GENDER'!$A:$F,HLOOKUP(Sheet1!C$2,'[1]AA&amp;AS GENDER'!$1:$2,2,FALSE),FALSE))/(C$4)</f>
        <v>0.3235101506221349</v>
      </c>
      <c r="D8" s="28">
        <f>(VLOOKUP(Sheet2!$A8,'[1]AA&amp;AS GENDER'!$A:$F,HLOOKUP(Sheet1!D$2,'[1]AA&amp;AS GENDER'!$1:$2,2,FALSE),FALSE))/(D$4)</f>
        <v>0.3322214809873249</v>
      </c>
      <c r="E8" s="28">
        <f>(VLOOKUP(Sheet2!$A8,'[1]AA&amp;AS GENDER'!$A:$F,HLOOKUP(Sheet1!E$2,'[1]AA&amp;AS GENDER'!$1:$2,2,FALSE),FALSE))/(E$4)</f>
        <v>0.33971902937420179</v>
      </c>
      <c r="F8" s="28">
        <f>(VLOOKUP(Sheet2!$A8,'[1]AA&amp;AS GENDER'!$A:$F,HLOOKUP(Sheet1!F$2,'[1]AA&amp;AS GENDER'!$1:$2,2,FALSE),FALSE))/(F$4)</f>
        <v>0.37691326530612246</v>
      </c>
      <c r="G8" s="45">
        <f>[2]Sheet1!$K5</f>
        <v>0.42484898126343812</v>
      </c>
      <c r="H8" s="46">
        <f>F8-G8</f>
        <v>-4.7935715957315661E-2</v>
      </c>
      <c r="J8" s="29"/>
    </row>
    <row r="9" spans="1:13" ht="15.75" thickBot="1" x14ac:dyDescent="0.3">
      <c r="A9" s="21" t="s">
        <v>7</v>
      </c>
      <c r="B9" s="28">
        <f>(VLOOKUP(Sheet2!$A9,'[1]AA&amp;AS GENDER'!$A:$F,HLOOKUP(Sheet1!B$2,'[1]AA&amp;AS GENDER'!$1:$2,2,FALSE),FALSE))/(B$4)</f>
        <v>7.1530758226037196E-4</v>
      </c>
      <c r="C9" s="28">
        <f>(VLOOKUP(Sheet2!$A9,'[1]AA&amp;AS GENDER'!$A:$F,HLOOKUP(Sheet1!C$2,'[1]AA&amp;AS GENDER'!$1:$2,2,FALSE),FALSE))/(C$4)</f>
        <v>5.2390307793058286E-3</v>
      </c>
      <c r="D9" s="28">
        <f>(VLOOKUP(Sheet2!$A9,'[1]AA&amp;AS GENDER'!$A:$F,HLOOKUP(Sheet1!D$2,'[1]AA&amp;AS GENDER'!$1:$2,2,FALSE),FALSE))/(D$4)</f>
        <v>1.200800533689126E-2</v>
      </c>
      <c r="E9" s="28">
        <f>(VLOOKUP(Sheet2!$A9,'[1]AA&amp;AS GENDER'!$A:$F,HLOOKUP(Sheet1!E$2,'[1]AA&amp;AS GENDER'!$1:$2,2,FALSE),FALSE))/(E$4)</f>
        <v>1.277139208173691E-2</v>
      </c>
      <c r="F9" s="28">
        <f>(VLOOKUP(Sheet2!$A9,'[1]AA&amp;AS GENDER'!$A:$F,HLOOKUP(Sheet1!F$2,'[1]AA&amp;AS GENDER'!$1:$2,2,FALSE),FALSE))/(F$4)</f>
        <v>1.020408163265306E-2</v>
      </c>
      <c r="G9" s="45">
        <f>[2]Sheet1!$K6</f>
        <v>9.214702569878162E-3</v>
      </c>
      <c r="H9" s="46">
        <f>F9-G9</f>
        <v>9.8937906277489843E-4</v>
      </c>
      <c r="J9" s="29"/>
    </row>
    <row r="10" spans="1:13" s="1" customFormat="1" x14ac:dyDescent="0.25">
      <c r="A10" s="20"/>
      <c r="B10" s="32"/>
      <c r="C10" s="32"/>
      <c r="D10" s="32"/>
      <c r="E10" s="32"/>
      <c r="F10" s="32"/>
      <c r="G10" s="35"/>
      <c r="H10" s="36"/>
      <c r="J10" s="29"/>
    </row>
    <row r="11" spans="1:13" ht="15.75" thickBot="1" x14ac:dyDescent="0.3">
      <c r="A11" s="20"/>
      <c r="B11" s="8"/>
      <c r="C11" s="8"/>
      <c r="D11" s="8"/>
      <c r="E11" s="8"/>
      <c r="F11" s="8"/>
      <c r="G11" s="34" t="s">
        <v>42</v>
      </c>
      <c r="H11" s="48" t="str">
        <f>H5</f>
        <v>gap analysis = AY Award % - AY Enroll %</v>
      </c>
    </row>
    <row r="12" spans="1:13" ht="15.75" thickBot="1" x14ac:dyDescent="0.3">
      <c r="A12" s="5" t="s">
        <v>8</v>
      </c>
      <c r="B12" s="7" t="s">
        <v>3</v>
      </c>
      <c r="C12" s="7" t="s">
        <v>3</v>
      </c>
      <c r="D12" s="7" t="s">
        <v>3</v>
      </c>
      <c r="E12" s="7" t="s">
        <v>3</v>
      </c>
      <c r="F12" s="7" t="s">
        <v>3</v>
      </c>
      <c r="G12" s="47" t="s">
        <v>8</v>
      </c>
      <c r="H12" s="44" t="s">
        <v>3</v>
      </c>
    </row>
    <row r="13" spans="1:13" ht="15.75" thickBot="1" x14ac:dyDescent="0.3">
      <c r="A13" s="16" t="s">
        <v>9</v>
      </c>
      <c r="B13" s="28">
        <f>(VLOOKUP(Sheet2!$A12,'[1]AA&amp;AS races'!$A:$F,HLOOKUP(Sheet1!B$2,'[1]AA&amp;AS races'!$1:$2,2,FALSE),FALSE))/(B$4)</f>
        <v>0.50786838340486407</v>
      </c>
      <c r="C13" s="28">
        <f>(VLOOKUP(Sheet2!$A12,'[1]AA&amp;AS races'!$A:$F,HLOOKUP(Sheet1!C$2,'[1]AA&amp;AS races'!$1:$2,2,FALSE),FALSE))/(C$4)</f>
        <v>0.52521283562540932</v>
      </c>
      <c r="D13" s="28">
        <f>(VLOOKUP(Sheet2!$A12,'[1]AA&amp;AS races'!$A:$F,HLOOKUP(Sheet1!D$2,'[1]AA&amp;AS races'!$1:$2,2,FALSE),FALSE))/(D$4)</f>
        <v>0.50166777851901267</v>
      </c>
      <c r="E13" s="28">
        <f>(VLOOKUP(Sheet2!$A12,'[1]AA&amp;AS races'!$A:$F,HLOOKUP(Sheet1!E$2,'[1]AA&amp;AS races'!$1:$2,2,FALSE),FALSE))/(E$4)</f>
        <v>0.48595146871008937</v>
      </c>
      <c r="F13" s="28">
        <f>(VLOOKUP(Sheet2!$A12,'[1]AA&amp;AS races'!$A:$F,HLOOKUP(Sheet1!F$2,'[1]AA&amp;AS races'!$1:$2,2,FALSE),FALSE))/(F$4)</f>
        <v>0.48596938775510207</v>
      </c>
      <c r="G13" s="45">
        <f>[2]Sheet1!$K12</f>
        <v>0.3996109347803829</v>
      </c>
      <c r="H13" s="46">
        <f t="shared" ref="H13:H21" si="0">F13-G13</f>
        <v>8.6358452974719169E-2</v>
      </c>
    </row>
    <row r="14" spans="1:13" ht="15.75" thickBot="1" x14ac:dyDescent="0.3">
      <c r="A14" s="17" t="s">
        <v>10</v>
      </c>
      <c r="B14" s="28">
        <f>(VLOOKUP(Sheet2!$A13,'[1]AA&amp;AS Hispanics'!$A:$F,HLOOKUP(Sheet1!B$2,'[1]AA&amp;AS Hispanics'!$1:$2,2,FALSE),FALSE))/(B$4)</f>
        <v>0.32260371959942774</v>
      </c>
      <c r="C14" s="28">
        <f>(VLOOKUP(Sheet2!$A13,'[1]AA&amp;AS Hispanics'!$A:$F,HLOOKUP(Sheet1!C$2,'[1]AA&amp;AS Hispanics'!$1:$2,2,FALSE),FALSE))/(C$4)</f>
        <v>0.33071381794368043</v>
      </c>
      <c r="D14" s="28">
        <f>(VLOOKUP(Sheet2!$A13,'[1]AA&amp;AS Hispanics'!$A:$F,HLOOKUP(Sheet1!D$2,'[1]AA&amp;AS Hispanics'!$1:$2,2,FALSE),FALSE))/(D$4)</f>
        <v>0.34356237491661107</v>
      </c>
      <c r="E14" s="28">
        <f>(VLOOKUP(Sheet2!$A13,'[1]AA&amp;AS Hispanics'!$A:$F,HLOOKUP(Sheet1!E$2,'[1]AA&amp;AS Hispanics'!$1:$2,2,FALSE),FALSE))/(E$4)</f>
        <v>0.36143039591315451</v>
      </c>
      <c r="F14" s="28">
        <f>(VLOOKUP(Sheet2!$A13,'[1]AA&amp;AS Hispanics'!$A:$F,HLOOKUP(Sheet1!F$2,'[1]AA&amp;AS Hispanics'!$1:$2,2,FALSE),FALSE))/(F$4)</f>
        <v>0.35395408163265307</v>
      </c>
      <c r="G14" s="45">
        <f>[2]Sheet1!$K13</f>
        <v>0.37345141804033993</v>
      </c>
      <c r="H14" s="46">
        <f t="shared" si="0"/>
        <v>-1.949733640768686E-2</v>
      </c>
    </row>
    <row r="15" spans="1:13" ht="15.75" thickBot="1" x14ac:dyDescent="0.3">
      <c r="A15" s="17" t="s">
        <v>11</v>
      </c>
      <c r="B15" s="28">
        <f>(VLOOKUP(Sheet2!$A14,'[1]AA&amp;AS races'!$A:$F,HLOOKUP(Sheet1!B$2,'[1]AA&amp;AS races'!$1:$2,2,FALSE),FALSE))/(B$4)</f>
        <v>5.8655221745350504E-2</v>
      </c>
      <c r="C15" s="28">
        <f>(VLOOKUP(Sheet2!$A14,'[1]AA&amp;AS races'!$A:$F,HLOOKUP(Sheet1!C$2,'[1]AA&amp;AS races'!$1:$2,2,FALSE),FALSE))/(C$4)</f>
        <v>4.5841519318926001E-2</v>
      </c>
      <c r="D15" s="28">
        <f>(VLOOKUP(Sheet2!$A14,'[1]AA&amp;AS races'!$A:$F,HLOOKUP(Sheet1!D$2,'[1]AA&amp;AS races'!$1:$2,2,FALSE),FALSE))/(D$4)</f>
        <v>5.2034689793195463E-2</v>
      </c>
      <c r="E15" s="28">
        <f>(VLOOKUP(Sheet2!$A14,'[1]AA&amp;AS races'!$A:$F,HLOOKUP(Sheet1!E$2,'[1]AA&amp;AS races'!$1:$2,2,FALSE),FALSE))/(E$4)</f>
        <v>4.5338441890166031E-2</v>
      </c>
      <c r="F15" s="28">
        <f>(VLOOKUP(Sheet2!$A14,'[1]AA&amp;AS races'!$A:$F,HLOOKUP(Sheet1!F$2,'[1]AA&amp;AS races'!$1:$2,2,FALSE),FALSE))/(F$4)</f>
        <v>5.038265306122449E-2</v>
      </c>
      <c r="G15" s="45">
        <f>[2]Sheet1!$K14</f>
        <v>7.7147537626702165E-2</v>
      </c>
      <c r="H15" s="46">
        <f t="shared" si="0"/>
        <v>-2.6764884565477674E-2</v>
      </c>
    </row>
    <row r="16" spans="1:13" ht="15.75" thickBot="1" x14ac:dyDescent="0.3">
      <c r="A16" s="17" t="s">
        <v>12</v>
      </c>
      <c r="B16" s="28">
        <f>(VLOOKUP(Sheet2!$A15,'[1]AA&amp;AS races'!$A:$F,HLOOKUP(Sheet1!B$2,'[1]AA&amp;AS races'!$1:$2,2,FALSE),FALSE))/(B$4)</f>
        <v>2.6466380543633764E-2</v>
      </c>
      <c r="C16" s="28">
        <f>(VLOOKUP(Sheet2!$A15,'[1]AA&amp;AS races'!$A:$F,HLOOKUP(Sheet1!C$2,'[1]AA&amp;AS races'!$1:$2,2,FALSE),FALSE))/(C$4)</f>
        <v>1.3097576948264571E-2</v>
      </c>
      <c r="D16" s="28">
        <f>(VLOOKUP(Sheet2!$A15,'[1]AA&amp;AS races'!$A:$F,HLOOKUP(Sheet1!D$2,'[1]AA&amp;AS races'!$1:$2,2,FALSE),FALSE))/(D$4)</f>
        <v>3.2021347565043365E-2</v>
      </c>
      <c r="E16" s="28">
        <f>(VLOOKUP(Sheet2!$A15,'[1]AA&amp;AS races'!$A:$F,HLOOKUP(Sheet1!E$2,'[1]AA&amp;AS races'!$1:$2,2,FALSE),FALSE))/(E$4)</f>
        <v>3.2567049808429116E-2</v>
      </c>
      <c r="F16" s="28">
        <f>(VLOOKUP(Sheet2!$A15,'[1]AA&amp;AS races'!$A:$F,HLOOKUP(Sheet1!F$2,'[1]AA&amp;AS races'!$1:$2,2,FALSE),FALSE))/(F$4)</f>
        <v>2.8698979591836735E-2</v>
      </c>
      <c r="G16" s="45">
        <f>[2]Sheet1!$K15</f>
        <v>2.4470154602232005E-2</v>
      </c>
      <c r="H16" s="46">
        <f t="shared" si="0"/>
        <v>4.2288249896047306E-3</v>
      </c>
    </row>
    <row r="17" spans="1:10" ht="15.75" thickBot="1" x14ac:dyDescent="0.3">
      <c r="A17" s="17" t="s">
        <v>13</v>
      </c>
      <c r="B17" s="28">
        <f>(VLOOKUP(Sheet2!$A16,'[1]AA&amp;AS races'!$A:$F,HLOOKUP(Sheet1!B$2,'[1]AA&amp;AS races'!$1:$2,2,FALSE),FALSE))/(B$4)</f>
        <v>1.1444921316165951E-2</v>
      </c>
      <c r="C17" s="28">
        <f>(VLOOKUP(Sheet2!$A16,'[1]AA&amp;AS races'!$A:$F,HLOOKUP(Sheet1!C$2,'[1]AA&amp;AS races'!$1:$2,2,FALSE),FALSE))/(C$4)</f>
        <v>1.37524557956778E-2</v>
      </c>
      <c r="D17" s="28">
        <f>(VLOOKUP(Sheet2!$A16,'[1]AA&amp;AS races'!$A:$F,HLOOKUP(Sheet1!D$2,'[1]AA&amp;AS races'!$1:$2,2,FALSE),FALSE))/(D$4)</f>
        <v>7.3382254836557703E-3</v>
      </c>
      <c r="E17" s="28">
        <f>(VLOOKUP(Sheet2!$A16,'[1]AA&amp;AS races'!$A:$F,HLOOKUP(Sheet1!E$2,'[1]AA&amp;AS races'!$1:$2,2,FALSE),FALSE))/(E$4)</f>
        <v>1.2132822477650063E-2</v>
      </c>
      <c r="F17" s="28">
        <f>(VLOOKUP(Sheet2!$A16,'[1]AA&amp;AS races'!$A:$F,HLOOKUP(Sheet1!F$2,'[1]AA&amp;AS races'!$1:$2,2,FALSE),FALSE))/(F$4)</f>
        <v>6.3775510204081634E-3</v>
      </c>
      <c r="G17" s="45">
        <f>[2]Sheet1!$K16</f>
        <v>7.2181836797378931E-3</v>
      </c>
      <c r="H17" s="46">
        <f t="shared" si="0"/>
        <v>-8.4063265932972971E-4</v>
      </c>
    </row>
    <row r="18" spans="1:10" ht="15.75" thickBot="1" x14ac:dyDescent="0.3">
      <c r="A18" s="17" t="s">
        <v>14</v>
      </c>
      <c r="B18" s="28">
        <f>(VLOOKUP(Sheet2!$A17,'[1]AA&amp;AS races'!$A:$F,HLOOKUP(Sheet1!B$2,'[1]AA&amp;AS races'!$1:$2,2,FALSE),FALSE))/(B$4)</f>
        <v>4.7210300429184553E-2</v>
      </c>
      <c r="C18" s="28">
        <f>(VLOOKUP(Sheet2!$A17,'[1]AA&amp;AS races'!$A:$F,HLOOKUP(Sheet1!C$2,'[1]AA&amp;AS races'!$1:$2,2,FALSE),FALSE))/(C$4)</f>
        <v>4.7151277013752456E-2</v>
      </c>
      <c r="D18" s="28">
        <f>(VLOOKUP(Sheet2!$A17,'[1]AA&amp;AS races'!$A:$F,HLOOKUP(Sheet1!D$2,'[1]AA&amp;AS races'!$1:$2,2,FALSE),FALSE))/(D$4)</f>
        <v>4.3362241494329552E-2</v>
      </c>
      <c r="E18" s="28">
        <f>(VLOOKUP(Sheet2!$A17,'[1]AA&amp;AS races'!$A:$F,HLOOKUP(Sheet1!E$2,'[1]AA&amp;AS races'!$1:$2,2,FALSE),FALSE))/(E$4)</f>
        <v>3.2567049808429116E-2</v>
      </c>
      <c r="F18" s="28">
        <f>(VLOOKUP(Sheet2!$A17,'[1]AA&amp;AS races'!$A:$F,HLOOKUP(Sheet1!F$2,'[1]AA&amp;AS races'!$1:$2,2,FALSE),FALSE))/(F$4)</f>
        <v>5.1020408163265307E-2</v>
      </c>
      <c r="G18" s="45">
        <f>[2]Sheet1!$K17</f>
        <v>3.0664482440872325E-2</v>
      </c>
      <c r="H18" s="46">
        <f t="shared" si="0"/>
        <v>2.0355925722392983E-2</v>
      </c>
    </row>
    <row r="19" spans="1:10" ht="15.75" thickBot="1" x14ac:dyDescent="0.3">
      <c r="A19" s="17" t="s">
        <v>15</v>
      </c>
      <c r="B19" s="28">
        <f>(VLOOKUP(Sheet2!$A18,'[1]AA&amp;AS races'!$A:$F,HLOOKUP(Sheet1!B$2,'[1]AA&amp;AS races'!$1:$2,2,FALSE),FALSE))/(B$4)</f>
        <v>3.5765379113018598E-3</v>
      </c>
      <c r="C19" s="28">
        <f>(VLOOKUP(Sheet2!$A18,'[1]AA&amp;AS races'!$A:$F,HLOOKUP(Sheet1!C$2,'[1]AA&amp;AS races'!$1:$2,2,FALSE),FALSE))/(C$4)</f>
        <v>4.5841519318926003E-3</v>
      </c>
      <c r="D19" s="28">
        <f>(VLOOKUP(Sheet2!$A18,'[1]AA&amp;AS races'!$A:$F,HLOOKUP(Sheet1!D$2,'[1]AA&amp;AS races'!$1:$2,2,FALSE),FALSE))/(D$4)</f>
        <v>8.0053368912608412E-3</v>
      </c>
      <c r="E19" s="28">
        <f>(VLOOKUP(Sheet2!$A18,'[1]AA&amp;AS races'!$A:$F,HLOOKUP(Sheet1!E$2,'[1]AA&amp;AS races'!$1:$2,2,FALSE),FALSE))/(E$4)</f>
        <v>8.9399744572158362E-3</v>
      </c>
      <c r="F19" s="28">
        <f>(VLOOKUP(Sheet2!$A18,'[1]AA&amp;AS races'!$A:$F,HLOOKUP(Sheet1!F$2,'[1]AA&amp;AS races'!$1:$2,2,FALSE),FALSE))/(F$4)</f>
        <v>3.1887755102040817E-3</v>
      </c>
      <c r="G19" s="45">
        <f>[2]Sheet1!$K18</f>
        <v>4.607351284939081E-3</v>
      </c>
      <c r="H19" s="46">
        <f t="shared" si="0"/>
        <v>-1.4185757747349993E-3</v>
      </c>
    </row>
    <row r="20" spans="1:10" ht="15.75" thickBot="1" x14ac:dyDescent="0.3">
      <c r="A20" s="17" t="s">
        <v>16</v>
      </c>
      <c r="B20" s="28">
        <f>(VLOOKUP(Sheet2!$A19,'[1]AA&amp;AS multi race'!$A:$F,HLOOKUP(Sheet1!B$2,'[1]AA&amp;AS multi race'!$1:$2,2,FALSE),FALSE))/(B$4)</f>
        <v>2.1459227467811159E-2</v>
      </c>
      <c r="C20" s="28">
        <f>(VLOOKUP(Sheet2!$A19,'[1]AA&amp;AS multi race'!$A:$F,HLOOKUP(Sheet1!C$2,'[1]AA&amp;AS multi race'!$1:$2,2,FALSE),FALSE))/(C$4)</f>
        <v>1.7026850032743943E-2</v>
      </c>
      <c r="D20" s="28">
        <f>(VLOOKUP(Sheet2!$A19,'[1]AA&amp;AS multi race'!$A:$F,HLOOKUP(Sheet1!D$2,'[1]AA&amp;AS multi race'!$1:$2,2,FALSE),FALSE))/(D$4)</f>
        <v>1.1340893929286191E-2</v>
      </c>
      <c r="E20" s="28">
        <f>(VLOOKUP(Sheet2!$A19,'[1]AA&amp;AS multi race'!$A:$F,HLOOKUP(Sheet1!E$2,'[1]AA&amp;AS multi race'!$1:$2,2,FALSE),FALSE))/(E$4)</f>
        <v>1.9795657726692211E-2</v>
      </c>
      <c r="F20" s="28">
        <f>(VLOOKUP(Sheet2!$A19,'[1]AA&amp;AS multi race'!$A:$F,HLOOKUP(Sheet1!F$2,'[1]AA&amp;AS multi race'!$1:$2,2,FALSE),FALSE))/(F$4)</f>
        <v>1.5306122448979591E-2</v>
      </c>
      <c r="G20" s="45">
        <f>[2]Sheet1!$K19</f>
        <v>4.6483055185829833E-2</v>
      </c>
      <c r="H20" s="46">
        <f t="shared" si="0"/>
        <v>-3.1176932736850241E-2</v>
      </c>
    </row>
    <row r="21" spans="1:10" ht="15.75" thickBot="1" x14ac:dyDescent="0.3">
      <c r="A21" s="18" t="s">
        <v>7</v>
      </c>
      <c r="B21" s="28">
        <f>100%-SUM(B13:B20)</f>
        <v>7.1530758226034941E-4</v>
      </c>
      <c r="C21" s="28">
        <f t="shared" ref="C21:E21" si="1">100%-SUM(C13:C20)</f>
        <v>2.6195153896528822E-3</v>
      </c>
      <c r="D21" s="28">
        <f t="shared" si="1"/>
        <v>6.6711140760511434E-4</v>
      </c>
      <c r="E21" s="28">
        <f t="shared" si="1"/>
        <v>1.2771392081738497E-3</v>
      </c>
      <c r="F21" s="28">
        <f t="shared" ref="F21" si="2">100%-SUM(F13:F20)</f>
        <v>5.1020408163264808E-3</v>
      </c>
      <c r="G21" s="45">
        <f>[2]Sheet1!$K20</f>
        <v>3.6346882358963856E-2</v>
      </c>
      <c r="H21" s="46">
        <f t="shared" si="0"/>
        <v>-3.1244841542637375E-2</v>
      </c>
    </row>
    <row r="22" spans="1:10" s="1" customFormat="1" x14ac:dyDescent="0.25">
      <c r="A22" s="37"/>
      <c r="B22" s="32"/>
      <c r="C22" s="32"/>
      <c r="D22" s="32"/>
      <c r="E22" s="32"/>
      <c r="F22" s="32"/>
      <c r="G22" s="35"/>
      <c r="H22" s="36"/>
    </row>
    <row r="23" spans="1:10" ht="15.75" thickBot="1" x14ac:dyDescent="0.3">
      <c r="A23" s="2"/>
      <c r="B23" s="11"/>
      <c r="C23" s="11"/>
      <c r="D23" s="11"/>
      <c r="E23" s="11"/>
      <c r="F23" s="11"/>
      <c r="G23" s="34" t="s">
        <v>42</v>
      </c>
      <c r="H23" s="48" t="str">
        <f>H5</f>
        <v>gap analysis = AY Award % - AY Enroll %</v>
      </c>
      <c r="J23" s="29" t="s">
        <v>44</v>
      </c>
    </row>
    <row r="24" spans="1:10" x14ac:dyDescent="0.25">
      <c r="A24" s="30" t="s">
        <v>17</v>
      </c>
      <c r="B24" s="19" t="s">
        <v>3</v>
      </c>
      <c r="C24" s="19" t="s">
        <v>3</v>
      </c>
      <c r="D24" s="19" t="s">
        <v>3</v>
      </c>
      <c r="E24" s="19" t="s">
        <v>3</v>
      </c>
      <c r="F24" s="19" t="s">
        <v>3</v>
      </c>
      <c r="G24" s="38" t="s">
        <v>43</v>
      </c>
      <c r="H24" s="42" t="s">
        <v>3</v>
      </c>
      <c r="J24" s="29" t="s">
        <v>45</v>
      </c>
    </row>
    <row r="25" spans="1:10" x14ac:dyDescent="0.25">
      <c r="A25" s="39" t="s">
        <v>18</v>
      </c>
      <c r="B25" s="31">
        <f>(IFERROR(VLOOKUP($A25,'[1]AA&amp;AS AGE'!$A:$F,HLOOKUP(Sheet1!B$2,'[1]AA&amp;AS AGE'!$1:$2,2,FALSE),FALSE),0))/(B$4)</f>
        <v>0</v>
      </c>
      <c r="C25" s="31">
        <f>(IFERROR(VLOOKUP($A25,'[1]AA&amp;AS AGE'!$A:$F,HLOOKUP(Sheet1!C$2,'[1]AA&amp;AS AGE'!$1:$2,2,FALSE),FALSE),0))/(C$4)</f>
        <v>0</v>
      </c>
      <c r="D25" s="31">
        <f>(IFERROR(VLOOKUP($A25,'[1]AA&amp;AS AGE'!$A:$F,HLOOKUP(Sheet1!D$2,'[1]AA&amp;AS AGE'!$1:$2,2,FALSE),FALSE),0))/(D$4)</f>
        <v>0</v>
      </c>
      <c r="E25" s="31">
        <f>(IFERROR(VLOOKUP($A25,'[1]AA&amp;AS AGE'!$A:$F,HLOOKUP(Sheet1!E$2,'[1]AA&amp;AS AGE'!$1:$2,2,FALSE),FALSE),0))/(E$4)</f>
        <v>1.277139208173691E-3</v>
      </c>
      <c r="F25" s="31">
        <f>(IFERROR(VLOOKUP($A25,'[1]AA&amp;AS AGE'!$A:$F,HLOOKUP(Sheet1!F$2,'[1]AA&amp;AS AGE'!$1:$2,2,FALSE),FALSE),0))/(F$4)</f>
        <v>0</v>
      </c>
      <c r="G25" s="45">
        <f>[2]Sheet1!$K25</f>
        <v>1.003378724275622E-2</v>
      </c>
      <c r="H25" s="46">
        <f t="shared" ref="H25:H33" si="3">F25-G25</f>
        <v>-1.003378724275622E-2</v>
      </c>
      <c r="J25" s="29" t="s">
        <v>46</v>
      </c>
    </row>
    <row r="26" spans="1:10" x14ac:dyDescent="0.25">
      <c r="A26" s="39" t="s">
        <v>19</v>
      </c>
      <c r="B26" s="31">
        <f>(IFERROR(VLOOKUP($A26,'[1]AA&amp;AS AGE'!$A:$F,HLOOKUP(Sheet1!B$2,'[1]AA&amp;AS AGE'!$1:$2,2,FALSE),FALSE),0))/(B$4)</f>
        <v>1.5021459227467811E-2</v>
      </c>
      <c r="C26" s="31">
        <f>(IFERROR(VLOOKUP($A26,'[1]AA&amp;AS AGE'!$A:$F,HLOOKUP(Sheet1!C$2,'[1]AA&amp;AS AGE'!$1:$2,2,FALSE),FALSE),0))/(C$4)</f>
        <v>1.3097576948264571E-2</v>
      </c>
      <c r="D26" s="31">
        <f>(IFERROR(VLOOKUP($A26,'[1]AA&amp;AS AGE'!$A:$F,HLOOKUP(Sheet1!D$2,'[1]AA&amp;AS AGE'!$1:$2,2,FALSE),FALSE),0))/(D$4)</f>
        <v>6.6711140760507001E-3</v>
      </c>
      <c r="E26" s="31">
        <f>(IFERROR(VLOOKUP($A26,'[1]AA&amp;AS AGE'!$A:$F,HLOOKUP(Sheet1!E$2,'[1]AA&amp;AS AGE'!$1:$2,2,FALSE),FALSE),0))/(E$4)</f>
        <v>7.6628352490421452E-3</v>
      </c>
      <c r="F26" s="31">
        <f>(IFERROR(VLOOKUP($A26,'[1]AA&amp;AS AGE'!$A:$F,HLOOKUP(Sheet1!F$2,'[1]AA&amp;AS AGE'!$1:$2,2,FALSE),FALSE),0))/(F$4)</f>
        <v>1.0841836734693877E-2</v>
      </c>
      <c r="G26" s="45">
        <f>[2]Sheet1!$K26</f>
        <v>0.20768915736664278</v>
      </c>
      <c r="H26" s="46">
        <f t="shared" si="3"/>
        <v>-0.1968473206319489</v>
      </c>
      <c r="J26" s="29" t="s">
        <v>47</v>
      </c>
    </row>
    <row r="27" spans="1:10" x14ac:dyDescent="0.25">
      <c r="A27" s="39" t="s">
        <v>20</v>
      </c>
      <c r="B27" s="31">
        <f>(IFERROR(VLOOKUP($A27,'[1]AA&amp;AS AGE'!$A:$F,HLOOKUP(Sheet1!B$2,'[1]AA&amp;AS AGE'!$1:$2,2,FALSE),FALSE),0))/(B$4)</f>
        <v>0.46924177396280403</v>
      </c>
      <c r="C27" s="31">
        <f>(IFERROR(VLOOKUP($A27,'[1]AA&amp;AS AGE'!$A:$F,HLOOKUP(Sheet1!C$2,'[1]AA&amp;AS AGE'!$1:$2,2,FALSE),FALSE),0))/(C$4)</f>
        <v>0.49246889325474785</v>
      </c>
      <c r="D27" s="31">
        <f>(IFERROR(VLOOKUP($A27,'[1]AA&amp;AS AGE'!$A:$F,HLOOKUP(Sheet1!D$2,'[1]AA&amp;AS AGE'!$1:$2,2,FALSE),FALSE),0))/(D$4)</f>
        <v>0.47698465643762511</v>
      </c>
      <c r="E27" s="31">
        <f>(IFERROR(VLOOKUP($A27,'[1]AA&amp;AS AGE'!$A:$F,HLOOKUP(Sheet1!E$2,'[1]AA&amp;AS AGE'!$1:$2,2,FALSE),FALSE),0))/(E$4)</f>
        <v>0.48020434227330777</v>
      </c>
      <c r="F27" s="31">
        <f>(IFERROR(VLOOKUP($A27,'[1]AA&amp;AS AGE'!$A:$F,HLOOKUP(Sheet1!F$2,'[1]AA&amp;AS AGE'!$1:$2,2,FALSE),FALSE),0))/(F$4)</f>
        <v>0.50637755102040816</v>
      </c>
      <c r="G27" s="45">
        <f>[2]Sheet1!$K27</f>
        <v>0.38517456742090711</v>
      </c>
      <c r="H27" s="46">
        <f t="shared" si="3"/>
        <v>0.12120298359950105</v>
      </c>
      <c r="J27" s="29" t="s">
        <v>48</v>
      </c>
    </row>
    <row r="28" spans="1:10" x14ac:dyDescent="0.25">
      <c r="A28" s="39" t="s">
        <v>41</v>
      </c>
      <c r="B28" s="31">
        <f>(IFERROR(VLOOKUP($A28,'[1]AA&amp;AS AGE'!$A:$F,HLOOKUP(Sheet1!B$2,'[1]AA&amp;AS AGE'!$1:$2,2,FALSE),FALSE),0))/(B$4)</f>
        <v>0.18240343347639484</v>
      </c>
      <c r="C28" s="31">
        <f>(IFERROR(VLOOKUP($A28,'[1]AA&amp;AS AGE'!$A:$F,HLOOKUP(Sheet1!C$2,'[1]AA&amp;AS AGE'!$1:$2,2,FALSE),FALSE),0))/(C$4)</f>
        <v>0.16306483300589392</v>
      </c>
      <c r="D28" s="31">
        <f>(IFERROR(VLOOKUP($A28,'[1]AA&amp;AS AGE'!$A:$F,HLOOKUP(Sheet1!D$2,'[1]AA&amp;AS AGE'!$1:$2,2,FALSE),FALSE),0))/(D$4)</f>
        <v>0.18812541694462975</v>
      </c>
      <c r="E28" s="31">
        <f>(IFERROR(VLOOKUP($A28,'[1]AA&amp;AS AGE'!$A:$F,HLOOKUP(Sheet1!E$2,'[1]AA&amp;AS AGE'!$1:$2,2,FALSE),FALSE),0))/(E$4)</f>
        <v>0.18646232439335889</v>
      </c>
      <c r="F28" s="31">
        <f>(IFERROR(VLOOKUP($A28,'[1]AA&amp;AS AGE'!$A:$F,HLOOKUP(Sheet1!F$2,'[1]AA&amp;AS AGE'!$1:$2,2,FALSE),FALSE),0))/(F$4)</f>
        <v>0.18494897959183673</v>
      </c>
      <c r="G28" s="45">
        <f>[2]Sheet1!$K28</f>
        <v>0.1343810791440565</v>
      </c>
      <c r="H28" s="46">
        <f t="shared" si="3"/>
        <v>5.0567900447780229E-2</v>
      </c>
      <c r="J28" s="29" t="s">
        <v>49</v>
      </c>
    </row>
    <row r="29" spans="1:10" x14ac:dyDescent="0.25">
      <c r="A29" s="39" t="s">
        <v>21</v>
      </c>
      <c r="B29" s="31">
        <f>(IFERROR(VLOOKUP($A29,'[1]AA&amp;AS AGE'!$A:$F,HLOOKUP(Sheet1!B$2,'[1]AA&amp;AS AGE'!$1:$2,2,FALSE),FALSE),0))/(B$4)</f>
        <v>0.10014306151645208</v>
      </c>
      <c r="C29" s="31">
        <f>(IFERROR(VLOOKUP($A29,'[1]AA&amp;AS AGE'!$A:$F,HLOOKUP(Sheet1!C$2,'[1]AA&amp;AS AGE'!$1:$2,2,FALSE),FALSE),0))/(C$4)</f>
        <v>0.10347085789129011</v>
      </c>
      <c r="D29" s="31">
        <f>(IFERROR(VLOOKUP($A29,'[1]AA&amp;AS AGE'!$A:$F,HLOOKUP(Sheet1!D$2,'[1]AA&amp;AS AGE'!$1:$2,2,FALSE),FALSE),0))/(D$4)</f>
        <v>9.7398265510340226E-2</v>
      </c>
      <c r="E29" s="31">
        <f>(IFERROR(VLOOKUP($A29,'[1]AA&amp;AS AGE'!$A:$F,HLOOKUP(Sheet1!E$2,'[1]AA&amp;AS AGE'!$1:$2,2,FALSE),FALSE),0))/(E$4)</f>
        <v>9.3231162196679443E-2</v>
      </c>
      <c r="F29" s="31">
        <f>(IFERROR(VLOOKUP($A29,'[1]AA&amp;AS AGE'!$A:$F,HLOOKUP(Sheet1!F$2,'[1]AA&amp;AS AGE'!$1:$2,2,FALSE),FALSE),0))/(F$4)</f>
        <v>9.1836734693877556E-2</v>
      </c>
      <c r="G29" s="45">
        <f>[2]Sheet1!$K29</f>
        <v>7.8632128596293635E-2</v>
      </c>
      <c r="H29" s="46">
        <f t="shared" si="3"/>
        <v>1.3204606097583921E-2</v>
      </c>
      <c r="J29" s="29" t="s">
        <v>50</v>
      </c>
    </row>
    <row r="30" spans="1:10" x14ac:dyDescent="0.25">
      <c r="A30" s="39" t="s">
        <v>22</v>
      </c>
      <c r="B30" s="31">
        <f>(IFERROR(VLOOKUP($A30,'[1]AA&amp;AS AGE'!$A:$F,HLOOKUP(Sheet1!B$2,'[1]AA&amp;AS AGE'!$1:$2,2,FALSE),FALSE),0))/(B$4)</f>
        <v>7.3676680972818306E-2</v>
      </c>
      <c r="C30" s="31">
        <f>(IFERROR(VLOOKUP($A30,'[1]AA&amp;AS AGE'!$A:$F,HLOOKUP(Sheet1!C$2,'[1]AA&amp;AS AGE'!$1:$2,2,FALSE),FALSE),0))/(C$4)</f>
        <v>7.1381794368041915E-2</v>
      </c>
      <c r="D30" s="31">
        <f>(IFERROR(VLOOKUP($A30,'[1]AA&amp;AS AGE'!$A:$F,HLOOKUP(Sheet1!D$2,'[1]AA&amp;AS AGE'!$1:$2,2,FALSE),FALSE),0))/(D$4)</f>
        <v>6.7378252168112079E-2</v>
      </c>
      <c r="E30" s="31">
        <f>(IFERROR(VLOOKUP($A30,'[1]AA&amp;AS AGE'!$A:$F,HLOOKUP(Sheet1!E$2,'[1]AA&amp;AS AGE'!$1:$2,2,FALSE),FALSE),0))/(E$4)</f>
        <v>6.6411238825031929E-2</v>
      </c>
      <c r="F30" s="31">
        <f>(IFERROR(VLOOKUP($A30,'[1]AA&amp;AS AGE'!$A:$F,HLOOKUP(Sheet1!F$2,'[1]AA&amp;AS AGE'!$1:$2,2,FALSE),FALSE),0))/(F$4)</f>
        <v>7.3341836734693883E-2</v>
      </c>
      <c r="G30" s="45">
        <f>[2]Sheet1!$K30</f>
        <v>5.4981058666939697E-2</v>
      </c>
      <c r="H30" s="46">
        <f t="shared" si="3"/>
        <v>1.8360778067754185E-2</v>
      </c>
      <c r="J30" s="29" t="s">
        <v>51</v>
      </c>
    </row>
    <row r="31" spans="1:10" x14ac:dyDescent="0.25">
      <c r="A31" s="39" t="s">
        <v>23</v>
      </c>
      <c r="B31" s="31">
        <f>(IFERROR(VLOOKUP($A31,'[1]AA&amp;AS AGE'!$A:$F,HLOOKUP(Sheet1!B$2,'[1]AA&amp;AS AGE'!$1:$2,2,FALSE),FALSE),0))/(B$4)</f>
        <v>0.11444921316165951</v>
      </c>
      <c r="C31" s="31">
        <f>(IFERROR(VLOOKUP($A31,'[1]AA&amp;AS AGE'!$A:$F,HLOOKUP(Sheet1!C$2,'[1]AA&amp;AS AGE'!$1:$2,2,FALSE),FALSE),0))/(C$4)</f>
        <v>0.11329404060248854</v>
      </c>
      <c r="D31" s="31">
        <f>(IFERROR(VLOOKUP($A31,'[1]AA&amp;AS AGE'!$A:$F,HLOOKUP(Sheet1!D$2,'[1]AA&amp;AS AGE'!$1:$2,2,FALSE),FALSE),0))/(D$4)</f>
        <v>0.12341561040693796</v>
      </c>
      <c r="E31" s="31">
        <f>(IFERROR(VLOOKUP($A31,'[1]AA&amp;AS AGE'!$A:$F,HLOOKUP(Sheet1!E$2,'[1]AA&amp;AS AGE'!$1:$2,2,FALSE),FALSE),0))/(E$4)</f>
        <v>0.11558109833971902</v>
      </c>
      <c r="F31" s="31">
        <f>(IFERROR(VLOOKUP($A31,'[1]AA&amp;AS AGE'!$A:$F,HLOOKUP(Sheet1!F$2,'[1]AA&amp;AS AGE'!$1:$2,2,FALSE),FALSE),0))/(F$4)</f>
        <v>8.673469387755102E-2</v>
      </c>
      <c r="G31" s="45">
        <f>[2]Sheet1!$K31</f>
        <v>8.0526261902324148E-2</v>
      </c>
      <c r="H31" s="46">
        <f t="shared" si="3"/>
        <v>6.2084319752268718E-3</v>
      </c>
      <c r="J31" s="29" t="s">
        <v>52</v>
      </c>
    </row>
    <row r="32" spans="1:10" x14ac:dyDescent="0.25">
      <c r="A32" s="39" t="s">
        <v>24</v>
      </c>
      <c r="B32" s="31">
        <f>(IFERROR(VLOOKUP($A32,'[1]AA&amp;AS AGE'!$A:$F,HLOOKUP(Sheet1!B$2,'[1]AA&amp;AS AGE'!$1:$2,2,FALSE),FALSE),0))/(B$4)</f>
        <v>4.5064377682403435E-2</v>
      </c>
      <c r="C32" s="31">
        <f>(IFERROR(VLOOKUP($A32,'[1]AA&amp;AS AGE'!$A:$F,HLOOKUP(Sheet1!C$2,'[1]AA&amp;AS AGE'!$1:$2,2,FALSE),FALSE),0))/(C$4)</f>
        <v>4.3222003929273084E-2</v>
      </c>
      <c r="D32" s="31">
        <f>(IFERROR(VLOOKUP($A32,'[1]AA&amp;AS AGE'!$A:$F,HLOOKUP(Sheet1!D$2,'[1]AA&amp;AS AGE'!$1:$2,2,FALSE),FALSE),0))/(D$4)</f>
        <v>4.0026684456304203E-2</v>
      </c>
      <c r="E32" s="31">
        <f>(IFERROR(VLOOKUP($A32,'[1]AA&amp;AS AGE'!$A:$F,HLOOKUP(Sheet1!E$2,'[1]AA&amp;AS AGE'!$1:$2,2,FALSE),FALSE),0))/(E$4)</f>
        <v>4.9169859514687102E-2</v>
      </c>
      <c r="F32" s="31">
        <f>(IFERROR(VLOOKUP($A32,'[1]AA&amp;AS AGE'!$A:$F,HLOOKUP(Sheet1!F$2,'[1]AA&amp;AS AGE'!$1:$2,2,FALSE),FALSE),0))/(F$4)</f>
        <v>4.5918367346938778E-2</v>
      </c>
      <c r="G32" s="45">
        <f>[2]Sheet1!$K32</f>
        <v>4.8479574075970103E-2</v>
      </c>
      <c r="H32" s="46">
        <f t="shared" si="3"/>
        <v>-2.5612067290313248E-3</v>
      </c>
    </row>
    <row r="33" spans="1:10" ht="15.75" thickBot="1" x14ac:dyDescent="0.3">
      <c r="A33" s="40" t="s">
        <v>7</v>
      </c>
      <c r="B33" s="41">
        <f>(IFERROR(VLOOKUP($A33,'[1]AA&amp;AS AGE'!$A:$F,HLOOKUP(Sheet1!B$2,'[1]AA&amp;AS AGE'!$1:$2,2,FALSE),FALSE),0))/(B$4)</f>
        <v>0</v>
      </c>
      <c r="C33" s="41">
        <f>(IFERROR(VLOOKUP($A33,'[1]AA&amp;AS AGE'!$A:$F,HLOOKUP(Sheet1!C$2,'[1]AA&amp;AS AGE'!$1:$2,2,FALSE),FALSE),0))/(C$4)</f>
        <v>0</v>
      </c>
      <c r="D33" s="41">
        <f>(IFERROR(VLOOKUP($A33,'[1]AA&amp;AS AGE'!$A:$F,HLOOKUP(Sheet1!D$2,'[1]AA&amp;AS AGE'!$1:$2,2,FALSE),FALSE),0))/(D$4)</f>
        <v>0</v>
      </c>
      <c r="E33" s="41">
        <f>(IFERROR(VLOOKUP($A33,'[1]AA&amp;AS AGE'!$A:$F,HLOOKUP(Sheet1!E$2,'[1]AA&amp;AS AGE'!$1:$2,2,FALSE),FALSE),0))/(E$4)</f>
        <v>0</v>
      </c>
      <c r="F33" s="41">
        <f>(IFERROR(VLOOKUP($A33,'[1]AA&amp;AS AGE'!$A:$F,HLOOKUP(Sheet1!F$2,'[1]AA&amp;AS AGE'!$1:$2,2,FALSE),FALSE),0))/(F$4)</f>
        <v>0</v>
      </c>
      <c r="G33" s="45">
        <f>[2]Sheet1!$K33</f>
        <v>1.0238558410975735E-4</v>
      </c>
      <c r="H33" s="46">
        <f t="shared" si="3"/>
        <v>-1.0238558410975735E-4</v>
      </c>
      <c r="J33" s="29"/>
    </row>
    <row r="34" spans="1:10" s="1" customFormat="1" ht="15.75" thickBot="1" x14ac:dyDescent="0.3">
      <c r="A34" s="2"/>
      <c r="B34" s="11"/>
      <c r="C34" s="8"/>
      <c r="D34" s="8"/>
      <c r="E34" s="8"/>
      <c r="F34" s="8"/>
      <c r="G34" s="35"/>
      <c r="H34" s="36"/>
    </row>
    <row r="35" spans="1:10" ht="15.75" thickBot="1" x14ac:dyDescent="0.3">
      <c r="A35" s="23"/>
      <c r="B35" s="9" t="s">
        <v>3</v>
      </c>
      <c r="C35" s="7" t="s">
        <v>3</v>
      </c>
      <c r="D35" s="7" t="s">
        <v>3</v>
      </c>
      <c r="E35" s="7" t="s">
        <v>3</v>
      </c>
      <c r="F35" s="7" t="s">
        <v>3</v>
      </c>
      <c r="G35" s="35"/>
      <c r="H35" s="36"/>
    </row>
    <row r="36" spans="1:10" ht="15.75" thickBot="1" x14ac:dyDescent="0.3">
      <c r="A36" s="23" t="s">
        <v>25</v>
      </c>
      <c r="B36" s="12"/>
      <c r="C36" s="13"/>
      <c r="D36" s="13"/>
      <c r="E36" s="13"/>
      <c r="F36" s="13"/>
      <c r="G36" s="35"/>
      <c r="H36" s="36"/>
    </row>
  </sheetData>
  <mergeCells count="2">
    <mergeCell ref="A1:A2"/>
    <mergeCell ref="B1:F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"/>
  <sheetViews>
    <sheetView tabSelected="1" workbookViewId="0">
      <selection activeCell="L20" sqref="L20"/>
    </sheetView>
  </sheetViews>
  <sheetFormatPr defaultRowHeight="15" x14ac:dyDescent="0.25"/>
  <cols>
    <col min="1" max="1" width="19.140625" style="1" customWidth="1"/>
    <col min="2" max="6" width="8.140625" style="1" bestFit="1" customWidth="1"/>
    <col min="7" max="7" width="20.140625" style="33" bestFit="1" customWidth="1"/>
    <col min="8" max="8" width="10.5703125" style="1" bestFit="1" customWidth="1"/>
    <col min="9" max="16384" width="9.140625" style="1"/>
  </cols>
  <sheetData>
    <row r="1" spans="1:13" ht="15.75" x14ac:dyDescent="0.25">
      <c r="A1" s="81" t="s">
        <v>0</v>
      </c>
      <c r="B1" s="86" t="s">
        <v>55</v>
      </c>
      <c r="C1" s="87"/>
      <c r="D1" s="87"/>
      <c r="E1" s="87"/>
      <c r="F1" s="87"/>
    </row>
    <row r="2" spans="1:13" ht="15.75" customHeight="1" thickBot="1" x14ac:dyDescent="0.3">
      <c r="A2" s="93" t="s">
        <v>66</v>
      </c>
      <c r="B2" s="49" t="s">
        <v>27</v>
      </c>
      <c r="C2" s="49" t="s">
        <v>28</v>
      </c>
      <c r="D2" s="49" t="s">
        <v>29</v>
      </c>
      <c r="E2" s="49" t="s">
        <v>30</v>
      </c>
      <c r="F2" s="49" t="s">
        <v>31</v>
      </c>
    </row>
    <row r="3" spans="1:13" ht="15.75" thickBot="1" x14ac:dyDescent="0.3">
      <c r="A3" s="90" t="s">
        <v>57</v>
      </c>
      <c r="B3" s="7" t="s">
        <v>3</v>
      </c>
      <c r="C3" s="7" t="s">
        <v>3</v>
      </c>
      <c r="D3" s="7" t="s">
        <v>3</v>
      </c>
      <c r="E3" s="7" t="s">
        <v>3</v>
      </c>
      <c r="F3" s="7" t="s">
        <v>3</v>
      </c>
    </row>
    <row r="4" spans="1:13" ht="15.75" thickBot="1" x14ac:dyDescent="0.3">
      <c r="A4" s="22" t="s">
        <v>4</v>
      </c>
      <c r="B4" s="10">
        <f>VLOOKUP(Sheet2!$A1,'[1]AA&amp;AS GENDER'!$A:$F,HLOOKUP(Sheet1!B$2,'[1]AA&amp;AS GENDER'!$1:$2,2,FALSE),FALSE)</f>
        <v>1398</v>
      </c>
      <c r="C4" s="10">
        <f>VLOOKUP(Sheet2!$A1,'[1]AA&amp;AS GENDER'!$A:$F,HLOOKUP(Sheet1!C$2,'[1]AA&amp;AS GENDER'!$1:$2,2,FALSE),FALSE)</f>
        <v>1527</v>
      </c>
      <c r="D4" s="10">
        <f>VLOOKUP(Sheet2!$A1,'[1]AA&amp;AS GENDER'!$A:$F,HLOOKUP(Sheet1!D$2,'[1]AA&amp;AS GENDER'!$1:$2,2,FALSE),FALSE)</f>
        <v>1499</v>
      </c>
      <c r="E4" s="10">
        <f>VLOOKUP(Sheet2!$A1,'[1]AA&amp;AS GENDER'!$A:$F,HLOOKUP(Sheet1!E$2,'[1]AA&amp;AS GENDER'!$1:$2,2,FALSE),FALSE)</f>
        <v>1566</v>
      </c>
      <c r="F4" s="10">
        <f>VLOOKUP(Sheet2!$A1,'[1]AA&amp;AS GENDER'!$A:$F,HLOOKUP(Sheet1!F$2,'[1]AA&amp;AS GENDER'!$1:$2,2,FALSE),FALSE)</f>
        <v>1568</v>
      </c>
    </row>
    <row r="5" spans="1:13" ht="15.75" thickBot="1" x14ac:dyDescent="0.3">
      <c r="A5" s="4"/>
      <c r="B5" s="6"/>
      <c r="C5" s="6"/>
      <c r="D5" s="6"/>
      <c r="E5" s="6"/>
      <c r="F5" s="6"/>
    </row>
    <row r="6" spans="1:13" ht="15.75" thickBot="1" x14ac:dyDescent="0.3">
      <c r="A6" s="52" t="s">
        <v>2</v>
      </c>
      <c r="B6" s="7" t="s">
        <v>3</v>
      </c>
      <c r="C6" s="7" t="s">
        <v>3</v>
      </c>
      <c r="D6" s="7" t="s">
        <v>3</v>
      </c>
      <c r="E6" s="7" t="s">
        <v>3</v>
      </c>
      <c r="F6" s="7" t="s">
        <v>3</v>
      </c>
      <c r="G6" s="69" t="s">
        <v>56</v>
      </c>
      <c r="H6" s="64" t="s">
        <v>53</v>
      </c>
    </row>
    <row r="7" spans="1:13" x14ac:dyDescent="0.25">
      <c r="A7" s="54" t="s">
        <v>5</v>
      </c>
      <c r="B7" s="55">
        <f>(VLOOKUP(Sheet2!$A7,'[1]AA&amp;AS GENDER'!$A:$F,HLOOKUP(Sheet1!B$2,'[1]AA&amp;AS GENDER'!$1:$2,2,FALSE),FALSE))/(B$4)</f>
        <v>0.67668097281831185</v>
      </c>
      <c r="C7" s="55">
        <f>(VLOOKUP(Sheet2!$A7,'[1]AA&amp;AS GENDER'!$A:$F,HLOOKUP(Sheet1!C$2,'[1]AA&amp;AS GENDER'!$1:$2,2,FALSE),FALSE))/(C$4)</f>
        <v>0.67125081859855928</v>
      </c>
      <c r="D7" s="55">
        <f>(VLOOKUP(Sheet2!$A7,'[1]AA&amp;AS GENDER'!$A:$F,HLOOKUP(Sheet1!D$2,'[1]AA&amp;AS GENDER'!$1:$2,2,FALSE),FALSE))/(D$4)</f>
        <v>0.65577051367578387</v>
      </c>
      <c r="E7" s="55">
        <f>(VLOOKUP(Sheet2!$A7,'[1]AA&amp;AS GENDER'!$A:$F,HLOOKUP(Sheet1!E$2,'[1]AA&amp;AS GENDER'!$1:$2,2,FALSE),FALSE))/(E$4)</f>
        <v>0.64750957854406133</v>
      </c>
      <c r="F7" s="55">
        <f>(VLOOKUP(Sheet2!$A7,'[1]AA&amp;AS GENDER'!$A:$F,HLOOKUP(Sheet1!F$2,'[1]AA&amp;AS GENDER'!$1:$2,2,FALSE),FALSE))/(F$4)</f>
        <v>0.61288265306122447</v>
      </c>
      <c r="G7" s="56">
        <v>0.59751318764129613</v>
      </c>
      <c r="H7" s="57">
        <f>F7-G7</f>
        <v>1.5369465419928341E-2</v>
      </c>
    </row>
    <row r="8" spans="1:13" x14ac:dyDescent="0.25">
      <c r="A8" s="58" t="s">
        <v>6</v>
      </c>
      <c r="B8" s="53">
        <f>(VLOOKUP(Sheet2!$A8,'[1]AA&amp;AS GENDER'!$A:$F,HLOOKUP(Sheet1!B$2,'[1]AA&amp;AS GENDER'!$1:$2,2,FALSE),FALSE))/(B$4)</f>
        <v>0.32260371959942774</v>
      </c>
      <c r="C8" s="53">
        <f>(VLOOKUP(Sheet2!$A8,'[1]AA&amp;AS GENDER'!$A:$F,HLOOKUP(Sheet1!C$2,'[1]AA&amp;AS GENDER'!$1:$2,2,FALSE),FALSE))/(C$4)</f>
        <v>0.3235101506221349</v>
      </c>
      <c r="D8" s="53">
        <f>(VLOOKUP(Sheet2!$A8,'[1]AA&amp;AS GENDER'!$A:$F,HLOOKUP(Sheet1!D$2,'[1]AA&amp;AS GENDER'!$1:$2,2,FALSE),FALSE))/(D$4)</f>
        <v>0.3322214809873249</v>
      </c>
      <c r="E8" s="53">
        <f>(VLOOKUP(Sheet2!$A8,'[1]AA&amp;AS GENDER'!$A:$F,HLOOKUP(Sheet1!E$2,'[1]AA&amp;AS GENDER'!$1:$2,2,FALSE),FALSE))/(E$4)</f>
        <v>0.33971902937420179</v>
      </c>
      <c r="F8" s="53">
        <f>(VLOOKUP(Sheet2!$A8,'[1]AA&amp;AS GENDER'!$A:$F,HLOOKUP(Sheet1!F$2,'[1]AA&amp;AS GENDER'!$1:$2,2,FALSE),FALSE))/(F$4)</f>
        <v>0.37691326530612246</v>
      </c>
      <c r="G8" s="51">
        <v>0.39344385832705353</v>
      </c>
      <c r="H8" s="59">
        <f>F8-G8</f>
        <v>-1.6530593020931073E-2</v>
      </c>
    </row>
    <row r="9" spans="1:13" ht="15.75" thickBot="1" x14ac:dyDescent="0.3">
      <c r="A9" s="60" t="s">
        <v>7</v>
      </c>
      <c r="B9" s="61">
        <f>(VLOOKUP(Sheet2!$A9,'[1]AA&amp;AS GENDER'!$A:$F,HLOOKUP(Sheet1!B$2,'[1]AA&amp;AS GENDER'!$1:$2,2,FALSE),FALSE))/(B$4)</f>
        <v>7.1530758226037196E-4</v>
      </c>
      <c r="C9" s="61">
        <f>(VLOOKUP(Sheet2!$A9,'[1]AA&amp;AS GENDER'!$A:$F,HLOOKUP(Sheet1!C$2,'[1]AA&amp;AS GENDER'!$1:$2,2,FALSE),FALSE))/(C$4)</f>
        <v>5.2390307793058286E-3</v>
      </c>
      <c r="D9" s="61">
        <f>(VLOOKUP(Sheet2!$A9,'[1]AA&amp;AS GENDER'!$A:$F,HLOOKUP(Sheet1!D$2,'[1]AA&amp;AS GENDER'!$1:$2,2,FALSE),FALSE))/(D$4)</f>
        <v>1.200800533689126E-2</v>
      </c>
      <c r="E9" s="61">
        <f>(VLOOKUP(Sheet2!$A9,'[1]AA&amp;AS GENDER'!$A:$F,HLOOKUP(Sheet1!E$2,'[1]AA&amp;AS GENDER'!$1:$2,2,FALSE),FALSE))/(E$4)</f>
        <v>1.277139208173691E-2</v>
      </c>
      <c r="F9" s="61">
        <f>(VLOOKUP(Sheet2!$A9,'[1]AA&amp;AS GENDER'!$A:$F,HLOOKUP(Sheet1!F$2,'[1]AA&amp;AS GENDER'!$1:$2,2,FALSE),FALSE))/(F$4)</f>
        <v>1.020408163265306E-2</v>
      </c>
      <c r="G9" s="62">
        <v>9.0429540316503392E-3</v>
      </c>
      <c r="H9" s="63">
        <f>F9-G9</f>
        <v>1.1611276010027212E-3</v>
      </c>
    </row>
    <row r="10" spans="1:13" ht="15.75" thickBot="1" x14ac:dyDescent="0.3">
      <c r="A10" s="90" t="s">
        <v>57</v>
      </c>
      <c r="B10" s="32"/>
      <c r="C10" s="32"/>
      <c r="D10" s="32"/>
      <c r="E10" s="32"/>
      <c r="F10" s="32"/>
      <c r="G10" s="35"/>
    </row>
    <row r="11" spans="1:13" ht="15.75" thickBot="1" x14ac:dyDescent="0.3">
      <c r="A11" s="20"/>
      <c r="B11" s="8"/>
      <c r="C11" s="8"/>
      <c r="D11" s="8"/>
      <c r="E11" s="8"/>
      <c r="F11" s="8"/>
    </row>
    <row r="12" spans="1:13" ht="15.75" thickBot="1" x14ac:dyDescent="0.3">
      <c r="A12" s="5" t="s">
        <v>8</v>
      </c>
      <c r="B12" s="7" t="s">
        <v>3</v>
      </c>
      <c r="C12" s="7" t="s">
        <v>3</v>
      </c>
      <c r="D12" s="7" t="s">
        <v>3</v>
      </c>
      <c r="E12" s="7" t="s">
        <v>3</v>
      </c>
      <c r="F12" s="7" t="s">
        <v>3</v>
      </c>
      <c r="G12" s="69" t="str">
        <f>G6</f>
        <v>AY11-12  + 3 terms</v>
      </c>
      <c r="H12" s="64" t="s">
        <v>53</v>
      </c>
    </row>
    <row r="13" spans="1:13" x14ac:dyDescent="0.25">
      <c r="A13" s="65" t="s">
        <v>9</v>
      </c>
      <c r="B13" s="55">
        <f>(VLOOKUP(Sheet2!$A12,'[1]AA&amp;AS races'!$A:$F,HLOOKUP(Sheet1!B$2,'[1]AA&amp;AS races'!$1:$2,2,FALSE),FALSE))/(B$4)</f>
        <v>0.50786838340486407</v>
      </c>
      <c r="C13" s="55">
        <f>(VLOOKUP(Sheet2!$A12,'[1]AA&amp;AS races'!$A:$F,HLOOKUP(Sheet1!C$2,'[1]AA&amp;AS races'!$1:$2,2,FALSE),FALSE))/(C$4)</f>
        <v>0.52521283562540932</v>
      </c>
      <c r="D13" s="55">
        <f>(VLOOKUP(Sheet2!$A12,'[1]AA&amp;AS races'!$A:$F,HLOOKUP(Sheet1!D$2,'[1]AA&amp;AS races'!$1:$2,2,FALSE),FALSE))/(D$4)</f>
        <v>0.50166777851901267</v>
      </c>
      <c r="E13" s="55">
        <f>(VLOOKUP(Sheet2!$A12,'[1]AA&amp;AS races'!$A:$F,HLOOKUP(Sheet1!E$2,'[1]AA&amp;AS races'!$1:$2,2,FALSE),FALSE))/(E$4)</f>
        <v>0.48595146871008937</v>
      </c>
      <c r="F13" s="55">
        <f>(VLOOKUP(Sheet2!$A12,'[1]AA&amp;AS races'!$A:$F,HLOOKUP(Sheet1!F$2,'[1]AA&amp;AS races'!$1:$2,2,FALSE),FALSE))/(F$4)</f>
        <v>0.48596938775510207</v>
      </c>
      <c r="G13" s="66">
        <v>0.41</v>
      </c>
      <c r="H13" s="57">
        <f t="shared" ref="H13:H21" si="0">F13-G13</f>
        <v>7.5969387755102091E-2</v>
      </c>
      <c r="M13" s="26"/>
    </row>
    <row r="14" spans="1:13" x14ac:dyDescent="0.25">
      <c r="A14" s="67" t="s">
        <v>10</v>
      </c>
      <c r="B14" s="53">
        <f>(VLOOKUP(Sheet2!$A13,'[1]AA&amp;AS Hispanics'!$A:$F,HLOOKUP(Sheet1!B$2,'[1]AA&amp;AS Hispanics'!$1:$2,2,FALSE),FALSE))/(B$4)</f>
        <v>0.32260371959942774</v>
      </c>
      <c r="C14" s="53">
        <f>(VLOOKUP(Sheet2!$A13,'[1]AA&amp;AS Hispanics'!$A:$F,HLOOKUP(Sheet1!C$2,'[1]AA&amp;AS Hispanics'!$1:$2,2,FALSE),FALSE))/(C$4)</f>
        <v>0.33071381794368043</v>
      </c>
      <c r="D14" s="53">
        <f>(VLOOKUP(Sheet2!$A13,'[1]AA&amp;AS Hispanics'!$A:$F,HLOOKUP(Sheet1!D$2,'[1]AA&amp;AS Hispanics'!$1:$2,2,FALSE),FALSE))/(D$4)</f>
        <v>0.34356237491661107</v>
      </c>
      <c r="E14" s="53">
        <f>(VLOOKUP(Sheet2!$A13,'[1]AA&amp;AS Hispanics'!$A:$F,HLOOKUP(Sheet1!E$2,'[1]AA&amp;AS Hispanics'!$1:$2,2,FALSE),FALSE))/(E$4)</f>
        <v>0.36143039591315451</v>
      </c>
      <c r="F14" s="53">
        <f>(VLOOKUP(Sheet2!$A13,'[1]AA&amp;AS Hispanics'!$A:$F,HLOOKUP(Sheet1!F$2,'[1]AA&amp;AS Hispanics'!$1:$2,2,FALSE),FALSE))/(F$4)</f>
        <v>0.35395408163265307</v>
      </c>
      <c r="G14" s="45">
        <f>[3]hispanic!$E$9</f>
        <v>0.35561416729464956</v>
      </c>
      <c r="H14" s="59">
        <f t="shared" si="0"/>
        <v>-1.660085661996491E-3</v>
      </c>
      <c r="M14" s="26"/>
    </row>
    <row r="15" spans="1:13" x14ac:dyDescent="0.25">
      <c r="A15" s="67" t="s">
        <v>11</v>
      </c>
      <c r="B15" s="53">
        <f>(VLOOKUP(Sheet2!$A14,'[1]AA&amp;AS races'!$A:$F,HLOOKUP(Sheet1!B$2,'[1]AA&amp;AS races'!$1:$2,2,FALSE),FALSE))/(B$4)</f>
        <v>5.8655221745350504E-2</v>
      </c>
      <c r="C15" s="53">
        <f>(VLOOKUP(Sheet2!$A14,'[1]AA&amp;AS races'!$A:$F,HLOOKUP(Sheet1!C$2,'[1]AA&amp;AS races'!$1:$2,2,FALSE),FALSE))/(C$4)</f>
        <v>4.5841519318926001E-2</v>
      </c>
      <c r="D15" s="53">
        <f>(VLOOKUP(Sheet2!$A14,'[1]AA&amp;AS races'!$A:$F,HLOOKUP(Sheet1!D$2,'[1]AA&amp;AS races'!$1:$2,2,FALSE),FALSE))/(D$4)</f>
        <v>5.2034689793195463E-2</v>
      </c>
      <c r="E15" s="53">
        <f>(VLOOKUP(Sheet2!$A14,'[1]AA&amp;AS races'!$A:$F,HLOOKUP(Sheet1!E$2,'[1]AA&amp;AS races'!$1:$2,2,FALSE),FALSE))/(E$4)</f>
        <v>4.5338441890166031E-2</v>
      </c>
      <c r="F15" s="53">
        <f>(VLOOKUP(Sheet2!$A14,'[1]AA&amp;AS races'!$A:$F,HLOOKUP(Sheet1!F$2,'[1]AA&amp;AS races'!$1:$2,2,FALSE),FALSE))/(F$4)</f>
        <v>5.038265306122449E-2</v>
      </c>
      <c r="G15" s="45">
        <v>7.0000000000000007E-2</v>
      </c>
      <c r="H15" s="59">
        <f t="shared" si="0"/>
        <v>-1.9617346938775516E-2</v>
      </c>
      <c r="M15" s="26"/>
    </row>
    <row r="16" spans="1:13" x14ac:dyDescent="0.25">
      <c r="A16" s="67" t="s">
        <v>12</v>
      </c>
      <c r="B16" s="53">
        <f>(VLOOKUP(Sheet2!$A15,'[1]AA&amp;AS races'!$A:$F,HLOOKUP(Sheet1!B$2,'[1]AA&amp;AS races'!$1:$2,2,FALSE),FALSE))/(B$4)</f>
        <v>2.6466380543633764E-2</v>
      </c>
      <c r="C16" s="53">
        <f>(VLOOKUP(Sheet2!$A15,'[1]AA&amp;AS races'!$A:$F,HLOOKUP(Sheet1!C$2,'[1]AA&amp;AS races'!$1:$2,2,FALSE),FALSE))/(C$4)</f>
        <v>1.3097576948264571E-2</v>
      </c>
      <c r="D16" s="53">
        <f>(VLOOKUP(Sheet2!$A15,'[1]AA&amp;AS races'!$A:$F,HLOOKUP(Sheet1!D$2,'[1]AA&amp;AS races'!$1:$2,2,FALSE),FALSE))/(D$4)</f>
        <v>3.2021347565043365E-2</v>
      </c>
      <c r="E16" s="53">
        <f>(VLOOKUP(Sheet2!$A15,'[1]AA&amp;AS races'!$A:$F,HLOOKUP(Sheet1!E$2,'[1]AA&amp;AS races'!$1:$2,2,FALSE),FALSE))/(E$4)</f>
        <v>3.2567049808429116E-2</v>
      </c>
      <c r="F16" s="53">
        <f>(VLOOKUP(Sheet2!$A15,'[1]AA&amp;AS races'!$A:$F,HLOOKUP(Sheet1!F$2,'[1]AA&amp;AS races'!$1:$2,2,FALSE),FALSE))/(F$4)</f>
        <v>2.8698979591836735E-2</v>
      </c>
      <c r="G16" s="45">
        <v>0.03</v>
      </c>
      <c r="H16" s="59">
        <f t="shared" si="0"/>
        <v>-1.3010204081632636E-3</v>
      </c>
      <c r="M16" s="26"/>
    </row>
    <row r="17" spans="1:13" x14ac:dyDescent="0.25">
      <c r="A17" s="67" t="s">
        <v>13</v>
      </c>
      <c r="B17" s="53">
        <f>(VLOOKUP(Sheet2!$A16,'[1]AA&amp;AS races'!$A:$F,HLOOKUP(Sheet1!B$2,'[1]AA&amp;AS races'!$1:$2,2,FALSE),FALSE))/(B$4)</f>
        <v>1.1444921316165951E-2</v>
      </c>
      <c r="C17" s="53">
        <f>(VLOOKUP(Sheet2!$A16,'[1]AA&amp;AS races'!$A:$F,HLOOKUP(Sheet1!C$2,'[1]AA&amp;AS races'!$1:$2,2,FALSE),FALSE))/(C$4)</f>
        <v>1.37524557956778E-2</v>
      </c>
      <c r="D17" s="53">
        <f>(VLOOKUP(Sheet2!$A16,'[1]AA&amp;AS races'!$A:$F,HLOOKUP(Sheet1!D$2,'[1]AA&amp;AS races'!$1:$2,2,FALSE),FALSE))/(D$4)</f>
        <v>7.3382254836557703E-3</v>
      </c>
      <c r="E17" s="53">
        <f>(VLOOKUP(Sheet2!$A16,'[1]AA&amp;AS races'!$A:$F,HLOOKUP(Sheet1!E$2,'[1]AA&amp;AS races'!$1:$2,2,FALSE),FALSE))/(E$4)</f>
        <v>1.2132822477650063E-2</v>
      </c>
      <c r="F17" s="53">
        <f>(VLOOKUP(Sheet2!$A16,'[1]AA&amp;AS races'!$A:$F,HLOOKUP(Sheet1!F$2,'[1]AA&amp;AS races'!$1:$2,2,FALSE),FALSE))/(F$4)</f>
        <v>6.3775510204081634E-3</v>
      </c>
      <c r="G17" s="45">
        <v>0.01</v>
      </c>
      <c r="H17" s="59">
        <f t="shared" si="0"/>
        <v>-3.6224489795918368E-3</v>
      </c>
      <c r="M17" s="26"/>
    </row>
    <row r="18" spans="1:13" x14ac:dyDescent="0.25">
      <c r="A18" s="67" t="s">
        <v>14</v>
      </c>
      <c r="B18" s="53">
        <f>(VLOOKUP(Sheet2!$A17,'[1]AA&amp;AS races'!$A:$F,HLOOKUP(Sheet1!B$2,'[1]AA&amp;AS races'!$1:$2,2,FALSE),FALSE))/(B$4)</f>
        <v>4.7210300429184553E-2</v>
      </c>
      <c r="C18" s="53">
        <f>(VLOOKUP(Sheet2!$A17,'[1]AA&amp;AS races'!$A:$F,HLOOKUP(Sheet1!C$2,'[1]AA&amp;AS races'!$1:$2,2,FALSE),FALSE))/(C$4)</f>
        <v>4.7151277013752456E-2</v>
      </c>
      <c r="D18" s="53">
        <f>(VLOOKUP(Sheet2!$A17,'[1]AA&amp;AS races'!$A:$F,HLOOKUP(Sheet1!D$2,'[1]AA&amp;AS races'!$1:$2,2,FALSE),FALSE))/(D$4)</f>
        <v>4.3362241494329552E-2</v>
      </c>
      <c r="E18" s="53">
        <f>(VLOOKUP(Sheet2!$A17,'[1]AA&amp;AS races'!$A:$F,HLOOKUP(Sheet1!E$2,'[1]AA&amp;AS races'!$1:$2,2,FALSE),FALSE))/(E$4)</f>
        <v>3.2567049808429116E-2</v>
      </c>
      <c r="F18" s="53">
        <f>(VLOOKUP(Sheet2!$A17,'[1]AA&amp;AS races'!$A:$F,HLOOKUP(Sheet1!F$2,'[1]AA&amp;AS races'!$1:$2,2,FALSE),FALSE))/(F$4)</f>
        <v>5.1020408163265307E-2</v>
      </c>
      <c r="G18" s="45">
        <v>0.03</v>
      </c>
      <c r="H18" s="59">
        <f t="shared" si="0"/>
        <v>2.1020408163265308E-2</v>
      </c>
      <c r="M18" s="26"/>
    </row>
    <row r="19" spans="1:13" x14ac:dyDescent="0.25">
      <c r="A19" s="67" t="s">
        <v>15</v>
      </c>
      <c r="B19" s="53">
        <f>(VLOOKUP(Sheet2!$A18,'[1]AA&amp;AS races'!$A:$F,HLOOKUP(Sheet1!B$2,'[1]AA&amp;AS races'!$1:$2,2,FALSE),FALSE))/(B$4)</f>
        <v>3.5765379113018598E-3</v>
      </c>
      <c r="C19" s="53">
        <f>(VLOOKUP(Sheet2!$A18,'[1]AA&amp;AS races'!$A:$F,HLOOKUP(Sheet1!C$2,'[1]AA&amp;AS races'!$1:$2,2,FALSE),FALSE))/(C$4)</f>
        <v>4.5841519318926003E-3</v>
      </c>
      <c r="D19" s="53">
        <f>(VLOOKUP(Sheet2!$A18,'[1]AA&amp;AS races'!$A:$F,HLOOKUP(Sheet1!D$2,'[1]AA&amp;AS races'!$1:$2,2,FALSE),FALSE))/(D$4)</f>
        <v>8.0053368912608412E-3</v>
      </c>
      <c r="E19" s="53">
        <f>(VLOOKUP(Sheet2!$A18,'[1]AA&amp;AS races'!$A:$F,HLOOKUP(Sheet1!E$2,'[1]AA&amp;AS races'!$1:$2,2,FALSE),FALSE))/(E$4)</f>
        <v>8.9399744572158362E-3</v>
      </c>
      <c r="F19" s="53">
        <f>(VLOOKUP(Sheet2!$A18,'[1]AA&amp;AS races'!$A:$F,HLOOKUP(Sheet1!F$2,'[1]AA&amp;AS races'!$1:$2,2,FALSE),FALSE))/(F$4)</f>
        <v>3.1887755102040817E-3</v>
      </c>
      <c r="G19" s="45">
        <v>0.01</v>
      </c>
      <c r="H19" s="59">
        <f t="shared" si="0"/>
        <v>-6.8112244897959185E-3</v>
      </c>
      <c r="M19" s="26"/>
    </row>
    <row r="20" spans="1:13" x14ac:dyDescent="0.25">
      <c r="A20" s="80" t="s">
        <v>16</v>
      </c>
      <c r="B20" s="53">
        <f>(VLOOKUP(Sheet2!$A19,'[1]AA&amp;AS multi race'!$A:$F,HLOOKUP(Sheet1!B$2,'[1]AA&amp;AS multi race'!$1:$2,2,FALSE),FALSE))/(B$4)</f>
        <v>2.1459227467811159E-2</v>
      </c>
      <c r="C20" s="53">
        <f>(VLOOKUP(Sheet2!$A19,'[1]AA&amp;AS multi race'!$A:$F,HLOOKUP(Sheet1!C$2,'[1]AA&amp;AS multi race'!$1:$2,2,FALSE),FALSE))/(C$4)</f>
        <v>1.7026850032743943E-2</v>
      </c>
      <c r="D20" s="53">
        <f>(VLOOKUP(Sheet2!$A19,'[1]AA&amp;AS multi race'!$A:$F,HLOOKUP(Sheet1!D$2,'[1]AA&amp;AS multi race'!$1:$2,2,FALSE),FALSE))/(D$4)</f>
        <v>1.1340893929286191E-2</v>
      </c>
      <c r="E20" s="53">
        <f>(VLOOKUP(Sheet2!$A19,'[1]AA&amp;AS multi race'!$A:$F,HLOOKUP(Sheet1!E$2,'[1]AA&amp;AS multi race'!$1:$2,2,FALSE),FALSE))/(E$4)</f>
        <v>1.9795657726692211E-2</v>
      </c>
      <c r="F20" s="53">
        <f>(VLOOKUP(Sheet2!$A19,'[1]AA&amp;AS multi race'!$A:$F,HLOOKUP(Sheet1!F$2,'[1]AA&amp;AS multi race'!$1:$2,2,FALSE),FALSE))/(F$4)</f>
        <v>1.5306122448979591E-2</v>
      </c>
      <c r="G20" s="45">
        <v>0.08</v>
      </c>
      <c r="H20" s="79">
        <f t="shared" si="0"/>
        <v>-6.4693877551020407E-2</v>
      </c>
    </row>
    <row r="21" spans="1:13" ht="15.75" thickBot="1" x14ac:dyDescent="0.3">
      <c r="A21" s="40" t="s">
        <v>7</v>
      </c>
      <c r="B21" s="61">
        <f>100%-SUM(B13:B20)</f>
        <v>7.1530758226034941E-4</v>
      </c>
      <c r="C21" s="61">
        <f t="shared" ref="C21:E21" si="1">100%-SUM(C13:C20)</f>
        <v>2.6195153896528822E-3</v>
      </c>
      <c r="D21" s="61">
        <f t="shared" si="1"/>
        <v>6.6711140760511434E-4</v>
      </c>
      <c r="E21" s="61">
        <f t="shared" si="1"/>
        <v>1.2771392081738497E-3</v>
      </c>
      <c r="F21" s="61">
        <f t="shared" ref="F21" si="2">100%-SUM(F13:F20)</f>
        <v>5.1020408163264808E-3</v>
      </c>
      <c r="G21" s="68">
        <v>0.05</v>
      </c>
      <c r="H21" s="63">
        <f t="shared" si="0"/>
        <v>-4.4897959183673522E-2</v>
      </c>
    </row>
    <row r="22" spans="1:13" ht="15.75" thickBot="1" x14ac:dyDescent="0.3">
      <c r="A22" s="90" t="s">
        <v>57</v>
      </c>
      <c r="B22" s="32"/>
      <c r="C22" s="32"/>
      <c r="D22" s="32"/>
      <c r="E22" s="32"/>
      <c r="F22" s="32"/>
      <c r="G22" s="35"/>
    </row>
    <row r="23" spans="1:13" ht="15.75" thickBot="1" x14ac:dyDescent="0.3">
      <c r="A23" s="2"/>
      <c r="B23" s="11"/>
      <c r="C23" s="11"/>
      <c r="D23" s="11"/>
      <c r="E23" s="11"/>
      <c r="F23" s="11"/>
    </row>
    <row r="24" spans="1:13" ht="15.75" thickBot="1" x14ac:dyDescent="0.3">
      <c r="A24" s="78" t="s">
        <v>17</v>
      </c>
      <c r="B24" s="7" t="s">
        <v>3</v>
      </c>
      <c r="C24" s="7" t="s">
        <v>3</v>
      </c>
      <c r="D24" s="7" t="s">
        <v>3</v>
      </c>
      <c r="E24" s="7" t="s">
        <v>3</v>
      </c>
      <c r="F24" s="7" t="s">
        <v>3</v>
      </c>
      <c r="G24" s="69" t="str">
        <f>G12</f>
        <v>AY11-12  + 3 terms</v>
      </c>
      <c r="H24" s="64" t="s">
        <v>53</v>
      </c>
    </row>
    <row r="25" spans="1:13" x14ac:dyDescent="0.25">
      <c r="A25" s="74" t="s">
        <v>18</v>
      </c>
      <c r="B25" s="75">
        <f>(IFERROR(VLOOKUP($A25,'[1]AA&amp;AS AGE'!$A:$F,HLOOKUP(Sheet1!B$2,'[1]AA&amp;AS AGE'!$1:$2,2,FALSE),FALSE),0))/(B$4)</f>
        <v>0</v>
      </c>
      <c r="C25" s="75">
        <f>(IFERROR(VLOOKUP($A25,'[1]AA&amp;AS AGE'!$A:$F,HLOOKUP(Sheet1!C$2,'[1]AA&amp;AS AGE'!$1:$2,2,FALSE),FALSE),0))/(C$4)</f>
        <v>0</v>
      </c>
      <c r="D25" s="75">
        <f>(IFERROR(VLOOKUP($A25,'[1]AA&amp;AS AGE'!$A:$F,HLOOKUP(Sheet1!D$2,'[1]AA&amp;AS AGE'!$1:$2,2,FALSE),FALSE),0))/(D$4)</f>
        <v>0</v>
      </c>
      <c r="E25" s="75">
        <f>(IFERROR(VLOOKUP($A25,'[1]AA&amp;AS AGE'!$A:$F,HLOOKUP(Sheet1!E$2,'[1]AA&amp;AS AGE'!$1:$2,2,FALSE),FALSE),0))/(E$4)</f>
        <v>1.277139208173691E-3</v>
      </c>
      <c r="F25" s="75">
        <f>(IFERROR(VLOOKUP($A25,'[1]AA&amp;AS AGE'!$A:$F,HLOOKUP(Sheet1!F$2,'[1]AA&amp;AS AGE'!$1:$2,2,FALSE),FALSE),0))/(F$4)</f>
        <v>0</v>
      </c>
      <c r="G25" s="76">
        <v>9.1183119819140922E-3</v>
      </c>
      <c r="H25" s="77">
        <f t="shared" ref="H25:H33" si="3">F25-G25</f>
        <v>-9.1183119819140922E-3</v>
      </c>
    </row>
    <row r="26" spans="1:13" x14ac:dyDescent="0.25">
      <c r="A26" s="39" t="s">
        <v>19</v>
      </c>
      <c r="B26" s="31">
        <f>(IFERROR(VLOOKUP($A26,'[1]AA&amp;AS AGE'!$A:$F,HLOOKUP(Sheet1!B$2,'[1]AA&amp;AS AGE'!$1:$2,2,FALSE),FALSE),0))/(B$4)</f>
        <v>1.5021459227467811E-2</v>
      </c>
      <c r="C26" s="31">
        <f>(IFERROR(VLOOKUP($A26,'[1]AA&amp;AS AGE'!$A:$F,HLOOKUP(Sheet1!C$2,'[1]AA&amp;AS AGE'!$1:$2,2,FALSE),FALSE),0))/(C$4)</f>
        <v>1.3097576948264571E-2</v>
      </c>
      <c r="D26" s="31">
        <f>(IFERROR(VLOOKUP($A26,'[1]AA&amp;AS AGE'!$A:$F,HLOOKUP(Sheet1!D$2,'[1]AA&amp;AS AGE'!$1:$2,2,FALSE),FALSE),0))/(D$4)</f>
        <v>6.6711140760507001E-3</v>
      </c>
      <c r="E26" s="31">
        <f>(IFERROR(VLOOKUP($A26,'[1]AA&amp;AS AGE'!$A:$F,HLOOKUP(Sheet1!E$2,'[1]AA&amp;AS AGE'!$1:$2,2,FALSE),FALSE),0))/(E$4)</f>
        <v>7.6628352490421452E-3</v>
      </c>
      <c r="F26" s="31">
        <f>(IFERROR(VLOOKUP($A26,'[1]AA&amp;AS AGE'!$A:$F,HLOOKUP(Sheet1!F$2,'[1]AA&amp;AS AGE'!$1:$2,2,FALSE),FALSE),0))/(F$4)</f>
        <v>1.0841836734693877E-2</v>
      </c>
      <c r="G26" s="51">
        <v>0.13406179351921627</v>
      </c>
      <c r="H26" s="72">
        <f t="shared" si="3"/>
        <v>-0.12321995678452238</v>
      </c>
    </row>
    <row r="27" spans="1:13" x14ac:dyDescent="0.25">
      <c r="A27" s="39" t="s">
        <v>20</v>
      </c>
      <c r="B27" s="31">
        <f>(IFERROR(VLOOKUP($A27,'[1]AA&amp;AS AGE'!$A:$F,HLOOKUP(Sheet1!B$2,'[1]AA&amp;AS AGE'!$1:$2,2,FALSE),FALSE),0))/(B$4)</f>
        <v>0.46924177396280403</v>
      </c>
      <c r="C27" s="31">
        <f>(IFERROR(VLOOKUP($A27,'[1]AA&amp;AS AGE'!$A:$F,HLOOKUP(Sheet1!C$2,'[1]AA&amp;AS AGE'!$1:$2,2,FALSE),FALSE),0))/(C$4)</f>
        <v>0.49246889325474785</v>
      </c>
      <c r="D27" s="31">
        <f>(IFERROR(VLOOKUP($A27,'[1]AA&amp;AS AGE'!$A:$F,HLOOKUP(Sheet1!D$2,'[1]AA&amp;AS AGE'!$1:$2,2,FALSE),FALSE),0))/(D$4)</f>
        <v>0.47698465643762511</v>
      </c>
      <c r="E27" s="31">
        <f>(IFERROR(VLOOKUP($A27,'[1]AA&amp;AS AGE'!$A:$F,HLOOKUP(Sheet1!E$2,'[1]AA&amp;AS AGE'!$1:$2,2,FALSE),FALSE),0))/(E$4)</f>
        <v>0.48020434227330777</v>
      </c>
      <c r="F27" s="31">
        <f>(IFERROR(VLOOKUP($A27,'[1]AA&amp;AS AGE'!$A:$F,HLOOKUP(Sheet1!F$2,'[1]AA&amp;AS AGE'!$1:$2,2,FALSE),FALSE),0))/(F$4)</f>
        <v>0.50637755102040816</v>
      </c>
      <c r="G27" s="51">
        <v>0.42471740768651095</v>
      </c>
      <c r="H27" s="72">
        <f t="shared" si="3"/>
        <v>8.1660143333897206E-2</v>
      </c>
    </row>
    <row r="28" spans="1:13" x14ac:dyDescent="0.25">
      <c r="A28" s="39" t="s">
        <v>41</v>
      </c>
      <c r="B28" s="31">
        <f>(IFERROR(VLOOKUP($A28,'[1]AA&amp;AS AGE'!$A:$F,HLOOKUP(Sheet1!B$2,'[1]AA&amp;AS AGE'!$1:$2,2,FALSE),FALSE),0))/(B$4)</f>
        <v>0.18240343347639484</v>
      </c>
      <c r="C28" s="31">
        <f>(IFERROR(VLOOKUP($A28,'[1]AA&amp;AS AGE'!$A:$F,HLOOKUP(Sheet1!C$2,'[1]AA&amp;AS AGE'!$1:$2,2,FALSE),FALSE),0))/(C$4)</f>
        <v>0.16306483300589392</v>
      </c>
      <c r="D28" s="31">
        <f>(IFERROR(VLOOKUP($A28,'[1]AA&amp;AS AGE'!$A:$F,HLOOKUP(Sheet1!D$2,'[1]AA&amp;AS AGE'!$1:$2,2,FALSE),FALSE),0))/(D$4)</f>
        <v>0.18812541694462975</v>
      </c>
      <c r="E28" s="31">
        <f>(IFERROR(VLOOKUP($A28,'[1]AA&amp;AS AGE'!$A:$F,HLOOKUP(Sheet1!E$2,'[1]AA&amp;AS AGE'!$1:$2,2,FALSE),FALSE),0))/(E$4)</f>
        <v>0.18646232439335889</v>
      </c>
      <c r="F28" s="31">
        <f>(IFERROR(VLOOKUP($A28,'[1]AA&amp;AS AGE'!$A:$F,HLOOKUP(Sheet1!F$2,'[1]AA&amp;AS AGE'!$1:$2,2,FALSE),FALSE),0))/(F$4)</f>
        <v>0.18494897959183673</v>
      </c>
      <c r="G28" s="51">
        <v>0.1455162019593067</v>
      </c>
      <c r="H28" s="72">
        <f t="shared" si="3"/>
        <v>3.9432777632530031E-2</v>
      </c>
    </row>
    <row r="29" spans="1:13" x14ac:dyDescent="0.25">
      <c r="A29" s="39" t="s">
        <v>21</v>
      </c>
      <c r="B29" s="31">
        <f>(IFERROR(VLOOKUP($A29,'[1]AA&amp;AS AGE'!$A:$F,HLOOKUP(Sheet1!B$2,'[1]AA&amp;AS AGE'!$1:$2,2,FALSE),FALSE),0))/(B$4)</f>
        <v>0.10014306151645208</v>
      </c>
      <c r="C29" s="31">
        <f>(IFERROR(VLOOKUP($A29,'[1]AA&amp;AS AGE'!$A:$F,HLOOKUP(Sheet1!C$2,'[1]AA&amp;AS AGE'!$1:$2,2,FALSE),FALSE),0))/(C$4)</f>
        <v>0.10347085789129011</v>
      </c>
      <c r="D29" s="31">
        <f>(IFERROR(VLOOKUP($A29,'[1]AA&amp;AS AGE'!$A:$F,HLOOKUP(Sheet1!D$2,'[1]AA&amp;AS AGE'!$1:$2,2,FALSE),FALSE),0))/(D$4)</f>
        <v>9.7398265510340226E-2</v>
      </c>
      <c r="E29" s="31">
        <f>(IFERROR(VLOOKUP($A29,'[1]AA&amp;AS AGE'!$A:$F,HLOOKUP(Sheet1!E$2,'[1]AA&amp;AS AGE'!$1:$2,2,FALSE),FALSE),0))/(E$4)</f>
        <v>9.3231162196679443E-2</v>
      </c>
      <c r="F29" s="31">
        <f>(IFERROR(VLOOKUP($A29,'[1]AA&amp;AS AGE'!$A:$F,HLOOKUP(Sheet1!F$2,'[1]AA&amp;AS AGE'!$1:$2,2,FALSE),FALSE),0))/(F$4)</f>
        <v>9.1836734693877556E-2</v>
      </c>
      <c r="G29" s="51">
        <v>8.3270535041446866E-2</v>
      </c>
      <c r="H29" s="72">
        <f t="shared" si="3"/>
        <v>8.5661996524306894E-3</v>
      </c>
    </row>
    <row r="30" spans="1:13" x14ac:dyDescent="0.25">
      <c r="A30" s="39" t="s">
        <v>22</v>
      </c>
      <c r="B30" s="31">
        <f>(IFERROR(VLOOKUP($A30,'[1]AA&amp;AS AGE'!$A:$F,HLOOKUP(Sheet1!B$2,'[1]AA&amp;AS AGE'!$1:$2,2,FALSE),FALSE),0))/(B$4)</f>
        <v>7.3676680972818306E-2</v>
      </c>
      <c r="C30" s="31">
        <f>(IFERROR(VLOOKUP($A30,'[1]AA&amp;AS AGE'!$A:$F,HLOOKUP(Sheet1!C$2,'[1]AA&amp;AS AGE'!$1:$2,2,FALSE),FALSE),0))/(C$4)</f>
        <v>7.1381794368041915E-2</v>
      </c>
      <c r="D30" s="31">
        <f>(IFERROR(VLOOKUP($A30,'[1]AA&amp;AS AGE'!$A:$F,HLOOKUP(Sheet1!D$2,'[1]AA&amp;AS AGE'!$1:$2,2,FALSE),FALSE),0))/(D$4)</f>
        <v>6.7378252168112079E-2</v>
      </c>
      <c r="E30" s="31">
        <f>(IFERROR(VLOOKUP($A30,'[1]AA&amp;AS AGE'!$A:$F,HLOOKUP(Sheet1!E$2,'[1]AA&amp;AS AGE'!$1:$2,2,FALSE),FALSE),0))/(E$4)</f>
        <v>6.6411238825031929E-2</v>
      </c>
      <c r="F30" s="31">
        <f>(IFERROR(VLOOKUP($A30,'[1]AA&amp;AS AGE'!$A:$F,HLOOKUP(Sheet1!F$2,'[1]AA&amp;AS AGE'!$1:$2,2,FALSE),FALSE),0))/(F$4)</f>
        <v>7.3341836734693883E-2</v>
      </c>
      <c r="G30" s="51">
        <v>6.1115297663903542E-2</v>
      </c>
      <c r="H30" s="72">
        <f t="shared" si="3"/>
        <v>1.222653907079034E-2</v>
      </c>
    </row>
    <row r="31" spans="1:13" x14ac:dyDescent="0.25">
      <c r="A31" s="39" t="s">
        <v>23</v>
      </c>
      <c r="B31" s="31">
        <f>(IFERROR(VLOOKUP($A31,'[1]AA&amp;AS AGE'!$A:$F,HLOOKUP(Sheet1!B$2,'[1]AA&amp;AS AGE'!$1:$2,2,FALSE),FALSE),0))/(B$4)</f>
        <v>0.11444921316165951</v>
      </c>
      <c r="C31" s="31">
        <f>(IFERROR(VLOOKUP($A31,'[1]AA&amp;AS AGE'!$A:$F,HLOOKUP(Sheet1!C$2,'[1]AA&amp;AS AGE'!$1:$2,2,FALSE),FALSE),0))/(C$4)</f>
        <v>0.11329404060248854</v>
      </c>
      <c r="D31" s="31">
        <f>(IFERROR(VLOOKUP($A31,'[1]AA&amp;AS AGE'!$A:$F,HLOOKUP(Sheet1!D$2,'[1]AA&amp;AS AGE'!$1:$2,2,FALSE),FALSE),0))/(D$4)</f>
        <v>0.12341561040693796</v>
      </c>
      <c r="E31" s="31">
        <f>(IFERROR(VLOOKUP($A31,'[1]AA&amp;AS AGE'!$A:$F,HLOOKUP(Sheet1!E$2,'[1]AA&amp;AS AGE'!$1:$2,2,FALSE),FALSE),0))/(E$4)</f>
        <v>0.11558109833971902</v>
      </c>
      <c r="F31" s="31">
        <f>(IFERROR(VLOOKUP($A31,'[1]AA&amp;AS AGE'!$A:$F,HLOOKUP(Sheet1!F$2,'[1]AA&amp;AS AGE'!$1:$2,2,FALSE),FALSE),0))/(F$4)</f>
        <v>8.673469387755102E-2</v>
      </c>
      <c r="G31" s="51">
        <v>9.0052750565184622E-2</v>
      </c>
      <c r="H31" s="72">
        <f t="shared" si="3"/>
        <v>-3.3180566876336026E-3</v>
      </c>
    </row>
    <row r="32" spans="1:13" x14ac:dyDescent="0.25">
      <c r="A32" s="39" t="s">
        <v>24</v>
      </c>
      <c r="B32" s="31">
        <f>(IFERROR(VLOOKUP($A32,'[1]AA&amp;AS AGE'!$A:$F,HLOOKUP(Sheet1!B$2,'[1]AA&amp;AS AGE'!$1:$2,2,FALSE),FALSE),0))/(B$4)</f>
        <v>4.5064377682403435E-2</v>
      </c>
      <c r="C32" s="31">
        <f>(IFERROR(VLOOKUP($A32,'[1]AA&amp;AS AGE'!$A:$F,HLOOKUP(Sheet1!C$2,'[1]AA&amp;AS AGE'!$1:$2,2,FALSE),FALSE),0))/(C$4)</f>
        <v>4.3222003929273084E-2</v>
      </c>
      <c r="D32" s="31">
        <f>(IFERROR(VLOOKUP($A32,'[1]AA&amp;AS AGE'!$A:$F,HLOOKUP(Sheet1!D$2,'[1]AA&amp;AS AGE'!$1:$2,2,FALSE),FALSE),0))/(D$4)</f>
        <v>4.0026684456304203E-2</v>
      </c>
      <c r="E32" s="31">
        <f>(IFERROR(VLOOKUP($A32,'[1]AA&amp;AS AGE'!$A:$F,HLOOKUP(Sheet1!E$2,'[1]AA&amp;AS AGE'!$1:$2,2,FALSE),FALSE),0))/(E$4)</f>
        <v>4.9169859514687102E-2</v>
      </c>
      <c r="F32" s="31">
        <f>(IFERROR(VLOOKUP($A32,'[1]AA&amp;AS AGE'!$A:$F,HLOOKUP(Sheet1!F$2,'[1]AA&amp;AS AGE'!$1:$2,2,FALSE),FALSE),0))/(F$4)</f>
        <v>4.5918367346938778E-2</v>
      </c>
      <c r="G32" s="51">
        <v>5.1996985681989447E-2</v>
      </c>
      <c r="H32" s="72">
        <f t="shared" si="3"/>
        <v>-6.0786183350506687E-3</v>
      </c>
    </row>
    <row r="33" spans="1:8" ht="15.75" thickBot="1" x14ac:dyDescent="0.3">
      <c r="A33" s="40" t="s">
        <v>7</v>
      </c>
      <c r="B33" s="41">
        <f>(IFERROR(VLOOKUP($A33,'[1]AA&amp;AS AGE'!$A:$F,HLOOKUP(Sheet1!B$2,'[1]AA&amp;AS AGE'!$1:$2,2,FALSE),FALSE),0))/(B$4)</f>
        <v>0</v>
      </c>
      <c r="C33" s="41">
        <f>(IFERROR(VLOOKUP($A33,'[1]AA&amp;AS AGE'!$A:$F,HLOOKUP(Sheet1!C$2,'[1]AA&amp;AS AGE'!$1:$2,2,FALSE),FALSE),0))/(C$4)</f>
        <v>0</v>
      </c>
      <c r="D33" s="41">
        <f>(IFERROR(VLOOKUP($A33,'[1]AA&amp;AS AGE'!$A:$F,HLOOKUP(Sheet1!D$2,'[1]AA&amp;AS AGE'!$1:$2,2,FALSE),FALSE),0))/(D$4)</f>
        <v>0</v>
      </c>
      <c r="E33" s="41">
        <f>(IFERROR(VLOOKUP($A33,'[1]AA&amp;AS AGE'!$A:$F,HLOOKUP(Sheet1!E$2,'[1]AA&amp;AS AGE'!$1:$2,2,FALSE),FALSE),0))/(E$4)</f>
        <v>0</v>
      </c>
      <c r="F33" s="41">
        <f>(IFERROR(VLOOKUP($A33,'[1]AA&amp;AS AGE'!$A:$F,HLOOKUP(Sheet1!F$2,'[1]AA&amp;AS AGE'!$1:$2,2,FALSE),FALSE),0))/(F$4)</f>
        <v>0</v>
      </c>
      <c r="G33" s="62">
        <v>0</v>
      </c>
      <c r="H33" s="73">
        <f t="shared" si="3"/>
        <v>0</v>
      </c>
    </row>
    <row r="34" spans="1:8" ht="15.75" thickBot="1" x14ac:dyDescent="0.3">
      <c r="A34" s="90" t="s">
        <v>57</v>
      </c>
      <c r="B34" s="11"/>
      <c r="C34" s="8"/>
      <c r="D34" s="8"/>
      <c r="E34" s="8"/>
      <c r="F34" s="8"/>
      <c r="G34" s="35"/>
    </row>
    <row r="35" spans="1:8" ht="15.75" thickBot="1" x14ac:dyDescent="0.3">
      <c r="A35" s="90"/>
      <c r="B35" s="11"/>
      <c r="C35" s="8"/>
      <c r="D35" s="8"/>
      <c r="E35" s="8"/>
      <c r="F35" s="8"/>
      <c r="G35" s="35"/>
    </row>
    <row r="36" spans="1:8" ht="15.75" thickBot="1" x14ac:dyDescent="0.3">
      <c r="A36" s="23"/>
      <c r="B36" s="9" t="s">
        <v>3</v>
      </c>
      <c r="C36" s="7" t="s">
        <v>3</v>
      </c>
      <c r="D36" s="7" t="s">
        <v>3</v>
      </c>
      <c r="E36" s="7" t="s">
        <v>3</v>
      </c>
      <c r="F36" s="70" t="s">
        <v>3</v>
      </c>
      <c r="G36" s="35"/>
    </row>
    <row r="37" spans="1:8" ht="15.75" thickBot="1" x14ac:dyDescent="0.3">
      <c r="A37" s="23" t="s">
        <v>25</v>
      </c>
      <c r="B37" s="12"/>
      <c r="C37" s="13"/>
      <c r="D37" s="13"/>
      <c r="E37" s="13"/>
      <c r="F37" s="71"/>
      <c r="G37" s="35"/>
    </row>
  </sheetData>
  <mergeCells count="1">
    <mergeCell ref="B1:F1"/>
  </mergeCells>
  <hyperlinks>
    <hyperlink ref="A3" location="'TOTAL AWARDS GRAPH'!A1" display="click here for graph"/>
    <hyperlink ref="A10" location="'GENDER % GRAPH'!A1" display="click here for graph"/>
    <hyperlink ref="A22" location="'ETHNICITY % GRAPH'!A1" display="click here for graph"/>
    <hyperlink ref="A34" location="'AGE % GRAPH'!A1" display="click here for graph"/>
  </hyperlinks>
  <pageMargins left="0.25" right="0.25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>
      <selection activeCell="A23" sqref="A23"/>
    </sheetView>
  </sheetViews>
  <sheetFormatPr defaultRowHeight="15" x14ac:dyDescent="0.25"/>
  <cols>
    <col min="1" max="1" width="16.28515625" bestFit="1" customWidth="1"/>
  </cols>
  <sheetData>
    <row r="1" spans="1:2" x14ac:dyDescent="0.25">
      <c r="A1" s="24" t="s">
        <v>26</v>
      </c>
    </row>
    <row r="7" spans="1:2" x14ac:dyDescent="0.25">
      <c r="A7" s="25" t="s">
        <v>32</v>
      </c>
    </row>
    <row r="8" spans="1:2" x14ac:dyDescent="0.25">
      <c r="A8" s="25" t="s">
        <v>33</v>
      </c>
    </row>
    <row r="9" spans="1:2" x14ac:dyDescent="0.25">
      <c r="A9" s="25" t="s">
        <v>34</v>
      </c>
    </row>
    <row r="12" spans="1:2" x14ac:dyDescent="0.25">
      <c r="A12" s="25" t="s">
        <v>35</v>
      </c>
      <c r="B12" s="16" t="s">
        <v>9</v>
      </c>
    </row>
    <row r="13" spans="1:2" x14ac:dyDescent="0.25">
      <c r="A13" s="25" t="s">
        <v>40</v>
      </c>
      <c r="B13" s="17" t="s">
        <v>10</v>
      </c>
    </row>
    <row r="14" spans="1:2" x14ac:dyDescent="0.25">
      <c r="A14" s="25" t="s">
        <v>36</v>
      </c>
      <c r="B14" s="17" t="s">
        <v>11</v>
      </c>
    </row>
    <row r="15" spans="1:2" x14ac:dyDescent="0.25">
      <c r="A15" s="25" t="s">
        <v>37</v>
      </c>
      <c r="B15" s="17" t="s">
        <v>12</v>
      </c>
    </row>
    <row r="16" spans="1:2" x14ac:dyDescent="0.25">
      <c r="A16" s="25" t="s">
        <v>38</v>
      </c>
      <c r="B16" s="17" t="s">
        <v>13</v>
      </c>
    </row>
    <row r="17" spans="1:6" x14ac:dyDescent="0.25">
      <c r="A17" s="25" t="s">
        <v>32</v>
      </c>
      <c r="B17" s="17" t="s">
        <v>14</v>
      </c>
    </row>
    <row r="18" spans="1:6" x14ac:dyDescent="0.25">
      <c r="A18" s="25" t="s">
        <v>39</v>
      </c>
      <c r="B18" s="17" t="s">
        <v>15</v>
      </c>
    </row>
    <row r="19" spans="1:6" x14ac:dyDescent="0.25">
      <c r="A19" s="27" t="s">
        <v>16</v>
      </c>
      <c r="B19" s="17" t="s">
        <v>16</v>
      </c>
      <c r="F19" s="25"/>
    </row>
    <row r="20" spans="1:6" ht="15.75" thickBot="1" x14ac:dyDescent="0.3">
      <c r="B20" s="18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8"/>
  <sheetViews>
    <sheetView workbookViewId="0"/>
  </sheetViews>
  <sheetFormatPr defaultRowHeight="15" x14ac:dyDescent="0.25"/>
  <cols>
    <col min="1" max="1" width="14.42578125" bestFit="1" customWidth="1"/>
    <col min="2" max="4" width="15.28515625" customWidth="1"/>
    <col min="5" max="6" width="15.28515625" bestFit="1" customWidth="1"/>
    <col min="27" max="27" width="8.85546875" customWidth="1"/>
    <col min="28" max="28" width="16.28515625" customWidth="1"/>
    <col min="29" max="29" width="11.28515625" customWidth="1"/>
    <col min="30" max="31" width="16.28515625" customWidth="1"/>
    <col min="32" max="32" width="14" customWidth="1"/>
    <col min="33" max="36" width="14" bestFit="1" customWidth="1"/>
  </cols>
  <sheetData>
    <row r="1" spans="1:29" x14ac:dyDescent="0.25">
      <c r="A1" s="91" t="s">
        <v>58</v>
      </c>
    </row>
    <row r="2" spans="1:29" x14ac:dyDescent="0.25">
      <c r="AB2" s="88" t="s">
        <v>59</v>
      </c>
    </row>
    <row r="3" spans="1:29" x14ac:dyDescent="0.25">
      <c r="AA3" s="88" t="s">
        <v>60</v>
      </c>
      <c r="AB3" s="1" t="s">
        <v>67</v>
      </c>
      <c r="AC3" s="1" t="s">
        <v>26</v>
      </c>
    </row>
    <row r="4" spans="1:29" x14ac:dyDescent="0.25">
      <c r="AA4" s="25" t="s">
        <v>61</v>
      </c>
      <c r="AB4" s="89">
        <v>1398</v>
      </c>
      <c r="AC4" s="89">
        <v>1398</v>
      </c>
    </row>
    <row r="5" spans="1:29" x14ac:dyDescent="0.25">
      <c r="AA5" s="25" t="s">
        <v>62</v>
      </c>
      <c r="AB5" s="89">
        <v>1527</v>
      </c>
      <c r="AC5" s="89">
        <v>1527</v>
      </c>
    </row>
    <row r="6" spans="1:29" x14ac:dyDescent="0.25">
      <c r="AA6" s="25" t="s">
        <v>63</v>
      </c>
      <c r="AB6" s="89">
        <v>1499</v>
      </c>
      <c r="AC6" s="89">
        <v>1499</v>
      </c>
    </row>
    <row r="7" spans="1:29" x14ac:dyDescent="0.25">
      <c r="AA7" s="25" t="s">
        <v>64</v>
      </c>
      <c r="AB7" s="89">
        <v>1566</v>
      </c>
      <c r="AC7" s="89">
        <v>1566</v>
      </c>
    </row>
    <row r="8" spans="1:29" x14ac:dyDescent="0.25">
      <c r="AA8" s="25" t="s">
        <v>65</v>
      </c>
      <c r="AB8" s="89">
        <v>1568</v>
      </c>
      <c r="AC8" s="89">
        <v>1568</v>
      </c>
    </row>
  </sheetData>
  <hyperlinks>
    <hyperlink ref="A1" location="Table!A1" display="BACK TO TABLE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9"/>
  <sheetViews>
    <sheetView workbookViewId="0"/>
  </sheetViews>
  <sheetFormatPr defaultRowHeight="15" x14ac:dyDescent="0.25"/>
  <cols>
    <col min="2" max="2" width="14.42578125" customWidth="1"/>
    <col min="3" max="3" width="16.28515625" customWidth="1"/>
    <col min="4" max="4" width="12" customWidth="1"/>
    <col min="5" max="5" width="12" bestFit="1" customWidth="1"/>
    <col min="6" max="6" width="11.28515625" bestFit="1" customWidth="1"/>
    <col min="19" max="19" width="30.28515625" bestFit="1" customWidth="1"/>
    <col min="20" max="20" width="16.28515625" customWidth="1"/>
    <col min="21" max="22" width="12" customWidth="1"/>
    <col min="23" max="23" width="11.28515625" customWidth="1"/>
    <col min="30" max="30" width="38.42578125" bestFit="1" customWidth="1"/>
    <col min="31" max="31" width="16.28515625" bestFit="1" customWidth="1"/>
    <col min="32" max="32" width="5.5703125" customWidth="1"/>
    <col min="33" max="33" width="9.5703125" bestFit="1" customWidth="1"/>
    <col min="34" max="34" width="11.28515625" bestFit="1" customWidth="1"/>
  </cols>
  <sheetData>
    <row r="1" spans="1:34" x14ac:dyDescent="0.25">
      <c r="A1" s="91" t="s">
        <v>58</v>
      </c>
    </row>
    <row r="2" spans="1:34" x14ac:dyDescent="0.25">
      <c r="AE2" s="88" t="s">
        <v>59</v>
      </c>
    </row>
    <row r="3" spans="1:34" x14ac:dyDescent="0.25">
      <c r="AD3" s="88" t="s">
        <v>60</v>
      </c>
      <c r="AE3" s="1" t="s">
        <v>5</v>
      </c>
      <c r="AF3" s="1" t="s">
        <v>6</v>
      </c>
      <c r="AG3" s="1" t="s">
        <v>7</v>
      </c>
      <c r="AH3" s="1" t="s">
        <v>26</v>
      </c>
    </row>
    <row r="4" spans="1:34" x14ac:dyDescent="0.25">
      <c r="AD4" s="25" t="s">
        <v>27</v>
      </c>
      <c r="AE4" s="92">
        <v>0.67668097281831185</v>
      </c>
      <c r="AF4" s="92">
        <v>0.32260371959942774</v>
      </c>
      <c r="AG4" s="92">
        <v>7.1530758226037196E-4</v>
      </c>
      <c r="AH4" s="92">
        <v>1</v>
      </c>
    </row>
    <row r="5" spans="1:34" x14ac:dyDescent="0.25">
      <c r="AD5" s="25" t="s">
        <v>28</v>
      </c>
      <c r="AE5" s="92">
        <v>0.67125081859855928</v>
      </c>
      <c r="AF5" s="92">
        <v>0.3235101506221349</v>
      </c>
      <c r="AG5" s="92">
        <v>5.2390307793058286E-3</v>
      </c>
      <c r="AH5" s="92">
        <v>1</v>
      </c>
    </row>
    <row r="6" spans="1:34" x14ac:dyDescent="0.25">
      <c r="AD6" s="25" t="s">
        <v>29</v>
      </c>
      <c r="AE6" s="92">
        <v>0.65577051367578387</v>
      </c>
      <c r="AF6" s="92">
        <v>0.3322214809873249</v>
      </c>
      <c r="AG6" s="92">
        <v>1.200800533689126E-2</v>
      </c>
      <c r="AH6" s="92">
        <v>1</v>
      </c>
    </row>
    <row r="7" spans="1:34" x14ac:dyDescent="0.25">
      <c r="AD7" s="25" t="s">
        <v>30</v>
      </c>
      <c r="AE7" s="92">
        <v>0.64750957854406133</v>
      </c>
      <c r="AF7" s="92">
        <v>0.33971902937420179</v>
      </c>
      <c r="AG7" s="92">
        <v>1.277139208173691E-2</v>
      </c>
      <c r="AH7" s="92">
        <v>1</v>
      </c>
    </row>
    <row r="8" spans="1:34" x14ac:dyDescent="0.25">
      <c r="AD8" s="25" t="s">
        <v>31</v>
      </c>
      <c r="AE8" s="92">
        <v>0.61288265306122447</v>
      </c>
      <c r="AF8" s="92">
        <v>0.37691326530612246</v>
      </c>
      <c r="AG8" s="92">
        <v>1.020408163265306E-2</v>
      </c>
      <c r="AH8" s="92">
        <v>1</v>
      </c>
    </row>
    <row r="9" spans="1:34" x14ac:dyDescent="0.25">
      <c r="AD9" s="25" t="s">
        <v>68</v>
      </c>
      <c r="AE9" s="92">
        <v>0.59751318764129613</v>
      </c>
      <c r="AF9" s="92">
        <v>0.39344385832705353</v>
      </c>
      <c r="AG9" s="92">
        <v>9.0429540316503392E-3</v>
      </c>
      <c r="AH9" s="92">
        <v>1</v>
      </c>
    </row>
  </sheetData>
  <hyperlinks>
    <hyperlink ref="A1" location="Table!A1" display="BACK TO TABLE"/>
  </hyperlink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33"/>
  <sheetViews>
    <sheetView workbookViewId="0">
      <selection activeCell="S26" sqref="S26"/>
    </sheetView>
  </sheetViews>
  <sheetFormatPr defaultRowHeight="15" x14ac:dyDescent="0.25"/>
  <cols>
    <col min="1" max="1" width="12.42578125" style="1" bestFit="1" customWidth="1"/>
    <col min="2" max="2" width="14.42578125" style="1" customWidth="1"/>
    <col min="3" max="3" width="16.28515625" style="1" customWidth="1"/>
    <col min="4" max="4" width="12" style="1" customWidth="1"/>
    <col min="5" max="5" width="12" style="1" bestFit="1" customWidth="1"/>
    <col min="6" max="6" width="11.28515625" style="1" bestFit="1" customWidth="1"/>
    <col min="7" max="10" width="9.140625" style="1"/>
    <col min="11" max="11" width="23.85546875" style="1" customWidth="1"/>
    <col min="12" max="12" width="16.28515625" style="1" bestFit="1" customWidth="1"/>
    <col min="13" max="13" width="12" style="1" bestFit="1" customWidth="1"/>
    <col min="14" max="14" width="16.28515625" style="1" customWidth="1"/>
    <col min="15" max="15" width="12" style="1" customWidth="1"/>
    <col min="16" max="16" width="12" style="1" bestFit="1" customWidth="1"/>
    <col min="17" max="17" width="12" style="1" customWidth="1"/>
    <col min="18" max="18" width="14.42578125" style="1" customWidth="1"/>
    <col min="19" max="19" width="15.85546875" style="1" customWidth="1"/>
    <col min="20" max="21" width="12" style="1" customWidth="1"/>
    <col min="22" max="22" width="16.28515625" style="1" customWidth="1"/>
    <col min="23" max="25" width="12" style="1" customWidth="1"/>
    <col min="26" max="26" width="15.85546875" style="1" customWidth="1"/>
    <col min="27" max="27" width="14.42578125" style="1" customWidth="1"/>
    <col min="28" max="28" width="12" style="1" customWidth="1"/>
    <col min="29" max="29" width="11.28515625" style="1" customWidth="1"/>
    <col min="30" max="30" width="38.42578125" style="1" bestFit="1" customWidth="1"/>
    <col min="31" max="31" width="16.28515625" style="1" bestFit="1" customWidth="1"/>
    <col min="32" max="32" width="8.42578125" style="1" customWidth="1"/>
    <col min="33" max="33" width="16.28515625" style="1" bestFit="1" customWidth="1"/>
    <col min="34" max="34" width="7.7109375" style="1" customWidth="1"/>
    <col min="35" max="35" width="5.85546875" style="1" customWidth="1"/>
    <col min="36" max="36" width="10.7109375" style="1" customWidth="1"/>
    <col min="37" max="37" width="14.42578125" style="1" bestFit="1" customWidth="1"/>
    <col min="38" max="38" width="15.85546875" style="1" customWidth="1"/>
    <col min="39" max="39" width="9.5703125" style="1" bestFit="1" customWidth="1"/>
    <col min="40" max="40" width="11.28515625" style="1" bestFit="1" customWidth="1"/>
    <col min="41" max="16384" width="9.140625" style="1"/>
  </cols>
  <sheetData>
    <row r="1" spans="1:40" x14ac:dyDescent="0.25">
      <c r="A1" s="91" t="s">
        <v>58</v>
      </c>
      <c r="AD1"/>
      <c r="AE1" s="88" t="s">
        <v>59</v>
      </c>
      <c r="AF1"/>
      <c r="AG1"/>
      <c r="AH1"/>
      <c r="AI1"/>
      <c r="AJ1"/>
      <c r="AK1"/>
      <c r="AL1"/>
      <c r="AM1"/>
      <c r="AN1"/>
    </row>
    <row r="2" spans="1:40" x14ac:dyDescent="0.25">
      <c r="V2"/>
      <c r="W2"/>
      <c r="AD2" s="88" t="s">
        <v>60</v>
      </c>
      <c r="AE2" s="1" t="s">
        <v>9</v>
      </c>
      <c r="AF2" s="1" t="s">
        <v>10</v>
      </c>
      <c r="AG2" s="1" t="s">
        <v>11</v>
      </c>
      <c r="AH2" s="1" t="s">
        <v>14</v>
      </c>
      <c r="AI2" s="1" t="s">
        <v>12</v>
      </c>
      <c r="AJ2" s="1" t="s">
        <v>16</v>
      </c>
      <c r="AK2" s="1" t="s">
        <v>15</v>
      </c>
      <c r="AL2" s="1" t="s">
        <v>13</v>
      </c>
      <c r="AM2" s="1" t="s">
        <v>7</v>
      </c>
      <c r="AN2" s="1" t="s">
        <v>26</v>
      </c>
    </row>
    <row r="3" spans="1:40" x14ac:dyDescent="0.25">
      <c r="V3"/>
      <c r="W3"/>
      <c r="AD3" s="25" t="s">
        <v>29</v>
      </c>
      <c r="AE3" s="92">
        <v>0.50166777851901267</v>
      </c>
      <c r="AF3" s="92">
        <v>0.34356237491661107</v>
      </c>
      <c r="AG3" s="92">
        <v>5.2034689793195463E-2</v>
      </c>
      <c r="AH3" s="92">
        <v>4.3362241494329552E-2</v>
      </c>
      <c r="AI3" s="92">
        <v>3.2021347565043365E-2</v>
      </c>
      <c r="AJ3" s="92">
        <v>1.1340893929286191E-2</v>
      </c>
      <c r="AK3" s="92">
        <v>8.0053368912608412E-3</v>
      </c>
      <c r="AL3" s="92">
        <v>7.3382254836557703E-3</v>
      </c>
      <c r="AM3" s="92">
        <v>6.6711140760511434E-4</v>
      </c>
      <c r="AN3" s="92">
        <v>1</v>
      </c>
    </row>
    <row r="4" spans="1:40" x14ac:dyDescent="0.25">
      <c r="AD4" s="25" t="s">
        <v>28</v>
      </c>
      <c r="AE4" s="92">
        <v>0.52521283562540932</v>
      </c>
      <c r="AF4" s="92">
        <v>0.33071381794368043</v>
      </c>
      <c r="AG4" s="92">
        <v>4.5841519318926001E-2</v>
      </c>
      <c r="AH4" s="92">
        <v>4.7151277013752456E-2</v>
      </c>
      <c r="AI4" s="92">
        <v>1.3097576948264571E-2</v>
      </c>
      <c r="AJ4" s="92">
        <v>1.7026850032743943E-2</v>
      </c>
      <c r="AK4" s="92">
        <v>4.5841519318926003E-3</v>
      </c>
      <c r="AL4" s="92">
        <v>1.37524557956778E-2</v>
      </c>
      <c r="AM4" s="92">
        <v>2.6195153896528822E-3</v>
      </c>
      <c r="AN4" s="92">
        <v>1.0000000000000002</v>
      </c>
    </row>
    <row r="5" spans="1:40" x14ac:dyDescent="0.25">
      <c r="AD5" s="25" t="s">
        <v>27</v>
      </c>
      <c r="AE5" s="92">
        <v>0.50786838340486407</v>
      </c>
      <c r="AF5" s="92">
        <v>0.32260371959942774</v>
      </c>
      <c r="AG5" s="92">
        <v>5.8655221745350504E-2</v>
      </c>
      <c r="AH5" s="92">
        <v>4.7210300429184553E-2</v>
      </c>
      <c r="AI5" s="92">
        <v>2.6466380543633764E-2</v>
      </c>
      <c r="AJ5" s="92">
        <v>2.1459227467811159E-2</v>
      </c>
      <c r="AK5" s="92">
        <v>3.5765379113018598E-3</v>
      </c>
      <c r="AL5" s="92">
        <v>1.1444921316165951E-2</v>
      </c>
      <c r="AM5" s="92">
        <v>7.1530758226034941E-4</v>
      </c>
      <c r="AN5" s="92">
        <v>1</v>
      </c>
    </row>
    <row r="6" spans="1:40" x14ac:dyDescent="0.25">
      <c r="AD6" s="25" t="s">
        <v>30</v>
      </c>
      <c r="AE6" s="92">
        <v>0.48595146871008937</v>
      </c>
      <c r="AF6" s="92">
        <v>0.36143039591315451</v>
      </c>
      <c r="AG6" s="92">
        <v>4.5338441890166031E-2</v>
      </c>
      <c r="AH6" s="92">
        <v>3.2567049808429116E-2</v>
      </c>
      <c r="AI6" s="92">
        <v>3.2567049808429116E-2</v>
      </c>
      <c r="AJ6" s="92">
        <v>1.9795657726692211E-2</v>
      </c>
      <c r="AK6" s="92">
        <v>8.9399744572158362E-3</v>
      </c>
      <c r="AL6" s="92">
        <v>1.2132822477650063E-2</v>
      </c>
      <c r="AM6" s="92">
        <v>1.2771392081738497E-3</v>
      </c>
      <c r="AN6" s="92">
        <v>1.0000000000000002</v>
      </c>
    </row>
    <row r="7" spans="1:40" x14ac:dyDescent="0.25">
      <c r="AD7" s="25" t="s">
        <v>31</v>
      </c>
      <c r="AE7" s="92">
        <v>0.48596938775510207</v>
      </c>
      <c r="AF7" s="92">
        <v>0.35395408163265307</v>
      </c>
      <c r="AG7" s="92">
        <v>5.038265306122449E-2</v>
      </c>
      <c r="AH7" s="92">
        <v>5.1020408163265307E-2</v>
      </c>
      <c r="AI7" s="92">
        <v>2.8698979591836735E-2</v>
      </c>
      <c r="AJ7" s="92">
        <v>1.5306122448979591E-2</v>
      </c>
      <c r="AK7" s="92">
        <v>3.1887755102040817E-3</v>
      </c>
      <c r="AL7" s="92">
        <v>6.3775510204081634E-3</v>
      </c>
      <c r="AM7" s="92">
        <v>5.1020408163264808E-3</v>
      </c>
      <c r="AN7" s="92">
        <v>1</v>
      </c>
    </row>
    <row r="8" spans="1:40" x14ac:dyDescent="0.25">
      <c r="V8"/>
      <c r="W8"/>
      <c r="AD8" s="25" t="s">
        <v>68</v>
      </c>
      <c r="AE8" s="92">
        <v>0.41</v>
      </c>
      <c r="AF8" s="92">
        <v>0.35561416729464956</v>
      </c>
      <c r="AG8" s="92">
        <v>7.0000000000000007E-2</v>
      </c>
      <c r="AH8" s="92">
        <v>0.03</v>
      </c>
      <c r="AI8" s="92">
        <v>0.03</v>
      </c>
      <c r="AJ8" s="92">
        <v>0.08</v>
      </c>
      <c r="AK8" s="92">
        <v>0.01</v>
      </c>
      <c r="AL8" s="92">
        <v>0.01</v>
      </c>
      <c r="AM8" s="92">
        <v>0.05</v>
      </c>
      <c r="AN8" s="92">
        <v>1.0456141672946495</v>
      </c>
    </row>
    <row r="9" spans="1:40" x14ac:dyDescent="0.25">
      <c r="S9"/>
      <c r="T9"/>
      <c r="U9"/>
      <c r="V9"/>
      <c r="W9"/>
    </row>
    <row r="10" spans="1:40" x14ac:dyDescent="0.25">
      <c r="S10"/>
      <c r="T10"/>
      <c r="U10"/>
    </row>
    <row r="11" spans="1:40" x14ac:dyDescent="0.25">
      <c r="S11"/>
      <c r="T11"/>
      <c r="U11"/>
    </row>
    <row r="12" spans="1:40" x14ac:dyDescent="0.25">
      <c r="S12"/>
      <c r="T12"/>
      <c r="U12"/>
    </row>
    <row r="13" spans="1:40" x14ac:dyDescent="0.25">
      <c r="S13"/>
      <c r="T13"/>
      <c r="U13"/>
    </row>
    <row r="14" spans="1:40" x14ac:dyDescent="0.25">
      <c r="S14"/>
      <c r="T14"/>
      <c r="U14"/>
    </row>
    <row r="15" spans="1:40" x14ac:dyDescent="0.25">
      <c r="S15"/>
      <c r="T15"/>
      <c r="U15"/>
    </row>
    <row r="16" spans="1:40" x14ac:dyDescent="0.25">
      <c r="S16"/>
      <c r="T16"/>
      <c r="U16"/>
    </row>
    <row r="17" spans="19:21" x14ac:dyDescent="0.25">
      <c r="S17"/>
      <c r="T17"/>
      <c r="U17"/>
    </row>
    <row r="18" spans="19:21" x14ac:dyDescent="0.25">
      <c r="S18"/>
      <c r="T18"/>
      <c r="U18"/>
    </row>
    <row r="19" spans="19:21" x14ac:dyDescent="0.25">
      <c r="S19"/>
      <c r="T19"/>
      <c r="U19"/>
    </row>
    <row r="20" spans="19:21" x14ac:dyDescent="0.25">
      <c r="S20"/>
      <c r="T20"/>
      <c r="U20"/>
    </row>
    <row r="21" spans="19:21" x14ac:dyDescent="0.25">
      <c r="S21"/>
      <c r="T21"/>
      <c r="U21"/>
    </row>
    <row r="22" spans="19:21" x14ac:dyDescent="0.25">
      <c r="S22"/>
      <c r="T22"/>
    </row>
    <row r="23" spans="19:21" x14ac:dyDescent="0.25">
      <c r="S23"/>
      <c r="T23"/>
    </row>
    <row r="24" spans="19:21" x14ac:dyDescent="0.25">
      <c r="S24"/>
      <c r="T24"/>
    </row>
    <row r="25" spans="19:21" x14ac:dyDescent="0.25">
      <c r="S25"/>
      <c r="T25"/>
    </row>
    <row r="26" spans="19:21" x14ac:dyDescent="0.25">
      <c r="S26"/>
      <c r="T26"/>
    </row>
    <row r="27" spans="19:21" x14ac:dyDescent="0.25">
      <c r="S27"/>
      <c r="T27"/>
    </row>
    <row r="28" spans="19:21" x14ac:dyDescent="0.25">
      <c r="S28"/>
      <c r="T28"/>
    </row>
    <row r="29" spans="19:21" x14ac:dyDescent="0.25">
      <c r="S29"/>
      <c r="T29"/>
    </row>
    <row r="30" spans="19:21" x14ac:dyDescent="0.25">
      <c r="S30"/>
      <c r="T30"/>
    </row>
    <row r="31" spans="19:21" x14ac:dyDescent="0.25">
      <c r="S31"/>
      <c r="T31"/>
    </row>
    <row r="32" spans="19:21" x14ac:dyDescent="0.25">
      <c r="S32"/>
      <c r="T32"/>
    </row>
    <row r="33" spans="19:20" x14ac:dyDescent="0.25">
      <c r="S33"/>
      <c r="T33"/>
    </row>
  </sheetData>
  <hyperlinks>
    <hyperlink ref="A1" location="Table!A1" display="BACK TO TABLE"/>
  </hyperlink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8"/>
  <sheetViews>
    <sheetView topLeftCell="C1" workbookViewId="0">
      <selection activeCell="Z19" sqref="Z19"/>
    </sheetView>
  </sheetViews>
  <sheetFormatPr defaultRowHeight="15" x14ac:dyDescent="0.25"/>
  <cols>
    <col min="1" max="1" width="12.42578125" bestFit="1" customWidth="1"/>
    <col min="25" max="25" width="23.85546875" bestFit="1" customWidth="1"/>
    <col min="26" max="26" width="16.28515625" bestFit="1" customWidth="1"/>
    <col min="27" max="33" width="12" bestFit="1" customWidth="1"/>
    <col min="34" max="34" width="9.5703125" bestFit="1" customWidth="1"/>
    <col min="35" max="35" width="12" bestFit="1" customWidth="1"/>
    <col min="36" max="36" width="16.28515625" bestFit="1" customWidth="1"/>
    <col min="37" max="37" width="38.42578125" bestFit="1" customWidth="1"/>
    <col min="38" max="38" width="16.28515625" bestFit="1" customWidth="1"/>
    <col min="39" max="45" width="12" bestFit="1" customWidth="1"/>
    <col min="46" max="46" width="9.5703125" bestFit="1" customWidth="1"/>
    <col min="47" max="47" width="12" bestFit="1" customWidth="1"/>
  </cols>
  <sheetData>
    <row r="1" spans="1:47" x14ac:dyDescent="0.25">
      <c r="A1" s="91" t="s">
        <v>58</v>
      </c>
      <c r="AL1" s="88" t="s">
        <v>59</v>
      </c>
    </row>
    <row r="2" spans="1:47" x14ac:dyDescent="0.25">
      <c r="AK2" s="88" t="s">
        <v>60</v>
      </c>
      <c r="AL2" s="1" t="s">
        <v>18</v>
      </c>
      <c r="AM2" s="1" t="s">
        <v>19</v>
      </c>
      <c r="AN2" s="1" t="s">
        <v>20</v>
      </c>
      <c r="AO2" s="1" t="s">
        <v>41</v>
      </c>
      <c r="AP2" s="1" t="s">
        <v>21</v>
      </c>
      <c r="AQ2" s="1" t="s">
        <v>22</v>
      </c>
      <c r="AR2" s="1" t="s">
        <v>23</v>
      </c>
      <c r="AS2" s="1" t="s">
        <v>24</v>
      </c>
      <c r="AT2" s="1" t="s">
        <v>7</v>
      </c>
      <c r="AU2" s="1" t="s">
        <v>26</v>
      </c>
    </row>
    <row r="3" spans="1:47" x14ac:dyDescent="0.25">
      <c r="AK3" s="25" t="s">
        <v>27</v>
      </c>
      <c r="AL3" s="92">
        <v>0</v>
      </c>
      <c r="AM3" s="92">
        <v>1.5021459227467811E-2</v>
      </c>
      <c r="AN3" s="92">
        <v>0.46924177396280403</v>
      </c>
      <c r="AO3" s="92">
        <v>0.18240343347639484</v>
      </c>
      <c r="AP3" s="92">
        <v>0.10014306151645208</v>
      </c>
      <c r="AQ3" s="92">
        <v>7.3676680972818306E-2</v>
      </c>
      <c r="AR3" s="92">
        <v>0.11444921316165951</v>
      </c>
      <c r="AS3" s="92">
        <v>4.5064377682403435E-2</v>
      </c>
      <c r="AT3" s="92">
        <v>0</v>
      </c>
      <c r="AU3" s="92">
        <v>1</v>
      </c>
    </row>
    <row r="4" spans="1:47" x14ac:dyDescent="0.25">
      <c r="AK4" s="25" t="s">
        <v>28</v>
      </c>
      <c r="AL4" s="92">
        <v>0</v>
      </c>
      <c r="AM4" s="92">
        <v>1.3097576948264571E-2</v>
      </c>
      <c r="AN4" s="92">
        <v>0.49246889325474785</v>
      </c>
      <c r="AO4" s="92">
        <v>0.16306483300589392</v>
      </c>
      <c r="AP4" s="92">
        <v>0.10347085789129011</v>
      </c>
      <c r="AQ4" s="92">
        <v>7.1381794368041915E-2</v>
      </c>
      <c r="AR4" s="92">
        <v>0.11329404060248854</v>
      </c>
      <c r="AS4" s="92">
        <v>4.3222003929273084E-2</v>
      </c>
      <c r="AT4" s="92">
        <v>0</v>
      </c>
      <c r="AU4" s="92">
        <v>0.99999999999999989</v>
      </c>
    </row>
    <row r="5" spans="1:47" x14ac:dyDescent="0.25">
      <c r="AK5" s="25" t="s">
        <v>29</v>
      </c>
      <c r="AL5" s="92">
        <v>0</v>
      </c>
      <c r="AM5" s="92">
        <v>6.6711140760507001E-3</v>
      </c>
      <c r="AN5" s="92">
        <v>0.47698465643762511</v>
      </c>
      <c r="AO5" s="92">
        <v>0.18812541694462975</v>
      </c>
      <c r="AP5" s="92">
        <v>9.7398265510340226E-2</v>
      </c>
      <c r="AQ5" s="92">
        <v>6.7378252168112079E-2</v>
      </c>
      <c r="AR5" s="92">
        <v>0.12341561040693796</v>
      </c>
      <c r="AS5" s="92">
        <v>4.0026684456304203E-2</v>
      </c>
      <c r="AT5" s="92">
        <v>0</v>
      </c>
      <c r="AU5" s="92">
        <v>1</v>
      </c>
    </row>
    <row r="6" spans="1:47" x14ac:dyDescent="0.25">
      <c r="AK6" s="25" t="s">
        <v>30</v>
      </c>
      <c r="AL6" s="92">
        <v>1.277139208173691E-3</v>
      </c>
      <c r="AM6" s="92">
        <v>7.6628352490421452E-3</v>
      </c>
      <c r="AN6" s="92">
        <v>0.48020434227330777</v>
      </c>
      <c r="AO6" s="92">
        <v>0.18646232439335889</v>
      </c>
      <c r="AP6" s="92">
        <v>9.3231162196679443E-2</v>
      </c>
      <c r="AQ6" s="92">
        <v>6.6411238825031929E-2</v>
      </c>
      <c r="AR6" s="92">
        <v>0.11558109833971902</v>
      </c>
      <c r="AS6" s="92">
        <v>4.9169859514687102E-2</v>
      </c>
      <c r="AT6" s="92">
        <v>0</v>
      </c>
      <c r="AU6" s="92">
        <v>1</v>
      </c>
    </row>
    <row r="7" spans="1:47" x14ac:dyDescent="0.25">
      <c r="AK7" s="25" t="s">
        <v>31</v>
      </c>
      <c r="AL7" s="92">
        <v>0</v>
      </c>
      <c r="AM7" s="92">
        <v>1.0841836734693877E-2</v>
      </c>
      <c r="AN7" s="92">
        <v>0.50637755102040816</v>
      </c>
      <c r="AO7" s="92">
        <v>0.18494897959183673</v>
      </c>
      <c r="AP7" s="92">
        <v>9.1836734693877556E-2</v>
      </c>
      <c r="AQ7" s="92">
        <v>7.3341836734693883E-2</v>
      </c>
      <c r="AR7" s="92">
        <v>8.673469387755102E-2</v>
      </c>
      <c r="AS7" s="92">
        <v>4.5918367346938778E-2</v>
      </c>
      <c r="AT7" s="92">
        <v>0</v>
      </c>
      <c r="AU7" s="92">
        <v>1</v>
      </c>
    </row>
    <row r="8" spans="1:47" x14ac:dyDescent="0.25">
      <c r="AK8" s="25" t="s">
        <v>68</v>
      </c>
      <c r="AL8" s="92">
        <v>9.1183119819140922E-3</v>
      </c>
      <c r="AM8" s="92">
        <v>0.13406179351921627</v>
      </c>
      <c r="AN8" s="92">
        <v>0.42471740768651095</v>
      </c>
      <c r="AO8" s="92">
        <v>0.1455162019593067</v>
      </c>
      <c r="AP8" s="92">
        <v>8.3270535041446866E-2</v>
      </c>
      <c r="AQ8" s="92">
        <v>6.1115297663903542E-2</v>
      </c>
      <c r="AR8" s="92">
        <v>9.0052750565184622E-2</v>
      </c>
      <c r="AS8" s="92">
        <v>5.1996985681989447E-2</v>
      </c>
      <c r="AT8" s="92">
        <v>0</v>
      </c>
      <c r="AU8" s="92">
        <v>0.99984928409947249</v>
      </c>
    </row>
  </sheetData>
  <hyperlinks>
    <hyperlink ref="A1" location="Table!A1" display="BACK TO TABLE"/>
  </hyperlinks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FB848CAE-C222-4295-BCA3-326CDCDCF7B3}"/>
</file>

<file path=customXml/itemProps2.xml><?xml version="1.0" encoding="utf-8"?>
<ds:datastoreItem xmlns:ds="http://schemas.openxmlformats.org/officeDocument/2006/customXml" ds:itemID="{0616A895-8188-4A96-811E-8F6AD4D38DAE}"/>
</file>

<file path=customXml/itemProps3.xml><?xml version="1.0" encoding="utf-8"?>
<ds:datastoreItem xmlns:ds="http://schemas.openxmlformats.org/officeDocument/2006/customXml" ds:itemID="{B31853F3-90BC-411C-8C2E-B2FB1B3579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Table</vt:lpstr>
      <vt:lpstr>Sheet2</vt:lpstr>
      <vt:lpstr>TOTAL AWARDS GRAPH</vt:lpstr>
      <vt:lpstr>GENDER % GRAPH</vt:lpstr>
      <vt:lpstr>ETHNICITY % GRAPH</vt:lpstr>
      <vt:lpstr>AGE % GRAPH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nmesaris</dc:creator>
  <cp:lastModifiedBy>nmesaris</cp:lastModifiedBy>
  <cp:lastPrinted>2012-08-08T21:43:03Z</cp:lastPrinted>
  <dcterms:created xsi:type="dcterms:W3CDTF">2012-06-11T17:04:54Z</dcterms:created>
  <dcterms:modified xsi:type="dcterms:W3CDTF">2012-08-16T17:42:52Z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