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activeTab="5"/>
  </bookViews>
  <sheets>
    <sheet name="PPI 001" sheetId="1" r:id="rId1"/>
    <sheet name="PPI 002" sheetId="10" r:id="rId2"/>
    <sheet name="PPI 003" sheetId="11" r:id="rId3"/>
    <sheet name="PPI 004" sheetId="12" r:id="rId4"/>
    <sheet name="PPI 005" sheetId="13" r:id="rId5"/>
    <sheet name="PPI 006" sheetId="14" r:id="rId6"/>
    <sheet name="Certification Page" sheetId="9" r:id="rId7"/>
    <sheet name="PCS Parameter Codes" sheetId="7" r:id="rId8"/>
    <sheet name="Dropdown Menu" sheetId="8" state="hidden" r:id="rId9"/>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6">'Certification Page'!$A$1:$S$22</definedName>
    <definedName name="_xlnm.Print_Area" localSheetId="7">'PCS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_xlnm.Print_Area" localSheetId="4">'PPI 005'!$A$1:$S$43</definedName>
    <definedName name="_xlnm.Print_Area" localSheetId="5">'PPI 006'!$A$1:$S$43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4"/>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3"/>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2"/>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6.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7.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<sst xmlns="http://schemas.openxmlformats.org/spreadsheetml/2006/main" count="788" uniqueCount="404">
  <si>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</si>
  <si>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</si>
  <si>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</si>
  <si>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</si>
  <si>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</si>
  <si>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</si>
  <si>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</si>
  <si>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</si>
  <si>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</si>
  <si>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</si>
  <si>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</si>
  <si>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</si>
  <si>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</si>
  <si>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</si>
  <si>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</si>
  <si>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</si>
  <si>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</si>
  <si>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</si>
  <si>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</si>
  <si>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</si>
  <si>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</si>
  <si>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</si>
  <si>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</si>
  <si>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</si>
  <si>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</si>
  <si>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</si>
  <si>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</si>
  <si>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</si>
  <si>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</si>
  <si>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</si>
  <si>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</si>
  <si>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</si>
  <si>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</si>
  <si>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</si>
  <si>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</si>
  <si>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</si>
  <si>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</si>
  <si>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</si>
  <si>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</si>
  <si>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</si>
  <si>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</si>
  <si>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</si>
  <si>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</si>
  <si>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</si>
  <si>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</si>
  <si>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</si>
  <si>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</si>
  <si>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</si>
  <si>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</si>
  <si>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</si>
  <si>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</si>
  <si>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</si>
  <si>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</si>
  <si>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</si>
  <si>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</si>
  <si>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</si>
  <si>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</si>
  <si>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</si>
  <si>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</si>
  <si>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</si>
  <si>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</si>
  <si>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</si>
  <si>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</si>
  <si>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</si>
  <si>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</si>
  <si>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</si>
  <si>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</si>
  <si>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</si>
  <si>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</si>
  <si>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</si>
  <si>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</si>
  <si>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</si>
  <si>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</si>
  <si>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</si>
  <si>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</si>
  <si>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</si>
  <si>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</si>
  <si>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</si>
  <si>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</si>
  <si>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</si>
  <si>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</si>
  <si>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</si>
  <si>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</si>
  <si>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</si>
  <si>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</si>
  <si>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</si>
  <si>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</si>
  <si>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</si>
  <si>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</si>
  <si>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</si>
  <si>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</si>
  <si>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</si>
  <si>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</si>
  <si>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</si>
  <si>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</si>
  <si>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</si>
  <si>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</si>
  <si>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</si>
  <si>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</si>
  <si>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</si>
  <si>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</si>
  <si>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</si>
  <si>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</si>
  <si>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</si>
  <si>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</si>
  <si>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</si>
  <si>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</si>
  <si>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</si>
  <si>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</si>
  <si>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</si>
  <si>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</si>
  <si>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</si>
  <si>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</si>
  <si>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</si>
  <si>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</si>
  <si>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</si>
  <si>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</si>
  <si>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</si>
  <si>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</si>
  <si>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</si>
  <si>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</si>
  <si>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</si>
  <si>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</si>
  <si>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</si>
  <si>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</si>
  <si>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</si>
  <si>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</si>
  <si>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</si>
  <si>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</si>
  <si>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</si>
  <si>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</si>
  <si>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</si>
  <si>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</si>
  <si>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</si>
  <si>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</si>
  <si>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</si>
  <si>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</si>
  <si>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</si>
  <si>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</si>
  <si>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</si>
  <si>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</si>
  <si>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</si>
  <si>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</si>
  <si>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</si>
  <si>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</si>
  <si>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</si>
  <si>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</si>
  <si>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</si>
  <si>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</si>
  <si>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</si>
  <si>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</si>
  <si>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</si>
  <si>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</si>
  <si>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</si>
  <si>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</si>
  <si>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</si>
  <si>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</si>
  <si>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</si>
  <si>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</si>
  <si>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</si>
  <si>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</si>
  <si>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</si>
  <si>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</si>
  <si>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</si>
  <si>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</si>
  <si>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</si>
  <si>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</si>
  <si>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</si>
  <si>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</si>
  <si>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</si>
  <si>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</si>
  <si>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</si>
  <si>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</si>
  <si>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</si>
  <si>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</si>
  <si>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</si>
  <si>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</si>
  <si>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</si>
  <si>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</si>
  <si>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</si>
  <si>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</si>
  <si>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</si>
  <si>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</si>
  <si>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</si>
  <si>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</si>
  <si>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</si>
  <si>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</si>
  <si>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</si>
  <si>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</si>
  <si>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</si>
  <si>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</si>
  <si>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</si>
  <si>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</si>
  <si>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</si>
  <si>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</si>
  <si>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</si>
  <si>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</si>
  <si>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</si>
  <si>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</si>
  <si>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</si>
  <si>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</si>
  <si>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</si>
  <si>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</si>
  <si>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</si>
  <si>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</si>
  <si>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</si>
  <si>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</si>
  <si>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</si>
  <si>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</si>
  <si>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</si>
  <si>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</si>
  <si>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</si>
  <si>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</si>
  <si>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</si>
  <si>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</si>
  <si>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</si>
  <si>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</si>
  <si>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</si>
  <si>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</si>
  <si>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</si>
  <si>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</si>
  <si>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</si>
  <si>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</si>
  <si>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</si>
  <si>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</si>
  <si>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</si>
  <si>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</si>
  <si>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</si>
  <si>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</si>
  <si>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</si>
  <si>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</si>
  <si>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</si>
  <si>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</si>
  <si>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</si>
  <si>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</si>
  <si>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</si>
  <si>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</si>
  <si>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</si>
  <si>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</si>
  <si>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</si>
  <si>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</si>
  <si>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</si>
  <si>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</si>
  <si>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</si>
  <si>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</si>
  <si>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</si>
  <si>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</si>
  <si>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</si>
  <si>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</si>
  <si>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</si>
  <si>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</si>
  <si>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</si>
  <si>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</si>
  <si>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</si>
  <si>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</si>
  <si>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</si>
  <si>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</si>
  <si>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</si>
  <si>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</si>
  <si>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</si>
  <si>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</si>
  <si>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</si>
  <si>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</si>
  <si>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</si>
  <si>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</si>
  <si>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</si>
  <si>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</si>
  <si>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</si>
  <si>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</si>
  <si>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</si>
  <si>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</si>
  <si>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</si>
  <si>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</si>
  <si>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</si>
  <si>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</si>
  <si>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</si>
  <si>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</si>
  <si>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</si>
  <si>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</si>
  <si>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</si>
  <si>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</si>
  <si>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</si>
  <si>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</si>
  <si>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</si>
  <si>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</si>
  <si>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</si>
  <si>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</si>
  <si>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</si>
  <si>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</si>
  <si>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</si>
  <si>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</si>
  <si>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</si>
  <si>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</si>
  <si>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</si>
  <si>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</si>
  <si>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</si>
  <si>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</si>
  <si>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</si>
  <si>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</si>
  <si>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</si>
  <si>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</si>
  <si>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</si>
  <si>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</si>
  <si>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</si>
  <si>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</si>
  <si>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</si>
  <si>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</si>
  <si>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</si>
  <si>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</si>
  <si>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</si>
  <si>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</si>
  <si>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</si>
  <si>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</si>
  <si>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</si>
  <si>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</si>
  <si>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</si>
  <si>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</si>
  <si>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</si>
  <si>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</si>
  <si>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</si>
  <si>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</si>
  <si>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</si>
  <si>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</si>
  <si>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</si>
  <si>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</si>
  <si>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</si>
  <si>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</si>
  <si>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</si>
  <si>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</si>
  <si>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</si>
  <si>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</si>
  <si>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</si>
  <si>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</si>
  <si>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</si>
  <si>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</si>
  <si>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</si>
  <si>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</si>
  <si>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</si>
  <si>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</si>
  <si>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</si>
  <si>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</si>
  <si>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</si>
  <si>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</si>
  <si>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</si>
  <si>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</si>
  <si>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</si>
  <si>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</si>
  <si>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</si>
  <si>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</si>
  <si>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</si>
  <si>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</si>
  <si>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</si>
  <si>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</si>
  <si>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</si>
  <si>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</si>
  <si>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</si>
  <si>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</si>
  <si>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</si>
  <si>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</si>
  <si>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</si>
  <si>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</si>
  <si>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</si>
  <si>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</si>
  <si>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</si>
  <si>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</si>
  <si>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</si>
  <si>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</si>
  <si>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</si>
  <si>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</si>
  <si>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</si>
  <si>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</si>
  <si>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</si>
  <si>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</si>
  <si>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</si>
  <si>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</si>
  <si>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</si>
  <si>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</si>
  <si>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</si>
  <si>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</si>
  <si>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</si>
  <si>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</si>
  <si>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</si>
  <si>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</si>
  <si>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</si>
  <si>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</si>
  <si>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</si>
  <si>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</si>
  <si>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</si>
  <si>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</si>
  <si>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</si>
  <si>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</si>
  <si>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</si>
  <si>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</si>
  <si>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</si>
  <si>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</si>
  <si>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</si>
  <si>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WQ0035809</t>
  </si>
  <si>
    <t>Stateside WWTF</t>
  </si>
  <si>
    <t>2 X week</t>
  </si>
  <si>
    <t>3 X year</t>
  </si>
  <si>
    <t>5 X week</t>
  </si>
  <si>
    <t>6.0 - 9.0</t>
  </si>
  <si>
    <t>2 X month</t>
  </si>
  <si>
    <t>6.5 - 8.5</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</si>
</sst>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16" fontId="3" fillId="4" borderId="8"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T137"/>
  <sheetViews>
    <sheetView topLeftCell="A4" zoomScale="80" zoomScaleNormal="80" workbookViewId="0">
      <selection activeCell="O31" sqref="O3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396</v>
      </c>
      <c r="D1" s="114"/>
      <c r="E1" s="115" t="s">
        <v>62</v>
      </c>
      <c r="F1" s="116"/>
      <c r="G1" s="113" t="s">
        <v>397</v>
      </c>
      <c r="H1" s="117"/>
      <c r="I1" s="117"/>
      <c r="J1" s="117"/>
      <c r="K1" s="118"/>
      <c r="L1" s="12" t="s">
        <v>65</v>
      </c>
      <c r="M1" s="119" t="s">
        <v>153</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35</v>
      </c>
      <c r="H3" s="46" t="s">
        <v>27</v>
      </c>
      <c r="I3" s="18" t="s">
        <v>48</v>
      </c>
      <c r="J3" s="46" t="s">
        <v>24</v>
      </c>
      <c r="K3" s="18" t="s">
        <v>14</v>
      </c>
      <c r="L3" s="46" t="s">
        <v>33</v>
      </c>
      <c r="M3" s="18" t="s">
        <v>44</v>
      </c>
      <c r="N3" s="46">
        <v>70300</v>
      </c>
      <c r="O3" s="18" t="s">
        <v>45</v>
      </c>
      <c r="P3" s="46"/>
      <c r="Q3" s="18"/>
      <c r="R3" s="46"/>
      <c r="S3" s="28"/>
    </row>
    <row r="4" spans="1:20" ht="71.25" customHeight="1">
      <c r="A4" s="98"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Total Suspended Solids</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80" t="s">
        <v>72</v>
      </c>
      <c r="B38" s="106"/>
      <c r="C38" s="10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8" t="s">
        <v>73</v>
      </c>
      <c r="B39" s="109"/>
      <c r="C39" s="11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3" t="s">
        <v>362</v>
      </c>
      <c r="B40" s="104"/>
      <c r="C40" s="105"/>
      <c r="D40" s="64" t="s">
        <v>365</v>
      </c>
      <c r="E40" s="61" t="s">
        <v>363</v>
      </c>
      <c r="F40" s="60" t="s">
        <v>364</v>
      </c>
      <c r="G40" s="61" t="s">
        <v>364</v>
      </c>
      <c r="H40" s="60" t="s">
        <v>364</v>
      </c>
      <c r="I40" s="61" t="s">
        <v>363</v>
      </c>
      <c r="J40" s="60" t="s">
        <v>363</v>
      </c>
      <c r="K40" s="61" t="s">
        <v>363</v>
      </c>
      <c r="L40" s="60" t="s">
        <v>364</v>
      </c>
      <c r="M40" s="61" t="s">
        <v>363</v>
      </c>
      <c r="N40" s="60" t="s">
        <v>364</v>
      </c>
      <c r="O40" s="61" t="s">
        <v>363</v>
      </c>
      <c r="P40" s="60"/>
      <c r="Q40" s="61"/>
      <c r="R40" s="60"/>
      <c r="S40" s="62"/>
    </row>
    <row r="41" spans="1:19" ht="15" customHeight="1">
      <c r="A41" s="100" t="s">
        <v>373</v>
      </c>
      <c r="B41" s="101"/>
      <c r="C41" s="102"/>
      <c r="D41" s="65">
        <v>150000</v>
      </c>
      <c r="E41" s="6">
        <v>10</v>
      </c>
      <c r="F41" s="63"/>
      <c r="G41" s="6"/>
      <c r="H41" s="63">
        <v>14</v>
      </c>
      <c r="I41" s="6">
        <v>4</v>
      </c>
      <c r="J41" s="63">
        <v>10</v>
      </c>
      <c r="K41" s="6">
        <v>4</v>
      </c>
      <c r="L41" s="63"/>
      <c r="M41" s="6">
        <v>2</v>
      </c>
      <c r="N41" s="63"/>
      <c r="O41" s="6">
        <v>15</v>
      </c>
      <c r="P41" s="63"/>
      <c r="Q41" s="6"/>
      <c r="R41" s="63"/>
      <c r="S41" s="54"/>
    </row>
    <row r="42" spans="1:19" ht="15" customHeight="1">
      <c r="A42" s="80" t="s">
        <v>374</v>
      </c>
      <c r="B42" s="83"/>
      <c r="C42" s="84"/>
      <c r="D42" s="65"/>
      <c r="E42" s="6"/>
      <c r="F42" s="63"/>
      <c r="G42" s="6"/>
      <c r="H42" s="63"/>
      <c r="I42" s="6"/>
      <c r="J42" s="63"/>
      <c r="K42" s="6"/>
      <c r="L42" s="195" t="s">
        <v>401</v>
      </c>
      <c r="M42" s="6"/>
      <c r="N42" s="63"/>
      <c r="O42" s="6"/>
      <c r="P42" s="63"/>
      <c r="Q42" s="6"/>
      <c r="R42" s="63"/>
      <c r="S42" s="54"/>
    </row>
    <row r="43" spans="1:19" ht="15" customHeight="1">
      <c r="A43" s="80" t="s">
        <v>375</v>
      </c>
      <c r="B43" s="81"/>
      <c r="C43" s="82"/>
      <c r="D43" s="66" t="s">
        <v>395</v>
      </c>
      <c r="E43" s="67" t="s">
        <v>398</v>
      </c>
      <c r="F43" s="66" t="s">
        <v>399</v>
      </c>
      <c r="G43" s="67" t="s">
        <v>400</v>
      </c>
      <c r="H43" s="66" t="s">
        <v>398</v>
      </c>
      <c r="I43" s="67" t="s">
        <v>398</v>
      </c>
      <c r="J43" s="66" t="s">
        <v>398</v>
      </c>
      <c r="K43" s="67" t="s">
        <v>398</v>
      </c>
      <c r="L43" s="66" t="s">
        <v>400</v>
      </c>
      <c r="M43" s="67" t="s">
        <v>398</v>
      </c>
      <c r="N43" s="66" t="s">
        <v>399</v>
      </c>
      <c r="O43" s="67" t="s">
        <v>398</v>
      </c>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N40" sqref="N40"/>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396</v>
      </c>
      <c r="D1" s="114"/>
      <c r="E1" s="115" t="s">
        <v>62</v>
      </c>
      <c r="F1" s="116"/>
      <c r="G1" s="113" t="s">
        <v>397</v>
      </c>
      <c r="H1" s="117"/>
      <c r="I1" s="117"/>
      <c r="J1" s="117"/>
      <c r="K1" s="118"/>
      <c r="L1" s="78" t="s">
        <v>65</v>
      </c>
      <c r="M1" s="119" t="s">
        <v>153</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35</v>
      </c>
      <c r="H3" s="46" t="s">
        <v>48</v>
      </c>
      <c r="I3" s="18" t="s">
        <v>24</v>
      </c>
      <c r="J3" s="46" t="s">
        <v>14</v>
      </c>
      <c r="K3" s="18" t="s">
        <v>33</v>
      </c>
      <c r="L3" s="46" t="s">
        <v>44</v>
      </c>
      <c r="M3" s="18">
        <v>70300</v>
      </c>
      <c r="N3" s="46" t="s">
        <v>41</v>
      </c>
      <c r="O3" s="18"/>
      <c r="P3" s="46"/>
      <c r="Q3" s="18"/>
      <c r="R3" s="46"/>
      <c r="S3" s="28"/>
    </row>
    <row r="4" spans="1:20" ht="71.25" customHeight="1">
      <c r="A4" s="98"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Organic Carbon</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80" t="s">
        <v>72</v>
      </c>
      <c r="B38" s="106"/>
      <c r="C38" s="10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8" t="s">
        <v>73</v>
      </c>
      <c r="B39" s="109"/>
      <c r="C39" s="11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3" t="s">
        <v>362</v>
      </c>
      <c r="B40" s="104"/>
      <c r="C40" s="105"/>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100" t="s">
        <v>373</v>
      </c>
      <c r="B41" s="101"/>
      <c r="C41" s="102"/>
      <c r="D41" s="65"/>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195"/>
      <c r="M42" s="6"/>
      <c r="N42" s="63"/>
      <c r="O42" s="6"/>
      <c r="P42" s="63"/>
      <c r="Q42" s="6"/>
      <c r="R42" s="63"/>
      <c r="S42" s="54"/>
    </row>
    <row r="43" spans="1:19" ht="15" customHeight="1">
      <c r="A43" s="80" t="s">
        <v>375</v>
      </c>
      <c r="B43" s="81"/>
      <c r="C43" s="82"/>
      <c r="D43" s="66" t="s">
        <v>395</v>
      </c>
      <c r="E43" s="67" t="s">
        <v>402</v>
      </c>
      <c r="F43" s="66" t="s">
        <v>399</v>
      </c>
      <c r="G43" s="67" t="s">
        <v>402</v>
      </c>
      <c r="H43" s="66" t="s">
        <v>402</v>
      </c>
      <c r="I43" s="67" t="s">
        <v>402</v>
      </c>
      <c r="J43" s="66" t="s">
        <v>402</v>
      </c>
      <c r="K43" s="67" t="s">
        <v>402</v>
      </c>
      <c r="L43" s="66" t="s">
        <v>402</v>
      </c>
      <c r="M43" s="67" t="s">
        <v>399</v>
      </c>
      <c r="N43" s="66" t="s">
        <v>399</v>
      </c>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topLeftCell="A3" zoomScale="80" zoomScaleNormal="80" workbookViewId="0">
      <selection activeCell="P34" sqref="P34"/>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396</v>
      </c>
      <c r="D1" s="114"/>
      <c r="E1" s="115" t="s">
        <v>62</v>
      </c>
      <c r="F1" s="116"/>
      <c r="G1" s="113" t="s">
        <v>397</v>
      </c>
      <c r="H1" s="117"/>
      <c r="I1" s="117"/>
      <c r="J1" s="117"/>
      <c r="K1" s="118"/>
      <c r="L1" s="78" t="s">
        <v>65</v>
      </c>
      <c r="M1" s="119" t="s">
        <v>153</v>
      </c>
      <c r="N1" s="92"/>
      <c r="O1" s="78" t="s">
        <v>63</v>
      </c>
      <c r="P1" s="91"/>
      <c r="Q1" s="92"/>
      <c r="R1" s="79" t="s">
        <v>64</v>
      </c>
      <c r="S1" s="25"/>
      <c r="T1" s="3"/>
    </row>
    <row r="2" spans="1:20" ht="22.5" customHeight="1" thickBot="1">
      <c r="A2" s="93" t="s">
        <v>67</v>
      </c>
      <c r="B2" s="94"/>
      <c r="C2" s="14" t="s">
        <v>201</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35</v>
      </c>
      <c r="H3" s="46" t="s">
        <v>48</v>
      </c>
      <c r="I3" s="18" t="s">
        <v>24</v>
      </c>
      <c r="J3" s="46" t="s">
        <v>14</v>
      </c>
      <c r="K3" s="18" t="s">
        <v>33</v>
      </c>
      <c r="L3" s="46" t="s">
        <v>44</v>
      </c>
      <c r="M3" s="18">
        <v>70300</v>
      </c>
      <c r="N3" s="46" t="s">
        <v>41</v>
      </c>
      <c r="O3" s="18"/>
      <c r="P3" s="46"/>
      <c r="Q3" s="18"/>
      <c r="R3" s="46"/>
      <c r="S3" s="28"/>
    </row>
    <row r="4" spans="1:20" ht="71.25" customHeight="1">
      <c r="A4" s="98"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Organic Carbon</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80" t="s">
        <v>72</v>
      </c>
      <c r="B38" s="106"/>
      <c r="C38" s="10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8" t="s">
        <v>73</v>
      </c>
      <c r="B39" s="109"/>
      <c r="C39" s="11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3" t="s">
        <v>362</v>
      </c>
      <c r="B40" s="104"/>
      <c r="C40" s="105"/>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100" t="s">
        <v>373</v>
      </c>
      <c r="B41" s="101"/>
      <c r="C41" s="102"/>
      <c r="D41" s="65"/>
      <c r="E41" s="6"/>
      <c r="F41" s="63"/>
      <c r="G41" s="6"/>
      <c r="H41" s="63"/>
      <c r="I41" s="6"/>
      <c r="J41" s="63"/>
      <c r="K41" s="6"/>
      <c r="L41" s="63"/>
      <c r="M41" s="6"/>
      <c r="N41" s="63"/>
      <c r="O41" s="6"/>
      <c r="P41" s="63"/>
      <c r="Q41" s="6"/>
      <c r="R41" s="63"/>
      <c r="S41" s="54"/>
    </row>
    <row r="42" spans="1:19" ht="15" customHeight="1">
      <c r="A42" s="80" t="s">
        <v>374</v>
      </c>
      <c r="B42" s="83"/>
      <c r="C42" s="84"/>
      <c r="D42" s="65"/>
      <c r="E42" s="6"/>
      <c r="F42" s="63">
        <v>250</v>
      </c>
      <c r="G42" s="6"/>
      <c r="H42" s="63">
        <v>1.5</v>
      </c>
      <c r="I42" s="6">
        <v>10</v>
      </c>
      <c r="J42" s="63"/>
      <c r="K42" s="6" t="s">
        <v>403</v>
      </c>
      <c r="L42" s="195"/>
      <c r="M42" s="6">
        <v>500</v>
      </c>
      <c r="N42" s="63"/>
      <c r="O42" s="6"/>
      <c r="P42" s="63"/>
      <c r="Q42" s="6"/>
      <c r="R42" s="63"/>
      <c r="S42" s="54"/>
    </row>
    <row r="43" spans="1:19" ht="15" customHeight="1">
      <c r="A43" s="80" t="s">
        <v>375</v>
      </c>
      <c r="B43" s="81"/>
      <c r="C43" s="82"/>
      <c r="D43" s="66" t="s">
        <v>395</v>
      </c>
      <c r="E43" s="67" t="s">
        <v>402</v>
      </c>
      <c r="F43" s="66" t="s">
        <v>399</v>
      </c>
      <c r="G43" s="67" t="s">
        <v>402</v>
      </c>
      <c r="H43" s="66" t="s">
        <v>402</v>
      </c>
      <c r="I43" s="67" t="s">
        <v>402</v>
      </c>
      <c r="J43" s="66" t="s">
        <v>402</v>
      </c>
      <c r="K43" s="67" t="s">
        <v>402</v>
      </c>
      <c r="L43" s="66" t="s">
        <v>402</v>
      </c>
      <c r="M43" s="67" t="s">
        <v>399</v>
      </c>
      <c r="N43" s="66" t="s">
        <v>399</v>
      </c>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2" sqref="C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396</v>
      </c>
      <c r="D1" s="114"/>
      <c r="E1" s="115" t="s">
        <v>62</v>
      </c>
      <c r="F1" s="116"/>
      <c r="G1" s="113" t="s">
        <v>397</v>
      </c>
      <c r="H1" s="117"/>
      <c r="I1" s="117"/>
      <c r="J1" s="117"/>
      <c r="K1" s="118"/>
      <c r="L1" s="78" t="s">
        <v>65</v>
      </c>
      <c r="M1" s="119" t="s">
        <v>153</v>
      </c>
      <c r="N1" s="92"/>
      <c r="O1" s="78" t="s">
        <v>63</v>
      </c>
      <c r="P1" s="91"/>
      <c r="Q1" s="92"/>
      <c r="R1" s="79" t="s">
        <v>64</v>
      </c>
      <c r="S1" s="25"/>
      <c r="T1" s="3"/>
    </row>
    <row r="2" spans="1:20" ht="22.5" customHeight="1" thickBot="1">
      <c r="A2" s="93" t="s">
        <v>67</v>
      </c>
      <c r="B2" s="94"/>
      <c r="C2" s="14" t="s">
        <v>202</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35</v>
      </c>
      <c r="H3" s="46" t="s">
        <v>48</v>
      </c>
      <c r="I3" s="18" t="s">
        <v>24</v>
      </c>
      <c r="J3" s="46" t="s">
        <v>14</v>
      </c>
      <c r="K3" s="18" t="s">
        <v>33</v>
      </c>
      <c r="L3" s="46" t="s">
        <v>44</v>
      </c>
      <c r="M3" s="18">
        <v>70300</v>
      </c>
      <c r="N3" s="46" t="s">
        <v>41</v>
      </c>
      <c r="O3" s="18"/>
      <c r="P3" s="46"/>
      <c r="Q3" s="18"/>
      <c r="R3" s="46"/>
      <c r="S3" s="28"/>
    </row>
    <row r="4" spans="1:20" ht="71.25" customHeight="1">
      <c r="A4" s="98"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Organic Carbon</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80" t="s">
        <v>72</v>
      </c>
      <c r="B38" s="106"/>
      <c r="C38" s="10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8" t="s">
        <v>73</v>
      </c>
      <c r="B39" s="109"/>
      <c r="C39" s="11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3" t="s">
        <v>362</v>
      </c>
      <c r="B40" s="104"/>
      <c r="C40" s="105"/>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100" t="s">
        <v>373</v>
      </c>
      <c r="B41" s="101"/>
      <c r="C41" s="102"/>
      <c r="D41" s="65"/>
      <c r="E41" s="6"/>
      <c r="F41" s="63"/>
      <c r="G41" s="6"/>
      <c r="H41" s="63"/>
      <c r="I41" s="6"/>
      <c r="J41" s="63"/>
      <c r="K41" s="6"/>
      <c r="L41" s="63"/>
      <c r="M41" s="6"/>
      <c r="N41" s="63"/>
      <c r="O41" s="6"/>
      <c r="P41" s="63"/>
      <c r="Q41" s="6"/>
      <c r="R41" s="63"/>
      <c r="S41" s="54"/>
    </row>
    <row r="42" spans="1:19" ht="15" customHeight="1">
      <c r="A42" s="80" t="s">
        <v>374</v>
      </c>
      <c r="B42" s="83"/>
      <c r="C42" s="84"/>
      <c r="D42" s="65"/>
      <c r="E42" s="6"/>
      <c r="F42" s="63">
        <v>250</v>
      </c>
      <c r="G42" s="6"/>
      <c r="H42" s="63">
        <v>1.5</v>
      </c>
      <c r="I42" s="6">
        <v>10</v>
      </c>
      <c r="J42" s="63"/>
      <c r="K42" s="6" t="s">
        <v>403</v>
      </c>
      <c r="L42" s="195"/>
      <c r="M42" s="6">
        <v>500</v>
      </c>
      <c r="N42" s="63"/>
      <c r="O42" s="6"/>
      <c r="P42" s="63"/>
      <c r="Q42" s="6"/>
      <c r="R42" s="63"/>
      <c r="S42" s="54"/>
    </row>
    <row r="43" spans="1:19" ht="15" customHeight="1">
      <c r="A43" s="80" t="s">
        <v>375</v>
      </c>
      <c r="B43" s="81"/>
      <c r="C43" s="82"/>
      <c r="D43" s="66" t="s">
        <v>395</v>
      </c>
      <c r="E43" s="67" t="s">
        <v>402</v>
      </c>
      <c r="F43" s="66" t="s">
        <v>399</v>
      </c>
      <c r="G43" s="67" t="s">
        <v>402</v>
      </c>
      <c r="H43" s="66" t="s">
        <v>402</v>
      </c>
      <c r="I43" s="67" t="s">
        <v>402</v>
      </c>
      <c r="J43" s="66" t="s">
        <v>402</v>
      </c>
      <c r="K43" s="67" t="s">
        <v>402</v>
      </c>
      <c r="L43" s="66" t="s">
        <v>402</v>
      </c>
      <c r="M43" s="67" t="s">
        <v>399</v>
      </c>
      <c r="N43" s="66" t="s">
        <v>399</v>
      </c>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137"/>
  <sheetViews>
    <sheetView topLeftCell="A4" zoomScale="80" zoomScaleNormal="80" workbookViewId="0">
      <selection activeCell="G43" sqref="G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396</v>
      </c>
      <c r="D1" s="114"/>
      <c r="E1" s="115" t="s">
        <v>62</v>
      </c>
      <c r="F1" s="116"/>
      <c r="G1" s="113" t="s">
        <v>397</v>
      </c>
      <c r="H1" s="117"/>
      <c r="I1" s="117"/>
      <c r="J1" s="117"/>
      <c r="K1" s="118"/>
      <c r="L1" s="78" t="s">
        <v>65</v>
      </c>
      <c r="M1" s="119" t="s">
        <v>153</v>
      </c>
      <c r="N1" s="92"/>
      <c r="O1" s="78" t="s">
        <v>63</v>
      </c>
      <c r="P1" s="91"/>
      <c r="Q1" s="92"/>
      <c r="R1" s="79" t="s">
        <v>64</v>
      </c>
      <c r="S1" s="25"/>
      <c r="T1" s="3"/>
    </row>
    <row r="2" spans="1:20" ht="22.5" customHeight="1" thickBot="1">
      <c r="A2" s="93" t="s">
        <v>67</v>
      </c>
      <c r="B2" s="94"/>
      <c r="C2" s="14" t="s">
        <v>203</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48</v>
      </c>
      <c r="F3" s="46" t="s">
        <v>14</v>
      </c>
      <c r="G3" s="18" t="s">
        <v>22</v>
      </c>
      <c r="H3" s="46" t="s">
        <v>33</v>
      </c>
      <c r="I3" s="18" t="s">
        <v>44</v>
      </c>
      <c r="J3" s="46"/>
      <c r="K3" s="18"/>
      <c r="L3" s="46"/>
      <c r="M3" s="18"/>
      <c r="N3" s="46"/>
      <c r="O3" s="18"/>
      <c r="P3" s="46"/>
      <c r="Q3" s="18"/>
      <c r="R3" s="46"/>
      <c r="S3" s="28"/>
    </row>
    <row r="4" spans="1:20" ht="71.25" customHeight="1">
      <c r="A4" s="98" t="s">
        <v>69</v>
      </c>
      <c r="B4" s="15" t="s">
        <v>379</v>
      </c>
      <c r="C4" s="16" t="s">
        <v>380</v>
      </c>
      <c r="D4" s="36" t="s">
        <v>230</v>
      </c>
      <c r="E4" s="47" t="str">
        <f>IF(ISBLANK(E$3), " ", VLOOKUP(E$3,'PCS Parameter Codes'!$A$1:$D$76,2,FALSE))</f>
        <v>Ammonia</v>
      </c>
      <c r="F4" s="48" t="str">
        <f>IF(ISBLANK(F$3), " ", VLOOKUP(F$3,'PCS Parameter Codes'!$A$1:$D$76,2,FALSE))</f>
        <v>Total Nitrogen</v>
      </c>
      <c r="G4" s="47" t="str">
        <f>IF(ISBLANK(G$3), " ", VLOOKUP(G$3,'PCS Parameter Codes'!$A$1:$D$76,2,FALSE))</f>
        <v>Dissolved Oxygen</v>
      </c>
      <c r="H4" s="48" t="str">
        <f>IF(ISBLANK(H$3), " ", VLOOKUP(H$3,'PCS Parameter Codes'!$A$1:$D$76,2,FALSE))</f>
        <v>pH</v>
      </c>
      <c r="I4" s="47" t="str">
        <f>IF(ISBLANK(I$3), " ", VLOOKUP(I$3,'PCS Parameter Codes'!$A$1:$D$76,2,FALSE))</f>
        <v>Total Phosphorus</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su</v>
      </c>
      <c r="I5" s="34" t="str">
        <f>IF(ISBLANK(I$3), " ", VLOOKUP(I$3,'PCS Parameter Codes'!$A$1:$D$76,4,FALSE))</f>
        <v>mg/L</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80" t="s">
        <v>72</v>
      </c>
      <c r="B38" s="106"/>
      <c r="C38" s="10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8" t="s">
        <v>73</v>
      </c>
      <c r="B39" s="109"/>
      <c r="C39" s="11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3" t="s">
        <v>362</v>
      </c>
      <c r="B40" s="104"/>
      <c r="C40" s="105"/>
      <c r="D40" s="64"/>
      <c r="E40" s="61" t="s">
        <v>364</v>
      </c>
      <c r="F40" s="60" t="s">
        <v>364</v>
      </c>
      <c r="G40" s="61" t="s">
        <v>364</v>
      </c>
      <c r="H40" s="60" t="s">
        <v>364</v>
      </c>
      <c r="I40" s="61" t="s">
        <v>364</v>
      </c>
      <c r="J40" s="60"/>
      <c r="K40" s="61"/>
      <c r="L40" s="60"/>
      <c r="M40" s="61"/>
      <c r="N40" s="60"/>
      <c r="O40" s="61"/>
      <c r="P40" s="60"/>
      <c r="Q40" s="61"/>
      <c r="R40" s="60"/>
      <c r="S40" s="62"/>
    </row>
    <row r="41" spans="1:19" ht="15" customHeight="1">
      <c r="A41" s="100" t="s">
        <v>373</v>
      </c>
      <c r="B41" s="101"/>
      <c r="C41" s="102"/>
      <c r="D41" s="65"/>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195"/>
      <c r="M42" s="6"/>
      <c r="N42" s="63"/>
      <c r="O42" s="6"/>
      <c r="P42" s="63"/>
      <c r="Q42" s="6"/>
      <c r="R42" s="63"/>
      <c r="S42" s="54"/>
    </row>
    <row r="43" spans="1:19" ht="15" customHeight="1">
      <c r="A43" s="80" t="s">
        <v>375</v>
      </c>
      <c r="B43" s="81"/>
      <c r="C43" s="82"/>
      <c r="D43" s="66"/>
      <c r="E43" s="67" t="s">
        <v>402</v>
      </c>
      <c r="F43" s="66" t="s">
        <v>402</v>
      </c>
      <c r="G43" s="67" t="s">
        <v>402</v>
      </c>
      <c r="H43" s="66" t="s">
        <v>402</v>
      </c>
      <c r="I43" s="67" t="s">
        <v>402</v>
      </c>
      <c r="J43" s="66"/>
      <c r="K43" s="67"/>
      <c r="L43" s="66"/>
      <c r="M43" s="67"/>
      <c r="N43" s="66"/>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6.xml><?xml version="1.0" encoding="utf-8"?>
<worksheet xmlns="http://schemas.openxmlformats.org/spreadsheetml/2006/main" xmlns:r="http://schemas.openxmlformats.org/officeDocument/2006/relationships">
  <dimension ref="A1:T137"/>
  <sheetViews>
    <sheetView tabSelected="1" zoomScale="80" zoomScaleNormal="80" workbookViewId="0">
      <selection activeCell="C2" sqref="C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396</v>
      </c>
      <c r="D1" s="114"/>
      <c r="E1" s="115" t="s">
        <v>62</v>
      </c>
      <c r="F1" s="116"/>
      <c r="G1" s="113" t="s">
        <v>397</v>
      </c>
      <c r="H1" s="117"/>
      <c r="I1" s="117"/>
      <c r="J1" s="117"/>
      <c r="K1" s="118"/>
      <c r="L1" s="78" t="s">
        <v>65</v>
      </c>
      <c r="M1" s="119" t="s">
        <v>153</v>
      </c>
      <c r="N1" s="92"/>
      <c r="O1" s="78" t="s">
        <v>63</v>
      </c>
      <c r="P1" s="91"/>
      <c r="Q1" s="92"/>
      <c r="R1" s="79" t="s">
        <v>64</v>
      </c>
      <c r="S1" s="25"/>
      <c r="T1" s="3"/>
    </row>
    <row r="2" spans="1:20" ht="22.5" customHeight="1" thickBot="1">
      <c r="A2" s="93" t="s">
        <v>67</v>
      </c>
      <c r="B2" s="94"/>
      <c r="C2" s="14" t="s">
        <v>204</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48</v>
      </c>
      <c r="F3" s="46" t="s">
        <v>14</v>
      </c>
      <c r="G3" s="18" t="s">
        <v>22</v>
      </c>
      <c r="H3" s="46" t="s">
        <v>33</v>
      </c>
      <c r="I3" s="18" t="s">
        <v>44</v>
      </c>
      <c r="J3" s="46"/>
      <c r="K3" s="18"/>
      <c r="L3" s="46"/>
      <c r="M3" s="18"/>
      <c r="N3" s="46"/>
      <c r="O3" s="18"/>
      <c r="P3" s="46"/>
      <c r="Q3" s="18"/>
      <c r="R3" s="46"/>
      <c r="S3" s="28"/>
    </row>
    <row r="4" spans="1:20" ht="71.25" customHeight="1">
      <c r="A4" s="98" t="s">
        <v>69</v>
      </c>
      <c r="B4" s="15" t="s">
        <v>379</v>
      </c>
      <c r="C4" s="16" t="s">
        <v>380</v>
      </c>
      <c r="D4" s="36" t="s">
        <v>230</v>
      </c>
      <c r="E4" s="47" t="str">
        <f>IF(ISBLANK(E$3), " ", VLOOKUP(E$3,'PCS Parameter Codes'!$A$1:$D$76,2,FALSE))</f>
        <v>Ammonia</v>
      </c>
      <c r="F4" s="48" t="str">
        <f>IF(ISBLANK(F$3), " ", VLOOKUP(F$3,'PCS Parameter Codes'!$A$1:$D$76,2,FALSE))</f>
        <v>Total Nitrogen</v>
      </c>
      <c r="G4" s="47" t="str">
        <f>IF(ISBLANK(G$3), " ", VLOOKUP(G$3,'PCS Parameter Codes'!$A$1:$D$76,2,FALSE))</f>
        <v>Dissolved Oxygen</v>
      </c>
      <c r="H4" s="48" t="str">
        <f>IF(ISBLANK(H$3), " ", VLOOKUP(H$3,'PCS Parameter Codes'!$A$1:$D$76,2,FALSE))</f>
        <v>pH</v>
      </c>
      <c r="I4" s="47" t="str">
        <f>IF(ISBLANK(I$3), " ", VLOOKUP(I$3,'PCS Parameter Codes'!$A$1:$D$76,2,FALSE))</f>
        <v>Total Phosphorus</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su</v>
      </c>
      <c r="I5" s="34" t="str">
        <f>IF(ISBLANK(I$3), " ", VLOOKUP(I$3,'PCS Parameter Codes'!$A$1:$D$76,4,FALSE))</f>
        <v>mg/L</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80" t="s">
        <v>72</v>
      </c>
      <c r="B38" s="106"/>
      <c r="C38" s="10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8" t="s">
        <v>73</v>
      </c>
      <c r="B39" s="109"/>
      <c r="C39" s="11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3" t="s">
        <v>362</v>
      </c>
      <c r="B40" s="104"/>
      <c r="C40" s="105"/>
      <c r="D40" s="64"/>
      <c r="E40" s="61" t="s">
        <v>364</v>
      </c>
      <c r="F40" s="60" t="s">
        <v>364</v>
      </c>
      <c r="G40" s="61" t="s">
        <v>364</v>
      </c>
      <c r="H40" s="60" t="s">
        <v>364</v>
      </c>
      <c r="I40" s="61" t="s">
        <v>364</v>
      </c>
      <c r="J40" s="60"/>
      <c r="K40" s="61"/>
      <c r="L40" s="60"/>
      <c r="M40" s="61"/>
      <c r="N40" s="60"/>
      <c r="O40" s="61"/>
      <c r="P40" s="60"/>
      <c r="Q40" s="61"/>
      <c r="R40" s="60"/>
      <c r="S40" s="62"/>
    </row>
    <row r="41" spans="1:19" ht="15" customHeight="1">
      <c r="A41" s="100" t="s">
        <v>373</v>
      </c>
      <c r="B41" s="101"/>
      <c r="C41" s="102"/>
      <c r="D41" s="65"/>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195"/>
      <c r="M42" s="6"/>
      <c r="N42" s="63"/>
      <c r="O42" s="6"/>
      <c r="P42" s="63"/>
      <c r="Q42" s="6"/>
      <c r="R42" s="63"/>
      <c r="S42" s="54"/>
    </row>
    <row r="43" spans="1:19" ht="15" customHeight="1">
      <c r="A43" s="80" t="s">
        <v>375</v>
      </c>
      <c r="B43" s="81"/>
      <c r="C43" s="82"/>
      <c r="D43" s="66"/>
      <c r="E43" s="67" t="s">
        <v>402</v>
      </c>
      <c r="F43" s="66" t="s">
        <v>402</v>
      </c>
      <c r="G43" s="67" t="s">
        <v>402</v>
      </c>
      <c r="H43" s="66" t="s">
        <v>402</v>
      </c>
      <c r="I43" s="67" t="s">
        <v>402</v>
      </c>
      <c r="J43" s="66"/>
      <c r="K43" s="67"/>
      <c r="L43" s="66"/>
      <c r="M43" s="67"/>
      <c r="N43" s="66"/>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7.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1" t="s">
        <v>219</v>
      </c>
      <c r="B9" s="152"/>
      <c r="C9" s="153"/>
      <c r="D9" s="154"/>
      <c r="E9" s="154"/>
      <c r="F9" s="154"/>
      <c r="G9" s="154"/>
      <c r="H9" s="154"/>
      <c r="I9" s="154"/>
      <c r="J9" s="155"/>
      <c r="K9" s="156" t="s">
        <v>215</v>
      </c>
      <c r="L9" s="152"/>
      <c r="M9" s="153"/>
      <c r="N9" s="154"/>
      <c r="O9" s="154"/>
      <c r="P9" s="154"/>
      <c r="Q9" s="154"/>
      <c r="R9" s="154"/>
      <c r="S9" s="157"/>
    </row>
    <row r="10" spans="1:20" ht="30.75" customHeight="1">
      <c r="A10" s="158" t="s">
        <v>220</v>
      </c>
      <c r="B10" s="159"/>
      <c r="C10" s="159"/>
      <c r="D10" s="134"/>
      <c r="E10" s="137"/>
      <c r="F10" s="137"/>
      <c r="G10" s="137"/>
      <c r="H10" s="137"/>
      <c r="I10" s="137"/>
      <c r="J10" s="160"/>
      <c r="K10" s="161" t="s">
        <v>216</v>
      </c>
      <c r="L10" s="159"/>
      <c r="M10" s="150"/>
      <c r="N10" s="137"/>
      <c r="O10" s="137"/>
      <c r="P10" s="137"/>
      <c r="Q10" s="137"/>
      <c r="R10" s="137"/>
      <c r="S10" s="138"/>
    </row>
    <row r="11" spans="1:20" ht="30.75" customHeight="1">
      <c r="A11" s="158" t="s">
        <v>221</v>
      </c>
      <c r="B11" s="159"/>
      <c r="C11" s="134"/>
      <c r="D11" s="134"/>
      <c r="E11" s="162" t="s">
        <v>78</v>
      </c>
      <c r="F11" s="159"/>
      <c r="G11" s="134"/>
      <c r="H11" s="137"/>
      <c r="I11" s="137"/>
      <c r="J11" s="160"/>
      <c r="K11" s="161" t="s">
        <v>217</v>
      </c>
      <c r="L11" s="159"/>
      <c r="M11" s="159"/>
      <c r="N11" s="150"/>
      <c r="O11" s="137"/>
      <c r="P11" s="137"/>
      <c r="Q11" s="137"/>
      <c r="R11" s="137"/>
      <c r="S11" s="138"/>
    </row>
    <row r="12" spans="1:20" ht="30.75" customHeight="1">
      <c r="A12" s="165" t="s">
        <v>222</v>
      </c>
      <c r="B12" s="166"/>
      <c r="C12" s="166"/>
      <c r="D12" s="166"/>
      <c r="E12" s="166"/>
      <c r="F12" s="166"/>
      <c r="G12" s="166"/>
      <c r="H12" s="166"/>
      <c r="I12" s="166"/>
      <c r="J12" s="167"/>
      <c r="K12" s="161" t="s">
        <v>218</v>
      </c>
      <c r="L12" s="159"/>
      <c r="M12" s="134"/>
      <c r="N12" s="137"/>
      <c r="O12" s="137"/>
      <c r="P12" s="168" t="s">
        <v>361</v>
      </c>
      <c r="Q12" s="159"/>
      <c r="R12" s="169"/>
      <c r="S12" s="170"/>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79</v>
      </c>
      <c r="B15" s="176"/>
      <c r="C15" s="176"/>
      <c r="D15" s="176"/>
      <c r="E15" s="176"/>
      <c r="F15" s="176"/>
      <c r="G15" s="176"/>
      <c r="H15" s="192"/>
      <c r="I15" s="177" t="s">
        <v>2</v>
      </c>
      <c r="J15" s="178"/>
      <c r="K15" s="179" t="s">
        <v>79</v>
      </c>
      <c r="L15" s="180"/>
      <c r="M15" s="180"/>
      <c r="N15" s="180"/>
      <c r="O15" s="180"/>
      <c r="P15" s="180"/>
      <c r="Q15" s="192"/>
      <c r="R15" s="179" t="s">
        <v>2</v>
      </c>
      <c r="S15" s="181"/>
    </row>
    <row r="16" spans="1:20" ht="68.25" customHeight="1" thickBot="1">
      <c r="A16" s="182" t="s">
        <v>80</v>
      </c>
      <c r="B16" s="183"/>
      <c r="C16" s="183"/>
      <c r="D16" s="183"/>
      <c r="E16" s="183"/>
      <c r="F16" s="183"/>
      <c r="G16" s="183"/>
      <c r="H16" s="183"/>
      <c r="I16" s="183"/>
      <c r="J16" s="184"/>
      <c r="K16" s="185" t="s">
        <v>81</v>
      </c>
      <c r="L16" s="183"/>
      <c r="M16" s="183"/>
      <c r="N16" s="183"/>
      <c r="O16" s="183"/>
      <c r="P16" s="183"/>
      <c r="Q16" s="183"/>
      <c r="R16" s="183"/>
      <c r="S16" s="186"/>
    </row>
    <row r="17" spans="1:19" ht="15" customHeight="1">
      <c r="A17" s="163"/>
      <c r="B17" s="164"/>
      <c r="C17" s="164"/>
      <c r="D17" s="164"/>
      <c r="E17" s="164"/>
      <c r="F17" s="164"/>
      <c r="G17" s="164"/>
      <c r="H17" s="164"/>
      <c r="I17" s="164"/>
      <c r="J17" s="164"/>
      <c r="K17" s="164"/>
      <c r="L17" s="164"/>
      <c r="M17" s="164"/>
      <c r="N17" s="164"/>
      <c r="O17" s="164"/>
      <c r="P17" s="164"/>
      <c r="Q17" s="164"/>
      <c r="R17" s="164"/>
      <c r="S17" s="164"/>
    </row>
    <row r="18" spans="1:19" ht="15" customHeight="1">
      <c r="A18" s="163" t="s">
        <v>85</v>
      </c>
      <c r="B18" s="164"/>
      <c r="C18" s="164"/>
      <c r="D18" s="164"/>
      <c r="E18" s="164"/>
      <c r="F18" s="164"/>
      <c r="G18" s="164"/>
      <c r="H18" s="164"/>
      <c r="I18" s="164"/>
      <c r="J18" s="164"/>
      <c r="K18" s="164"/>
      <c r="L18" s="164"/>
      <c r="M18" s="164"/>
      <c r="N18" s="164"/>
      <c r="O18" s="164"/>
      <c r="P18" s="164"/>
      <c r="Q18" s="164"/>
      <c r="R18" s="164"/>
      <c r="S18" s="164"/>
    </row>
    <row r="19" spans="1:19" ht="15" customHeight="1">
      <c r="A19" s="163" t="s">
        <v>55</v>
      </c>
      <c r="B19" s="164"/>
      <c r="C19" s="164"/>
      <c r="D19" s="164"/>
      <c r="E19" s="164"/>
      <c r="F19" s="164"/>
      <c r="G19" s="164"/>
      <c r="H19" s="164"/>
      <c r="I19" s="164"/>
      <c r="J19" s="164"/>
      <c r="K19" s="164"/>
      <c r="L19" s="164"/>
      <c r="M19" s="164"/>
      <c r="N19" s="164"/>
      <c r="O19" s="164"/>
      <c r="P19" s="164"/>
      <c r="Q19" s="164"/>
      <c r="R19" s="164"/>
      <c r="S19" s="164"/>
    </row>
    <row r="20" spans="1:19" ht="15" customHeight="1">
      <c r="A20" s="163" t="s">
        <v>68</v>
      </c>
      <c r="B20" s="164"/>
      <c r="C20" s="164"/>
      <c r="D20" s="164"/>
      <c r="E20" s="164"/>
      <c r="F20" s="164"/>
      <c r="G20" s="164"/>
      <c r="H20" s="164"/>
      <c r="I20" s="164"/>
      <c r="J20" s="164"/>
      <c r="K20" s="164"/>
      <c r="L20" s="164"/>
      <c r="M20" s="164"/>
      <c r="N20" s="164"/>
      <c r="O20" s="164"/>
      <c r="P20" s="164"/>
      <c r="Q20" s="164"/>
      <c r="R20" s="164"/>
      <c r="S20" s="164"/>
    </row>
    <row r="21" spans="1:19" ht="15" customHeight="1">
      <c r="A21" s="163" t="s">
        <v>1</v>
      </c>
      <c r="B21" s="164"/>
      <c r="C21" s="164"/>
      <c r="D21" s="164"/>
      <c r="E21" s="164"/>
      <c r="F21" s="164"/>
      <c r="G21" s="164"/>
      <c r="H21" s="164"/>
      <c r="I21" s="164"/>
      <c r="J21" s="164"/>
      <c r="K21" s="164"/>
      <c r="L21" s="164"/>
      <c r="M21" s="164"/>
      <c r="N21" s="164"/>
      <c r="O21" s="164"/>
      <c r="P21" s="164"/>
      <c r="Q21" s="164"/>
      <c r="R21" s="164"/>
      <c r="S21" s="164"/>
    </row>
    <row r="22" spans="1:19" ht="15" customHeight="1">
      <c r="A22" s="163" t="s">
        <v>84</v>
      </c>
      <c r="B22" s="164"/>
      <c r="C22" s="164"/>
      <c r="D22" s="164"/>
      <c r="E22" s="164"/>
      <c r="F22" s="164"/>
      <c r="G22" s="164"/>
      <c r="H22" s="164"/>
      <c r="I22" s="164"/>
      <c r="J22" s="164"/>
      <c r="K22" s="164"/>
      <c r="L22" s="164"/>
      <c r="M22" s="164"/>
      <c r="N22" s="164"/>
      <c r="O22" s="164"/>
      <c r="P22" s="164"/>
      <c r="Q22" s="164"/>
      <c r="R22" s="164"/>
      <c r="S22" s="164"/>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PPI 001</vt:lpstr>
      <vt:lpstr>PPI 002</vt:lpstr>
      <vt:lpstr>PPI 003</vt:lpstr>
      <vt:lpstr>PPI 004</vt:lpstr>
      <vt:lpstr>PPI 005</vt:lpstr>
      <vt:lpstr>PPI 006</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'PPI 005'!Print_Area</vt:lpstr>
      <vt:lpstr>'PPI 006'!Print_Area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2011-08-24T14:57:31Z</cp:lastPrinted>
  <dcterms:created xsi:type="dcterms:W3CDTF">2003-04-30T19:20:22Z</dcterms:created>
  <dcterms:modified xsi:type="dcterms:W3CDTF">2012-08-20T17:15:55Z</dcterms:modified>
</cp:coreProperties>
</file>